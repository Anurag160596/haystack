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Sources" sheetId="3" state="visible" r:id="rId5"/>
    <sheet name="Funnel" sheetId="4" state="visible" r:id="rId6"/>
    <sheet name="Budg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<sst xmlns="http://schemas.openxmlformats.org/spreadsheetml/2006/main" count="337" uniqueCount="195">
  <si>
    <t xml:space="preserve">Operation Uptime: summary (every figure links to the model)</t>
  </si>
  <si>
    <t xml:space="preserve">Hires by 31 Dec</t>
  </si>
  <si>
    <t xml:space="preserve">Recommended budget</t>
  </si>
  <si>
    <t xml:space="preserve">…planned spend</t>
  </si>
  <si>
    <t xml:space="preserve">…reserve</t>
  </si>
  <si>
    <t xml:space="preserve">Cost per hire (planned / all-in)</t>
  </si>
  <si>
    <t xml:space="preserve">Assessment slots used</t>
  </si>
  <si>
    <t xml:space="preserve">Last useful application (E/M/A)</t>
  </si>
  <si>
    <t xml:space="preserve">Hires with 30% less budget</t>
  </si>
  <si>
    <t xml:space="preserve">Hires if the pass rate is 30% worse</t>
  </si>
  <si>
    <t xml:space="preserve">Tabs: Inputs (every assumption, labelled) → Sources (cheapest first) → Funnel (Part 1) → Budget (Part 2).</t>
  </si>
  <si>
    <t xml:space="preserve">Inputs and assumptions log (blue on yellow = change me)</t>
  </si>
  <si>
    <t xml:space="preserve">Labels: Given = from the brief · Researched = read from the linked source · Own estimate = my judgement, reason given.</t>
  </si>
  <si>
    <t xml:space="preserve">ID</t>
  </si>
  <si>
    <t xml:space="preserve">Input</t>
  </si>
  <si>
    <t xml:space="preserve">Value</t>
  </si>
  <si>
    <t xml:space="preserve">Label</t>
  </si>
  <si>
    <t xml:space="preserve">Source / reasoning</t>
  </si>
  <si>
    <t xml:space="preserve">Brief</t>
  </si>
  <si>
    <t xml:space="preserve">OPE</t>
  </si>
  <si>
    <t xml:space="preserve">Openings: electricians</t>
  </si>
  <si>
    <t xml:space="preserve">Given</t>
  </si>
  <si>
    <t xml:space="preserve">OPM</t>
  </si>
  <si>
    <t xml:space="preserve">Openings: mechatronics</t>
  </si>
  <si>
    <t xml:space="preserve">OPA</t>
  </si>
  <si>
    <t xml:space="preserve">Openings: automation</t>
  </si>
  <si>
    <t xml:space="preserve">OPS</t>
  </si>
  <si>
    <t xml:space="preserve">Openings: supervisors</t>
  </si>
  <si>
    <t xml:space="preserve">CAP</t>
  </si>
  <si>
    <t xml:space="preserve">Qualified applicants assessed per week (max)</t>
  </si>
  <si>
    <t xml:space="preserve">PL</t>
  </si>
  <si>
    <t xml:space="preserve">Max share of mechatronics hires from Poland</t>
  </si>
  <si>
    <t xml:space="preserve">START</t>
  </si>
  <si>
    <t xml:space="preserve">Campaign start</t>
  </si>
  <si>
    <t xml:space="preserve">Timeline</t>
  </si>
  <si>
    <t xml:space="preserve">FIRST</t>
  </si>
  <si>
    <t xml:space="preserve">First assessments</t>
  </si>
  <si>
    <t xml:space="preserve">Own estimate</t>
  </si>
  <si>
    <t xml:space="preserve">No queue at launch: first applicants and re-applicants assessed within 2 days. If this slips to 26 Oct: ~92 hires.</t>
  </si>
  <si>
    <t xml:space="preserve">SIGN</t>
  </si>
  <si>
    <t xml:space="preserve">Last contract signature</t>
  </si>
  <si>
    <t xml:space="preserve">Last Friday before Christmas; job search drops ~45% over the holidays (Indeed Hiring Lab).</t>
  </si>
  <si>
    <t xml:space="preserve">D_RA</t>
  </si>
  <si>
    <t xml:space="preserve">Days application → assessment</t>
  </si>
  <si>
    <t xml:space="preserve">SmartRecruiters 2025 global median review time (Germany: 8). Ask the client to keep this pace.</t>
  </si>
  <si>
    <t xml:space="preserve">D_AI</t>
  </si>
  <si>
    <t xml:space="preserve">Days assessment → interview</t>
  </si>
  <si>
    <t xml:space="preserve">SmartRecruiters 2025: 14 days application → interview, minus the 6 above.</t>
  </si>
  <si>
    <t xml:space="preserve">D_IO</t>
  </si>
  <si>
    <t xml:space="preserve">Days interview → offer</t>
  </si>
  <si>
    <t xml:space="preserve">Ask to the client. 7 days instead: ~92 hires.</t>
  </si>
  <si>
    <t xml:space="preserve">D_OS</t>
  </si>
  <si>
    <t xml:space="preserve">Days offer → signature</t>
  </si>
  <si>
    <t xml:space="preserve">One-week offer validity.</t>
  </si>
  <si>
    <t xml:space="preserve">D_SUP</t>
  </si>
  <si>
    <t xml:space="preserve">Extra days for supervisors (second round)</t>
  </si>
  <si>
    <t xml:space="preserve">Second interview with the plant manager.</t>
  </si>
  <si>
    <t xml:space="preserve">Funnel by role (E / M / A / S)</t>
  </si>
  <si>
    <t xml:space="preserve">QE</t>
  </si>
  <si>
    <t xml:space="preserve">Application → qualified: E</t>
  </si>
  <si>
    <t xml:space="preserve">Researched</t>
  </si>
  <si>
    <t xml:space="preserve">IAB 2026: production jobs 3 of 12 applications suitable (25%); specialists 23%. https://iab-forum.de/iab-stellenerhebung-2-2026-fast-drei-von-vier-bewerbungen-sind-aus-betrieblicher-sicht-ungeeignet/</t>
  </si>
  <si>
    <t xml:space="preserve">QM</t>
  </si>
  <si>
    <t xml:space="preserve">Application → qualified: M</t>
  </si>
  <si>
    <t xml:space="preserve">QA</t>
  </si>
  <si>
    <t xml:space="preserve">Application → qualified: A</t>
  </si>
  <si>
    <t xml:space="preserve">QS</t>
  </si>
  <si>
    <t xml:space="preserve">Application → qualified: S</t>
  </si>
  <si>
    <t xml:space="preserve">PE</t>
  </si>
  <si>
    <t xml:space="preserve">Qualified → passed assessment: E</t>
  </si>
  <si>
    <t xml:space="preserve">Gem 2025: ~35% of onsite candidates get offers; set higher because only pre-qualified people reach this step; lowest for PLC and leadership roles.</t>
  </si>
  <si>
    <t xml:space="preserve">PM</t>
  </si>
  <si>
    <t xml:space="preserve">Qualified → passed assessment: M</t>
  </si>
  <si>
    <t xml:space="preserve">PA</t>
  </si>
  <si>
    <t xml:space="preserve">Qualified → passed assessment: A</t>
  </si>
  <si>
    <t xml:space="preserve">PS</t>
  </si>
  <si>
    <t xml:space="preserve">Qualified → passed assessment: S</t>
  </si>
  <si>
    <t xml:space="preserve">OE</t>
  </si>
  <si>
    <t xml:space="preserve">Passed → offer: E</t>
  </si>
  <si>
    <t xml:space="preserve">Most who pass get an offer; supervisors compete with internal candidates.</t>
  </si>
  <si>
    <t xml:space="preserve">OM</t>
  </si>
  <si>
    <t xml:space="preserve">Passed → offer: M</t>
  </si>
  <si>
    <t xml:space="preserve">OA</t>
  </si>
  <si>
    <t xml:space="preserve">Passed → offer: A</t>
  </si>
  <si>
    <t xml:space="preserve">OS</t>
  </si>
  <si>
    <t xml:space="preserve">Passed → offer: S</t>
  </si>
  <si>
    <t xml:space="preserve">AE</t>
  </si>
  <si>
    <t xml:space="preserve">Offer → signed: E</t>
  </si>
  <si>
    <t xml:space="preserve">Königsteiner 2022: ~77% accept; 70–75% for shift work and competing offers.</t>
  </si>
  <si>
    <t xml:space="preserve">AM</t>
  </si>
  <si>
    <t xml:space="preserve">Offer → signed: M</t>
  </si>
  <si>
    <t xml:space="preserve">AA</t>
  </si>
  <si>
    <t xml:space="preserve">Offer → signed: A</t>
  </si>
  <si>
    <t xml:space="preserve">AS</t>
  </si>
  <si>
    <t xml:space="preserve">Offer → signed: S</t>
  </si>
  <si>
    <t xml:space="preserve">Money</t>
  </si>
  <si>
    <t xml:space="preserve">RES</t>
  </si>
  <si>
    <t xml:space="preserve">Reserve (share of total budget)</t>
  </si>
  <si>
    <t xml:space="preserve">10–20% is the usual contingency for risky projects (mastt.com); released only on results.</t>
  </si>
  <si>
    <t xml:space="preserve">TEST</t>
  </si>
  <si>
    <t xml:space="preserve">Week 1–2 test per paid source and role (first part of its spend)</t>
  </si>
  <si>
    <t xml:space="preserve">Enough for ~5–10 applications per source and role: a first read on cost and quality before scaling.</t>
  </si>
  <si>
    <t xml:space="preserve">STEP</t>
  </si>
  <si>
    <t xml:space="preserve">Round the budget up to</t>
  </si>
  <si>
    <t xml:space="preserve">Client-friendly number; the rounding adds to the reserve.</t>
  </si>
  <si>
    <t xml:space="preserve">CUT</t>
  </si>
  <si>
    <t xml:space="preserve">Smaller-budget case</t>
  </si>
  <si>
    <t xml:space="preserve">Brief: what does 30% less buy?</t>
  </si>
  <si>
    <t xml:space="preserve">BONUS</t>
  </si>
  <si>
    <t xml:space="preserve">Referral bonus per signed hire</t>
  </si>
  <si>
    <t xml:space="preserve">Most firms pay €501–1,000 per referral (Radancy, 335 firms). https://www.personalwirtschaft.de/?p=166393</t>
  </si>
  <si>
    <t xml:space="preserve">Sources by role, bought cheapest cost per hire first until each role is filled</t>
  </si>
  <si>
    <t xml:space="preserve">Hire capacity = max applications × share qualified × qualified→signed × adjustment. Hires = what is still needed after all cheaper sources, up to capacity.</t>
  </si>
  <si>
    <t xml:space="preserve">Source</t>
  </si>
  <si>
    <t xml:space="preserve">Role</t>
  </si>
  <si>
    <t xml:space="preserve">Cost per application €</t>
  </si>
  <si>
    <t xml:space="preserve">Share qualified</t>
  </si>
  <si>
    <t xml:space="preserve">Max applications</t>
  </si>
  <si>
    <t xml:space="preserve">Adjustment</t>
  </si>
  <si>
    <t xml:space="preserve">Fixed cost €</t>
  </si>
  <si>
    <t xml:space="preserve">Qualified → signed</t>
  </si>
  <si>
    <t xml:space="preserve">Hire capacity</t>
  </si>
  <si>
    <t xml:space="preserve">Cost per hire €</t>
  </si>
  <si>
    <t xml:space="preserve">Hires</t>
  </si>
  <si>
    <t xml:space="preserve">Qualified</t>
  </si>
  <si>
    <t xml:space="preserve">Applications</t>
  </si>
  <si>
    <t xml:space="preserve">Spend €</t>
  </si>
  <si>
    <t xml:space="preserve">Cut in 30% case €</t>
  </si>
  <si>
    <t xml:space="preserve">Hires lost in 30% case</t>
  </si>
  <si>
    <t xml:space="preserve">Organic (careers site, BA, Google for Jobs)</t>
  </si>
  <si>
    <t xml:space="preserve">Electricians</t>
  </si>
  <si>
    <t xml:space="preserve">Free. ~27 applications per vacancy, 13% via the careers page (IAB, CareerPlug).</t>
  </si>
  <si>
    <t xml:space="preserve">Mechatronics</t>
  </si>
  <si>
    <t xml:space="preserve">Automation</t>
  </si>
  <si>
    <t xml:space="preserve">Supervisors</t>
  </si>
  <si>
    <t xml:space="preserve">Past applicants (ATS rediscovery)</t>
  </si>
  <si>
    <t xml:space="preserve">~211 past runners-up, 12% re-apply; €0.30 per message. Real export replaces this on day 1. Empty export: budget ~€135k.</t>
  </si>
  <si>
    <t xml:space="preserve">Employee referrals (€1,000 on hire)</t>
  </si>
  <si>
    <t xml:space="preserve">Sized so referrals bring ~11% of hires (CareerPlug 2025). Half as many: ~€130k.</t>
  </si>
  <si>
    <t xml:space="preserve">Polish border corridor (+ Polish pre-screener)</t>
  </si>
  <si>
    <t xml:space="preserve">€14 ad + €4.75 call per application; 14% pass the language check (Eurostat AES). Capped at 40% of mechatronics hires. If it fails: ~€155k.</t>
  </si>
  <si>
    <t xml:space="preserve">Construction electricians (Handwerk → Industrie)</t>
  </si>
  <si>
    <t xml:space="preserve">~10,000 within 75 km (BA); 1.2% respond to a social campaign (Redline). Needs the client's OK on the profile. Without it: ~€130k.</t>
  </si>
  <si>
    <t xml:space="preserve">StepStone (30-day ad, ~12 applications)</t>
  </si>
  <si>
    <t xml:space="preserve">From €1,449 per ad ÷ 12 applications (StepStone).</t>
  </si>
  <si>
    <t xml:space="preserve">LinkedIn (PLC and Meister profiles)</t>
  </si>
  <si>
    <t xml:space="preserve">DACH median €96 per application (TalentBait). https://www.talentbait.de/recruiting-kanaele-uebersicht/</t>
  </si>
  <si>
    <t xml:space="preserve">Programmatic (Indeed and other boards via Joveo)</t>
  </si>
  <si>
    <t xml:space="preserve">Indeed DACH median €161 per application (TalentBait); volume capped by Indeed's reach in the local pool. https://www.talentbait.de/recruiting-kanaele-uebersicht/</t>
  </si>
  <si>
    <t xml:space="preserve">Total</t>
  </si>
  <si>
    <t xml:space="preserve">Part 1: funnel by role and the capacity check</t>
  </si>
  <si>
    <t xml:space="preserve">Qualified needed = openings ÷ (pass × offer × accept). Applications needed = qualified ÷ share qualified.</t>
  </si>
  <si>
    <t xml:space="preserve">Openings</t>
  </si>
  <si>
    <t xml:space="preserve">App → qualified</t>
  </si>
  <si>
    <t xml:space="preserve">Qualified → passed</t>
  </si>
  <si>
    <t xml:space="preserve">Passed → offer</t>
  </si>
  <si>
    <t xml:space="preserve">Offer → signed</t>
  </si>
  <si>
    <t xml:space="preserve">Qualified needed</t>
  </si>
  <si>
    <t xml:space="preserve">Applications needed</t>
  </si>
  <si>
    <t xml:space="preserve">Hires bought</t>
  </si>
  <si>
    <t xml:space="preserve">Qualified in plan</t>
  </si>
  <si>
    <t xml:space="preserve">Timeline and capacity</t>
  </si>
  <si>
    <t xml:space="preserve">Last assessment (E/M/A)</t>
  </si>
  <si>
    <t xml:space="preserve">Last useful application (supervisors)</t>
  </si>
  <si>
    <t xml:space="preserve">Assessment days</t>
  </si>
  <si>
    <t xml:space="preserve">Assessment slots (55 a week × days ÷ 7)</t>
  </si>
  <si>
    <t xml:space="preserve">Qualified applicants in the plan</t>
  </si>
  <si>
    <t xml:space="preserve">Slots used</t>
  </si>
  <si>
    <t xml:space="preserve">Most hires the slots allow</t>
  </si>
  <si>
    <t xml:space="preserve">Hardest role</t>
  </si>
  <si>
    <t xml:space="preserve">Most sensitive assumption: pass rate 30% worse</t>
  </si>
  <si>
    <t xml:space="preserve">Hires possible within the slots</t>
  </si>
  <si>
    <t xml:space="preserve">Money can't fix this: the slots are full. A lower share qualified or dearer clicks only cost more money.</t>
  </si>
  <si>
    <t xml:space="preserve">Part 2: budget, smaller budget, weeks</t>
  </si>
  <si>
    <t xml:space="preserve">Sources (Sources tab)</t>
  </si>
  <si>
    <t xml:space="preserve">…of which week 1–2 tests</t>
  </si>
  <si>
    <t xml:space="preserve">Planned spend</t>
  </si>
  <si>
    <t xml:space="preserve">Before rounding (planned ÷ (1 − reserve))</t>
  </si>
  <si>
    <t xml:space="preserve">Reserve (incl. rounding)</t>
  </si>
  <si>
    <t xml:space="preserve">Cost per hire (planned spend)</t>
  </si>
  <si>
    <t xml:space="preserve">Cost per hire (all-in)</t>
  </si>
  <si>
    <t xml:space="preserve">30% less budget: cut the dearest hires first</t>
  </si>
  <si>
    <t xml:space="preserve">Smaller budget</t>
  </si>
  <si>
    <t xml:space="preserve">Spend allowed (keeps the 15% reserve)</t>
  </si>
  <si>
    <t xml:space="preserve">Savings needed</t>
  </si>
  <si>
    <t xml:space="preserve">Hires now</t>
  </si>
  <si>
    <t xml:space="preserve">Hires lost</t>
  </si>
  <si>
    <t xml:space="preserve">Hires with 30% less</t>
  </si>
  <si>
    <t xml:space="preserve">Weeks: spend and assessments</t>
  </si>
  <si>
    <t xml:space="preserve">Week</t>
  </si>
  <si>
    <t xml:space="preserve">Share (follows slots)</t>
  </si>
  <si>
    <t xml:space="preserve">Qualified arriving</t>
  </si>
  <si>
    <t xml:space="preserve">Assessment slots</t>
  </si>
  <si>
    <t xml:space="preserve">Fits?</t>
  </si>
  <si>
    <t xml:space="preserve">Spend is paced to the assessment slots it feeds. Week 1 is biggest: its applicants fill 11 days of assessments (22 Oct – 1 Nov). Week 6 is small: only 24 Nov is still useful. Tests run in weeks 1–2; weak sources are cut from Mon 2 Nov.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</si>
</sst>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\€#,##0"/>
    <numFmt numFmtId="167" formatCode="0%"/>
    <numFmt numFmtId="168" formatCode="ddd\ d\ mmm"/>
    <numFmt numFmtId="169" formatCode="#,##0"/>
    <numFmt numFmtId="170" formatCode="\€#,##0.00"/>
    <numFmt numFmtId="171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1F4E9E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36"/>
        <bgColor rgb="FF33330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E"/>
      <rgbColor rgb="FF1F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f aca="false">Budget!B9</f>
        <v>100</v>
      </c>
    </row>
    <row r="4" customFormat="false" ht="15" hidden="false" customHeight="false" outlineLevel="0" collapsed="false">
      <c r="A4" s="0" t="s">
        <v>2</v>
      </c>
      <c r="B4" s="3" t="n">
        <f aca="false">Budget!B7</f>
        <v>120000</v>
      </c>
    </row>
    <row r="5" customFormat="false" ht="15" hidden="false" customHeight="false" outlineLevel="0" collapsed="false">
      <c r="A5" s="0" t="s">
        <v>3</v>
      </c>
      <c r="B5" s="3" t="n">
        <f aca="false">Budget!B5</f>
        <v>99965.1973820298</v>
      </c>
    </row>
    <row r="6" customFormat="false" ht="15" hidden="false" customHeight="false" outlineLevel="0" collapsed="false">
      <c r="A6" s="0" t="s">
        <v>4</v>
      </c>
      <c r="B6" s="3" t="n">
        <f aca="false">Budget!B8</f>
        <v>20034.8026179702</v>
      </c>
    </row>
    <row r="7" customFormat="false" ht="15" hidden="false" customHeight="false" outlineLevel="0" collapsed="false">
      <c r="A7" s="0" t="s">
        <v>5</v>
      </c>
      <c r="B7" s="4" t="str">
        <f aca="false">TEXT(Budget!B10,"€#,##0")&amp;" / "&amp;TEXT(Budget!B11,"€#,##0")</f>
        <v>€1,000 / €1,200</v>
      </c>
    </row>
    <row r="8" customFormat="false" ht="15" hidden="false" customHeight="false" outlineLevel="0" collapsed="false">
      <c r="A8" s="0" t="s">
        <v>6</v>
      </c>
      <c r="B8" s="5" t="n">
        <f aca="false">Funnel!B18</f>
        <v>0.979752060263959</v>
      </c>
    </row>
    <row r="9" customFormat="false" ht="15" hidden="false" customHeight="false" outlineLevel="0" collapsed="false">
      <c r="A9" s="0" t="s">
        <v>7</v>
      </c>
      <c r="B9" s="6" t="n">
        <f aca="false">Funnel!B13</f>
        <v>46350</v>
      </c>
    </row>
    <row r="10" customFormat="false" ht="15" hidden="false" customHeight="false" outlineLevel="0" collapsed="false">
      <c r="A10" s="0" t="s">
        <v>8</v>
      </c>
      <c r="B10" s="2" t="n">
        <f aca="false">Budget!D24</f>
        <v>86.9051958171207</v>
      </c>
    </row>
    <row r="11" customFormat="false" ht="15" hidden="false" customHeight="false" outlineLevel="0" collapsed="false">
      <c r="A11" s="0" t="s">
        <v>9</v>
      </c>
      <c r="B11" s="2" t="n">
        <f aca="false">Funnel!B26</f>
        <v>71.4466474111226</v>
      </c>
    </row>
    <row r="13" customFormat="false" ht="15" hidden="false" customHeight="false" outlineLevel="0" collapsed="false">
      <c r="A13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0" t="s">
        <v>12</v>
      </c>
    </row>
    <row r="4" customFormat="false" ht="15" hidden="false" customHeight="false" outlineLevel="0" collapsed="false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</row>
    <row r="6" customFormat="false" ht="15" hidden="false" customHeight="false" outlineLevel="0" collapsed="false">
      <c r="A6" s="4" t="s">
        <v>18</v>
      </c>
    </row>
    <row r="7" customFormat="false" ht="15" hidden="false" customHeight="false" outlineLevel="0" collapsed="false">
      <c r="A7" s="0" t="s">
        <v>19</v>
      </c>
      <c r="B7" s="0" t="s">
        <v>20</v>
      </c>
      <c r="C7" s="8" t="n">
        <v>30</v>
      </c>
      <c r="D7" s="9" t="s">
        <v>21</v>
      </c>
      <c r="E7" s="9" t="s">
        <v>18</v>
      </c>
    </row>
    <row r="8" customFormat="false" ht="15" hidden="false" customHeight="false" outlineLevel="0" collapsed="false">
      <c r="A8" s="0" t="s">
        <v>22</v>
      </c>
      <c r="B8" s="0" t="s">
        <v>23</v>
      </c>
      <c r="C8" s="8" t="n">
        <v>45</v>
      </c>
      <c r="D8" s="9" t="s">
        <v>21</v>
      </c>
      <c r="E8" s="9" t="s">
        <v>18</v>
      </c>
    </row>
    <row r="9" customFormat="false" ht="15" hidden="false" customHeight="false" outlineLevel="0" collapsed="false">
      <c r="A9" s="0" t="s">
        <v>24</v>
      </c>
      <c r="B9" s="0" t="s">
        <v>25</v>
      </c>
      <c r="C9" s="8" t="n">
        <v>15</v>
      </c>
      <c r="D9" s="9" t="s">
        <v>21</v>
      </c>
      <c r="E9" s="9" t="s">
        <v>18</v>
      </c>
    </row>
    <row r="10" customFormat="false" ht="15" hidden="false" customHeight="false" outlineLevel="0" collapsed="false">
      <c r="A10" s="0" t="s">
        <v>26</v>
      </c>
      <c r="B10" s="0" t="s">
        <v>27</v>
      </c>
      <c r="C10" s="8" t="n">
        <v>10</v>
      </c>
      <c r="D10" s="9" t="s">
        <v>21</v>
      </c>
      <c r="E10" s="9" t="s">
        <v>18</v>
      </c>
    </row>
    <row r="11" customFormat="false" ht="15" hidden="false" customHeight="false" outlineLevel="0" collapsed="false">
      <c r="A11" s="0" t="s">
        <v>28</v>
      </c>
      <c r="B11" s="0" t="s">
        <v>29</v>
      </c>
      <c r="C11" s="8" t="n">
        <v>55</v>
      </c>
      <c r="D11" s="9" t="s">
        <v>21</v>
      </c>
      <c r="E11" s="9" t="s">
        <v>18</v>
      </c>
    </row>
    <row r="12" customFormat="false" ht="15" hidden="false" customHeight="false" outlineLevel="0" collapsed="false">
      <c r="A12" s="0" t="s">
        <v>30</v>
      </c>
      <c r="B12" s="0" t="s">
        <v>31</v>
      </c>
      <c r="C12" s="10" t="n">
        <v>0.4</v>
      </c>
      <c r="D12" s="9" t="s">
        <v>21</v>
      </c>
      <c r="E12" s="9" t="s">
        <v>18</v>
      </c>
    </row>
    <row r="13" customFormat="false" ht="15" hidden="false" customHeight="false" outlineLevel="0" collapsed="false">
      <c r="A13" s="0" t="s">
        <v>32</v>
      </c>
      <c r="B13" s="0" t="s">
        <v>33</v>
      </c>
      <c r="C13" s="11" t="n">
        <v>46315</v>
      </c>
      <c r="D13" s="9" t="s">
        <v>21</v>
      </c>
      <c r="E13" s="9" t="s">
        <v>18</v>
      </c>
    </row>
    <row r="15" customFormat="false" ht="15" hidden="false" customHeight="false" outlineLevel="0" collapsed="false">
      <c r="A15" s="4" t="s">
        <v>34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11" t="n">
        <v>46317</v>
      </c>
      <c r="D16" s="9" t="s">
        <v>37</v>
      </c>
      <c r="E16" s="9" t="s">
        <v>38</v>
      </c>
    </row>
    <row r="17" customFormat="false" ht="15" hidden="false" customHeight="false" outlineLevel="0" collapsed="false">
      <c r="A17" s="0" t="s">
        <v>39</v>
      </c>
      <c r="B17" s="0" t="s">
        <v>40</v>
      </c>
      <c r="C17" s="11" t="n">
        <v>46374</v>
      </c>
      <c r="D17" s="9" t="s">
        <v>37</v>
      </c>
      <c r="E17" s="9" t="s">
        <v>41</v>
      </c>
    </row>
    <row r="18" customFormat="false" ht="15" hidden="false" customHeight="false" outlineLevel="0" collapsed="false">
      <c r="A18" s="0" t="s">
        <v>42</v>
      </c>
      <c r="B18" s="0" t="s">
        <v>43</v>
      </c>
      <c r="C18" s="8" t="n">
        <v>6</v>
      </c>
      <c r="D18" s="9" t="s">
        <v>37</v>
      </c>
      <c r="E18" s="9" t="s">
        <v>44</v>
      </c>
    </row>
    <row r="19" customFormat="false" ht="15" hidden="false" customHeight="false" outlineLevel="0" collapsed="false">
      <c r="A19" s="0" t="s">
        <v>45</v>
      </c>
      <c r="B19" s="0" t="s">
        <v>46</v>
      </c>
      <c r="C19" s="8" t="n">
        <v>8</v>
      </c>
      <c r="D19" s="9" t="s">
        <v>37</v>
      </c>
      <c r="E19" s="9" t="s">
        <v>47</v>
      </c>
    </row>
    <row r="20" customFormat="false" ht="15" hidden="false" customHeight="false" outlineLevel="0" collapsed="false">
      <c r="A20" s="0" t="s">
        <v>48</v>
      </c>
      <c r="B20" s="0" t="s">
        <v>49</v>
      </c>
      <c r="C20" s="8" t="n">
        <v>3</v>
      </c>
      <c r="D20" s="9" t="s">
        <v>37</v>
      </c>
      <c r="E20" s="9" t="s">
        <v>50</v>
      </c>
    </row>
    <row r="21" customFormat="false" ht="15" hidden="false" customHeight="false" outlineLevel="0" collapsed="false">
      <c r="A21" s="0" t="s">
        <v>51</v>
      </c>
      <c r="B21" s="0" t="s">
        <v>52</v>
      </c>
      <c r="C21" s="8" t="n">
        <v>7</v>
      </c>
      <c r="D21" s="9" t="s">
        <v>37</v>
      </c>
      <c r="E21" s="9" t="s">
        <v>53</v>
      </c>
    </row>
    <row r="22" customFormat="false" ht="15" hidden="false" customHeight="false" outlineLevel="0" collapsed="false">
      <c r="A22" s="0" t="s">
        <v>54</v>
      </c>
      <c r="B22" s="0" t="s">
        <v>55</v>
      </c>
      <c r="C22" s="8" t="n">
        <v>7</v>
      </c>
      <c r="D22" s="9" t="s">
        <v>37</v>
      </c>
      <c r="E22" s="9" t="s">
        <v>56</v>
      </c>
    </row>
    <row r="24" customFormat="false" ht="15" hidden="false" customHeight="false" outlineLevel="0" collapsed="false">
      <c r="A24" s="4" t="s">
        <v>57</v>
      </c>
    </row>
    <row r="25" customFormat="false" ht="15" hidden="false" customHeight="false" outlineLevel="0" collapsed="false">
      <c r="A25" s="0" t="s">
        <v>58</v>
      </c>
      <c r="B25" s="0" t="s">
        <v>59</v>
      </c>
      <c r="C25" s="10" t="n">
        <v>0.25</v>
      </c>
      <c r="D25" s="9" t="s">
        <v>60</v>
      </c>
      <c r="E25" s="9" t="s">
        <v>61</v>
      </c>
    </row>
    <row r="26" customFormat="false" ht="15" hidden="false" customHeight="false" outlineLevel="0" collapsed="false">
      <c r="A26" s="0" t="s">
        <v>62</v>
      </c>
      <c r="B26" s="0" t="s">
        <v>63</v>
      </c>
      <c r="C26" s="10" t="n">
        <v>0.25</v>
      </c>
      <c r="D26" s="9" t="s">
        <v>60</v>
      </c>
      <c r="E26" s="9" t="s">
        <v>61</v>
      </c>
    </row>
    <row r="27" customFormat="false" ht="15" hidden="false" customHeight="false" outlineLevel="0" collapsed="false">
      <c r="A27" s="0" t="s">
        <v>64</v>
      </c>
      <c r="B27" s="0" t="s">
        <v>65</v>
      </c>
      <c r="C27" s="10" t="n">
        <v>0.25</v>
      </c>
      <c r="D27" s="9" t="s">
        <v>60</v>
      </c>
      <c r="E27" s="9" t="s">
        <v>61</v>
      </c>
    </row>
    <row r="28" customFormat="false" ht="15" hidden="false" customHeight="false" outlineLevel="0" collapsed="false">
      <c r="A28" s="0" t="s">
        <v>66</v>
      </c>
      <c r="B28" s="0" t="s">
        <v>67</v>
      </c>
      <c r="C28" s="10" t="n">
        <v>0.23</v>
      </c>
      <c r="D28" s="9" t="s">
        <v>60</v>
      </c>
      <c r="E28" s="9" t="s">
        <v>61</v>
      </c>
    </row>
    <row r="29" customFormat="false" ht="15" hidden="false" customHeight="false" outlineLevel="0" collapsed="false">
      <c r="A29" s="0" t="s">
        <v>68</v>
      </c>
      <c r="B29" s="0" t="s">
        <v>69</v>
      </c>
      <c r="C29" s="10" t="n">
        <v>0.5</v>
      </c>
      <c r="D29" s="9" t="s">
        <v>37</v>
      </c>
      <c r="E29" s="9" t="s">
        <v>70</v>
      </c>
    </row>
    <row r="30" customFormat="false" ht="15" hidden="false" customHeight="false" outlineLevel="0" collapsed="false">
      <c r="A30" s="0" t="s">
        <v>71</v>
      </c>
      <c r="B30" s="0" t="s">
        <v>72</v>
      </c>
      <c r="C30" s="10" t="n">
        <v>0.55</v>
      </c>
      <c r="D30" s="9" t="s">
        <v>37</v>
      </c>
      <c r="E30" s="9" t="s">
        <v>70</v>
      </c>
    </row>
    <row r="31" customFormat="false" ht="15" hidden="false" customHeight="false" outlineLevel="0" collapsed="false">
      <c r="A31" s="0" t="s">
        <v>73</v>
      </c>
      <c r="B31" s="0" t="s">
        <v>74</v>
      </c>
      <c r="C31" s="10" t="n">
        <v>0.45</v>
      </c>
      <c r="D31" s="9" t="s">
        <v>37</v>
      </c>
      <c r="E31" s="9" t="s">
        <v>70</v>
      </c>
    </row>
    <row r="32" customFormat="false" ht="15" hidden="false" customHeight="false" outlineLevel="0" collapsed="false">
      <c r="A32" s="0" t="s">
        <v>75</v>
      </c>
      <c r="B32" s="0" t="s">
        <v>76</v>
      </c>
      <c r="C32" s="10" t="n">
        <v>0.4</v>
      </c>
      <c r="D32" s="9" t="s">
        <v>37</v>
      </c>
      <c r="E32" s="9" t="s">
        <v>70</v>
      </c>
    </row>
    <row r="33" customFormat="false" ht="15" hidden="false" customHeight="false" outlineLevel="0" collapsed="false">
      <c r="A33" s="0" t="s">
        <v>77</v>
      </c>
      <c r="B33" s="0" t="s">
        <v>78</v>
      </c>
      <c r="C33" s="10" t="n">
        <v>0.9</v>
      </c>
      <c r="D33" s="9" t="s">
        <v>37</v>
      </c>
      <c r="E33" s="9" t="s">
        <v>79</v>
      </c>
    </row>
    <row r="34" customFormat="false" ht="15" hidden="false" customHeight="false" outlineLevel="0" collapsed="false">
      <c r="A34" s="0" t="s">
        <v>80</v>
      </c>
      <c r="B34" s="0" t="s">
        <v>81</v>
      </c>
      <c r="C34" s="10" t="n">
        <v>0.9</v>
      </c>
      <c r="D34" s="9" t="s">
        <v>37</v>
      </c>
      <c r="E34" s="9" t="s">
        <v>79</v>
      </c>
    </row>
    <row r="35" customFormat="false" ht="15" hidden="false" customHeight="false" outlineLevel="0" collapsed="false">
      <c r="A35" s="0" t="s">
        <v>82</v>
      </c>
      <c r="B35" s="0" t="s">
        <v>83</v>
      </c>
      <c r="C35" s="10" t="n">
        <v>0.9</v>
      </c>
      <c r="D35" s="9" t="s">
        <v>37</v>
      </c>
      <c r="E35" s="9" t="s">
        <v>79</v>
      </c>
    </row>
    <row r="36" customFormat="false" ht="15" hidden="false" customHeight="false" outlineLevel="0" collapsed="false">
      <c r="A36" s="0" t="s">
        <v>84</v>
      </c>
      <c r="B36" s="0" t="s">
        <v>85</v>
      </c>
      <c r="C36" s="10" t="n">
        <v>0.85</v>
      </c>
      <c r="D36" s="9" t="s">
        <v>37</v>
      </c>
      <c r="E36" s="9" t="s">
        <v>79</v>
      </c>
    </row>
    <row r="37" customFormat="false" ht="15" hidden="false" customHeight="false" outlineLevel="0" collapsed="false">
      <c r="A37" s="0" t="s">
        <v>86</v>
      </c>
      <c r="B37" s="0" t="s">
        <v>87</v>
      </c>
      <c r="C37" s="10" t="n">
        <v>0.7</v>
      </c>
      <c r="D37" s="9" t="s">
        <v>37</v>
      </c>
      <c r="E37" s="9" t="s">
        <v>88</v>
      </c>
    </row>
    <row r="38" customFormat="false" ht="15" hidden="false" customHeight="false" outlineLevel="0" collapsed="false">
      <c r="A38" s="0" t="s">
        <v>89</v>
      </c>
      <c r="B38" s="0" t="s">
        <v>90</v>
      </c>
      <c r="C38" s="10" t="n">
        <v>0.75</v>
      </c>
      <c r="D38" s="9" t="s">
        <v>37</v>
      </c>
      <c r="E38" s="9" t="s">
        <v>88</v>
      </c>
    </row>
    <row r="39" customFormat="false" ht="15" hidden="false" customHeight="false" outlineLevel="0" collapsed="false">
      <c r="A39" s="0" t="s">
        <v>91</v>
      </c>
      <c r="B39" s="0" t="s">
        <v>92</v>
      </c>
      <c r="C39" s="10" t="n">
        <v>0.7</v>
      </c>
      <c r="D39" s="9" t="s">
        <v>37</v>
      </c>
      <c r="E39" s="9" t="s">
        <v>88</v>
      </c>
    </row>
    <row r="40" customFormat="false" ht="15" hidden="false" customHeight="false" outlineLevel="0" collapsed="false">
      <c r="A40" s="0" t="s">
        <v>93</v>
      </c>
      <c r="B40" s="0" t="s">
        <v>94</v>
      </c>
      <c r="C40" s="10" t="n">
        <v>0.7</v>
      </c>
      <c r="D40" s="9" t="s">
        <v>37</v>
      </c>
      <c r="E40" s="9" t="s">
        <v>88</v>
      </c>
    </row>
    <row r="42" customFormat="false" ht="15" hidden="false" customHeight="false" outlineLevel="0" collapsed="false">
      <c r="A42" s="4" t="s">
        <v>95</v>
      </c>
    </row>
    <row r="43" customFormat="false" ht="15" hidden="false" customHeight="false" outlineLevel="0" collapsed="false">
      <c r="A43" s="0" t="s">
        <v>96</v>
      </c>
      <c r="B43" s="0" t="s">
        <v>97</v>
      </c>
      <c r="C43" s="10" t="n">
        <v>0.15</v>
      </c>
      <c r="D43" s="9" t="s">
        <v>37</v>
      </c>
      <c r="E43" s="9" t="s">
        <v>98</v>
      </c>
    </row>
    <row r="44" customFormat="false" ht="15" hidden="false" customHeight="false" outlineLevel="0" collapsed="false">
      <c r="A44" s="0" t="s">
        <v>99</v>
      </c>
      <c r="B44" s="0" t="s">
        <v>100</v>
      </c>
      <c r="C44" s="12" t="n">
        <v>750</v>
      </c>
      <c r="D44" s="9" t="s">
        <v>37</v>
      </c>
      <c r="E44" s="9" t="s">
        <v>101</v>
      </c>
    </row>
    <row r="45" customFormat="false" ht="15" hidden="false" customHeight="false" outlineLevel="0" collapsed="false">
      <c r="A45" s="0" t="s">
        <v>102</v>
      </c>
      <c r="B45" s="0" t="s">
        <v>103</v>
      </c>
      <c r="C45" s="12" t="n">
        <v>2500</v>
      </c>
      <c r="D45" s="9" t="s">
        <v>37</v>
      </c>
      <c r="E45" s="9" t="s">
        <v>104</v>
      </c>
    </row>
    <row r="46" customFormat="false" ht="15" hidden="false" customHeight="false" outlineLevel="0" collapsed="false">
      <c r="A46" s="0" t="s">
        <v>105</v>
      </c>
      <c r="B46" s="0" t="s">
        <v>106</v>
      </c>
      <c r="C46" s="10" t="n">
        <v>0.3</v>
      </c>
      <c r="D46" s="9" t="s">
        <v>21</v>
      </c>
      <c r="E46" s="9" t="s">
        <v>107</v>
      </c>
    </row>
    <row r="47" customFormat="false" ht="15" hidden="false" customHeight="false" outlineLevel="0" collapsed="false">
      <c r="A47" s="0" t="s">
        <v>108</v>
      </c>
      <c r="B47" s="0" t="s">
        <v>109</v>
      </c>
      <c r="C47" s="12" t="n">
        <v>1000</v>
      </c>
      <c r="D47" s="9" t="s">
        <v>60</v>
      </c>
      <c r="E47" s="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0"/>
    <col collapsed="false" customWidth="true" hidden="false" outlineLevel="0" max="8" min="8" style="0" width="13"/>
    <col collapsed="false" customWidth="true" hidden="false" outlineLevel="0" max="9" min="9" style="0" width="6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2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0" t="s">
        <v>112</v>
      </c>
    </row>
    <row r="4" customFormat="false" ht="41.75" hidden="false" customHeight="false" outlineLevel="0" collapsed="false">
      <c r="A4" s="7" t="s">
        <v>113</v>
      </c>
      <c r="B4" s="7" t="s">
        <v>114</v>
      </c>
      <c r="C4" s="7" t="s">
        <v>115</v>
      </c>
      <c r="D4" s="7" t="s">
        <v>116</v>
      </c>
      <c r="E4" s="7" t="s">
        <v>117</v>
      </c>
      <c r="F4" s="7" t="s">
        <v>118</v>
      </c>
      <c r="G4" s="7" t="s">
        <v>119</v>
      </c>
      <c r="H4" s="7" t="s">
        <v>16</v>
      </c>
      <c r="I4" s="7" t="s">
        <v>17</v>
      </c>
      <c r="J4" s="7" t="s">
        <v>120</v>
      </c>
      <c r="K4" s="7" t="s">
        <v>121</v>
      </c>
      <c r="L4" s="7" t="s">
        <v>122</v>
      </c>
      <c r="M4" s="7" t="s">
        <v>123</v>
      </c>
      <c r="N4" s="7" t="s">
        <v>124</v>
      </c>
      <c r="O4" s="7" t="s">
        <v>125</v>
      </c>
      <c r="P4" s="7" t="s">
        <v>126</v>
      </c>
      <c r="Q4" s="13" t="s">
        <v>127</v>
      </c>
      <c r="R4" s="13" t="s">
        <v>128</v>
      </c>
    </row>
    <row r="5" customFormat="false" ht="15" hidden="false" customHeight="false" outlineLevel="0" collapsed="false">
      <c r="A5" s="0" t="s">
        <v>129</v>
      </c>
      <c r="B5" s="0" t="s">
        <v>130</v>
      </c>
      <c r="C5" s="14" t="n">
        <v>0</v>
      </c>
      <c r="D5" s="15" t="n">
        <v>0.175</v>
      </c>
      <c r="E5" s="16" t="n">
        <f aca="false">ROUND(Inputs!$C$7*27*0.13,0)</f>
        <v>105</v>
      </c>
      <c r="F5" s="17" t="n">
        <v>1</v>
      </c>
      <c r="G5" s="12" t="n">
        <v>0</v>
      </c>
      <c r="H5" s="9" t="s">
        <v>60</v>
      </c>
      <c r="I5" s="9" t="s">
        <v>131</v>
      </c>
      <c r="J5" s="18" t="n">
        <f aca="false">(Inputs!$C$29*Inputs!$C$33*Inputs!$C$37)*F5</f>
        <v>0.315</v>
      </c>
      <c r="K5" s="19" t="n">
        <f aca="false">E5*D5*J5</f>
        <v>5.788125</v>
      </c>
      <c r="L5" s="20" t="n">
        <f aca="false">IF(D5*J5&gt;0,C5/(D5*J5)+IF(K5&gt;0,G5/K5,0),0)</f>
        <v>0</v>
      </c>
      <c r="M5" s="21" t="n">
        <f aca="false">MIN(K5,MAX(0,Inputs!$C$7-SUMPRODUCT(($B$5:$B$26=B5)*(($L$5:$L$26&lt;L5)+(($L$5:$L$26=L5)*(ROW($L$5:$L$26)&lt;ROW(L5))))*$K$5:$K$26)))</f>
        <v>5.788125</v>
      </c>
      <c r="N5" s="19" t="n">
        <f aca="false">IF(J5&gt;0,M5/J5,0)</f>
        <v>18.375</v>
      </c>
      <c r="O5" s="16" t="n">
        <f aca="false">IF(D5&gt;0,N5/D5,0)</f>
        <v>105</v>
      </c>
      <c r="P5" s="20" t="n">
        <f aca="false">O5*C5+IF(M5&gt;0,G5,0)</f>
        <v>0</v>
      </c>
      <c r="Q5" s="20" t="n">
        <f aca="false">MIN(P5,MAX(0,Budget!$B$17-SUMPRODUCT(($L$5:$L$26&gt;L5)*$P$5:$P$26)))</f>
        <v>0</v>
      </c>
      <c r="R5" s="19" t="n">
        <f aca="false">IF(P5&gt;0,M5*Q5/P5,0)</f>
        <v>0</v>
      </c>
    </row>
    <row r="6" customFormat="false" ht="15" hidden="false" customHeight="false" outlineLevel="0" collapsed="false">
      <c r="A6" s="0" t="s">
        <v>129</v>
      </c>
      <c r="B6" s="0" t="s">
        <v>132</v>
      </c>
      <c r="C6" s="14" t="n">
        <v>0</v>
      </c>
      <c r="D6" s="15" t="n">
        <v>0.175</v>
      </c>
      <c r="E6" s="16" t="n">
        <f aca="false">ROUND(Inputs!$C$8*27*0.13,0)</f>
        <v>158</v>
      </c>
      <c r="F6" s="17" t="n">
        <v>1</v>
      </c>
      <c r="G6" s="12" t="n">
        <v>0</v>
      </c>
      <c r="H6" s="9" t="s">
        <v>60</v>
      </c>
      <c r="I6" s="9" t="s">
        <v>131</v>
      </c>
      <c r="J6" s="18" t="n">
        <f aca="false">(Inputs!$C$30*Inputs!$C$34*Inputs!$C$38)*F6</f>
        <v>0.37125</v>
      </c>
      <c r="K6" s="19" t="n">
        <f aca="false">E6*D6*J6</f>
        <v>10.2650625</v>
      </c>
      <c r="L6" s="20" t="n">
        <f aca="false">IF(D6*J6&gt;0,C6/(D6*J6)+IF(K6&gt;0,G6/K6,0),0)</f>
        <v>0</v>
      </c>
      <c r="M6" s="21" t="n">
        <f aca="false">MIN(K6,MAX(0,Inputs!$C$8-SUMPRODUCT(($B$5:$B$26=B6)*(($L$5:$L$26&lt;L6)+(($L$5:$L$26=L6)*(ROW($L$5:$L$26)&lt;ROW(L6))))*$K$5:$K$26)))</f>
        <v>10.2650625</v>
      </c>
      <c r="N6" s="19" t="n">
        <f aca="false">IF(J6&gt;0,M6/J6,0)</f>
        <v>27.65</v>
      </c>
      <c r="O6" s="16" t="n">
        <f aca="false">IF(D6&gt;0,N6/D6,0)</f>
        <v>158</v>
      </c>
      <c r="P6" s="20" t="n">
        <f aca="false">O6*C6+IF(M6&gt;0,G6,0)</f>
        <v>0</v>
      </c>
      <c r="Q6" s="20" t="n">
        <f aca="false">MIN(P6,MAX(0,Budget!$B$17-SUMPRODUCT(($L$5:$L$26&gt;L6)*$P$5:$P$26)))</f>
        <v>0</v>
      </c>
      <c r="R6" s="19" t="n">
        <f aca="false">IF(P6&gt;0,M6*Q6/P6,0)</f>
        <v>0</v>
      </c>
    </row>
    <row r="7" customFormat="false" ht="15" hidden="false" customHeight="false" outlineLevel="0" collapsed="false">
      <c r="A7" s="0" t="s">
        <v>129</v>
      </c>
      <c r="B7" s="0" t="s">
        <v>133</v>
      </c>
      <c r="C7" s="14" t="n">
        <v>0</v>
      </c>
      <c r="D7" s="15" t="n">
        <v>0.175</v>
      </c>
      <c r="E7" s="16" t="n">
        <f aca="false">ROUND(Inputs!$C$9*27*0.13,0)</f>
        <v>53</v>
      </c>
      <c r="F7" s="17" t="n">
        <v>1</v>
      </c>
      <c r="G7" s="12" t="n">
        <v>0</v>
      </c>
      <c r="H7" s="9" t="s">
        <v>60</v>
      </c>
      <c r="I7" s="9" t="s">
        <v>131</v>
      </c>
      <c r="J7" s="18" t="n">
        <f aca="false">(Inputs!$C$31*Inputs!$C$35*Inputs!$C$39)*F7</f>
        <v>0.2835</v>
      </c>
      <c r="K7" s="19" t="n">
        <f aca="false">E7*D7*J7</f>
        <v>2.6294625</v>
      </c>
      <c r="L7" s="20" t="n">
        <f aca="false">IF(D7*J7&gt;0,C7/(D7*J7)+IF(K7&gt;0,G7/K7,0),0)</f>
        <v>0</v>
      </c>
      <c r="M7" s="21" t="n">
        <f aca="false">MIN(K7,MAX(0,Inputs!$C$9-SUMPRODUCT(($B$5:$B$26=B7)*(($L$5:$L$26&lt;L7)+(($L$5:$L$26=L7)*(ROW($L$5:$L$26)&lt;ROW(L7))))*$K$5:$K$26)))</f>
        <v>2.6294625</v>
      </c>
      <c r="N7" s="19" t="n">
        <f aca="false">IF(J7&gt;0,M7/J7,0)</f>
        <v>9.275</v>
      </c>
      <c r="O7" s="16" t="n">
        <f aca="false">IF(D7&gt;0,N7/D7,0)</f>
        <v>53</v>
      </c>
      <c r="P7" s="20" t="n">
        <f aca="false">O7*C7+IF(M7&gt;0,G7,0)</f>
        <v>0</v>
      </c>
      <c r="Q7" s="20" t="n">
        <f aca="false">MIN(P7,MAX(0,Budget!$B$17-SUMPRODUCT(($L$5:$L$26&gt;L7)*$P$5:$P$26)))</f>
        <v>0</v>
      </c>
      <c r="R7" s="19" t="n">
        <f aca="false">IF(P7&gt;0,M7*Q7/P7,0)</f>
        <v>0</v>
      </c>
    </row>
    <row r="8" customFormat="false" ht="15" hidden="false" customHeight="false" outlineLevel="0" collapsed="false">
      <c r="A8" s="0" t="s">
        <v>129</v>
      </c>
      <c r="B8" s="0" t="s">
        <v>134</v>
      </c>
      <c r="C8" s="14" t="n">
        <v>0</v>
      </c>
      <c r="D8" s="15" t="n">
        <v>0.161</v>
      </c>
      <c r="E8" s="16" t="n">
        <f aca="false">ROUND(Inputs!$C$10*27*0.13,0)</f>
        <v>35</v>
      </c>
      <c r="F8" s="17" t="n">
        <v>1</v>
      </c>
      <c r="G8" s="12" t="n">
        <v>0</v>
      </c>
      <c r="H8" s="9" t="s">
        <v>60</v>
      </c>
      <c r="I8" s="9" t="s">
        <v>131</v>
      </c>
      <c r="J8" s="18" t="n">
        <f aca="false">(Inputs!$C$32*Inputs!$C$36*Inputs!$C$40)*F8</f>
        <v>0.238</v>
      </c>
      <c r="K8" s="19" t="n">
        <f aca="false">E8*D8*J8</f>
        <v>1.34113</v>
      </c>
      <c r="L8" s="20" t="n">
        <f aca="false">IF(D8*J8&gt;0,C8/(D8*J8)+IF(K8&gt;0,G8/K8,0),0)</f>
        <v>0</v>
      </c>
      <c r="M8" s="21" t="n">
        <f aca="false">MIN(K8,MAX(0,Inputs!$C$10-SUMPRODUCT(($B$5:$B$26=B8)*(($L$5:$L$26&lt;L8)+(($L$5:$L$26=L8)*(ROW($L$5:$L$26)&lt;ROW(L8))))*$K$5:$K$26)))</f>
        <v>1.34113</v>
      </c>
      <c r="N8" s="19" t="n">
        <f aca="false">IF(J8&gt;0,M8/J8,0)</f>
        <v>5.635</v>
      </c>
      <c r="O8" s="16" t="n">
        <f aca="false">IF(D8&gt;0,N8/D8,0)</f>
        <v>35</v>
      </c>
      <c r="P8" s="20" t="n">
        <f aca="false">O8*C8+IF(M8&gt;0,G8,0)</f>
        <v>0</v>
      </c>
      <c r="Q8" s="20" t="n">
        <f aca="false">MIN(P8,MAX(0,Budget!$B$17-SUMPRODUCT(($L$5:$L$26&gt;L8)*$P$5:$P$26)))</f>
        <v>0</v>
      </c>
      <c r="R8" s="19" t="n">
        <f aca="false">IF(P8&gt;0,M8*Q8/P8,0)</f>
        <v>0</v>
      </c>
    </row>
    <row r="9" customFormat="false" ht="15" hidden="false" customHeight="false" outlineLevel="0" collapsed="false">
      <c r="A9" s="0" t="s">
        <v>135</v>
      </c>
      <c r="B9" s="0" t="s">
        <v>130</v>
      </c>
      <c r="C9" s="14" t="n">
        <v>2.5</v>
      </c>
      <c r="D9" s="15" t="n">
        <v>0.5</v>
      </c>
      <c r="E9" s="8" t="n">
        <v>8</v>
      </c>
      <c r="F9" s="17" t="n">
        <v>1.15</v>
      </c>
      <c r="G9" s="12" t="n">
        <v>0</v>
      </c>
      <c r="H9" s="9" t="s">
        <v>37</v>
      </c>
      <c r="I9" s="9" t="s">
        <v>136</v>
      </c>
      <c r="J9" s="18" t="n">
        <f aca="false">(Inputs!$C$29*Inputs!$C$33*Inputs!$C$37)*F9</f>
        <v>0.36225</v>
      </c>
      <c r="K9" s="19" t="n">
        <f aca="false">E9*D9*J9</f>
        <v>1.449</v>
      </c>
      <c r="L9" s="20" t="n">
        <f aca="false">IF(D9*J9&gt;0,C9/(D9*J9)+IF(K9&gt;0,G9/K9,0),0)</f>
        <v>13.8026224982747</v>
      </c>
      <c r="M9" s="21" t="n">
        <f aca="false">MIN(K9,MAX(0,Inputs!$C$7-SUMPRODUCT(($B$5:$B$26=B9)*(($L$5:$L$26&lt;L9)+(($L$5:$L$26=L9)*(ROW($L$5:$L$26)&lt;ROW(L9))))*$K$5:$K$26)))</f>
        <v>1.449</v>
      </c>
      <c r="N9" s="19" t="n">
        <f aca="false">IF(J9&gt;0,M9/J9,0)</f>
        <v>4</v>
      </c>
      <c r="O9" s="16" t="n">
        <f aca="false">IF(D9&gt;0,N9/D9,0)</f>
        <v>8</v>
      </c>
      <c r="P9" s="20" t="n">
        <f aca="false">O9*C9+IF(M9&gt;0,G9,0)</f>
        <v>20</v>
      </c>
      <c r="Q9" s="20" t="n">
        <f aca="false">MIN(P9,MAX(0,Budget!$B$17-SUMPRODUCT(($L$5:$L$26&gt;L9)*$P$5:$P$26)))</f>
        <v>0</v>
      </c>
      <c r="R9" s="19" t="n">
        <f aca="false">IF(P9&gt;0,M9*Q9/P9,0)</f>
        <v>0</v>
      </c>
    </row>
    <row r="10" customFormat="false" ht="15" hidden="false" customHeight="false" outlineLevel="0" collapsed="false">
      <c r="A10" s="0" t="s">
        <v>135</v>
      </c>
      <c r="B10" s="0" t="s">
        <v>132</v>
      </c>
      <c r="C10" s="14" t="n">
        <v>2.5</v>
      </c>
      <c r="D10" s="15" t="n">
        <v>0.5</v>
      </c>
      <c r="E10" s="8" t="n">
        <v>9</v>
      </c>
      <c r="F10" s="17" t="n">
        <v>1.15</v>
      </c>
      <c r="G10" s="12" t="n">
        <v>0</v>
      </c>
      <c r="H10" s="9" t="s">
        <v>37</v>
      </c>
      <c r="I10" s="9" t="s">
        <v>136</v>
      </c>
      <c r="J10" s="18" t="n">
        <f aca="false">(Inputs!$C$30*Inputs!$C$34*Inputs!$C$38)*F10</f>
        <v>0.4269375</v>
      </c>
      <c r="K10" s="19" t="n">
        <f aca="false">E10*D10*J10</f>
        <v>1.92121875</v>
      </c>
      <c r="L10" s="20" t="n">
        <f aca="false">IF(D10*J10&gt;0,C10/(D10*J10)+IF(K10&gt;0,G10/K10,0),0)</f>
        <v>11.7113160591421</v>
      </c>
      <c r="M10" s="21" t="n">
        <f aca="false">MIN(K10,MAX(0,Inputs!$C$8-SUMPRODUCT(($B$5:$B$26=B10)*(($L$5:$L$26&lt;L10)+(($L$5:$L$26=L10)*(ROW($L$5:$L$26)&lt;ROW(L10))))*$K$5:$K$26)))</f>
        <v>1.92121875</v>
      </c>
      <c r="N10" s="19" t="n">
        <f aca="false">IF(J10&gt;0,M10/J10,0)</f>
        <v>4.5</v>
      </c>
      <c r="O10" s="16" t="n">
        <f aca="false">IF(D10&gt;0,N10/D10,0)</f>
        <v>9</v>
      </c>
      <c r="P10" s="20" t="n">
        <f aca="false">O10*C10+IF(M10&gt;0,G10,0)</f>
        <v>22.5</v>
      </c>
      <c r="Q10" s="20" t="n">
        <f aca="false">MIN(P10,MAX(0,Budget!$B$17-SUMPRODUCT(($L$5:$L$26&gt;L10)*$P$5:$P$26)))</f>
        <v>0</v>
      </c>
      <c r="R10" s="19" t="n">
        <f aca="false">IF(P10&gt;0,M10*Q10/P10,0)</f>
        <v>0</v>
      </c>
    </row>
    <row r="11" customFormat="false" ht="15" hidden="false" customHeight="false" outlineLevel="0" collapsed="false">
      <c r="A11" s="0" t="s">
        <v>135</v>
      </c>
      <c r="B11" s="0" t="s">
        <v>133</v>
      </c>
      <c r="C11" s="14" t="n">
        <v>2.5</v>
      </c>
      <c r="D11" s="15" t="n">
        <v>0.5</v>
      </c>
      <c r="E11" s="8" t="n">
        <v>5</v>
      </c>
      <c r="F11" s="17" t="n">
        <v>1.15</v>
      </c>
      <c r="G11" s="12" t="n">
        <v>0</v>
      </c>
      <c r="H11" s="9" t="s">
        <v>37</v>
      </c>
      <c r="I11" s="9" t="s">
        <v>136</v>
      </c>
      <c r="J11" s="18" t="n">
        <f aca="false">(Inputs!$C$31*Inputs!$C$35*Inputs!$C$39)*F11</f>
        <v>0.326025</v>
      </c>
      <c r="K11" s="19" t="n">
        <f aca="false">E11*D11*J11</f>
        <v>0.8150625</v>
      </c>
      <c r="L11" s="20" t="n">
        <f aca="false">IF(D11*J11&gt;0,C11/(D11*J11)+IF(K11&gt;0,G11/K11,0),0)</f>
        <v>15.3362472203052</v>
      </c>
      <c r="M11" s="21" t="n">
        <f aca="false">MIN(K11,MAX(0,Inputs!$C$9-SUMPRODUCT(($B$5:$B$26=B11)*(($L$5:$L$26&lt;L11)+(($L$5:$L$26=L11)*(ROW($L$5:$L$26)&lt;ROW(L11))))*$K$5:$K$26)))</f>
        <v>0.8150625</v>
      </c>
      <c r="N11" s="19" t="n">
        <f aca="false">IF(J11&gt;0,M11/J11,0)</f>
        <v>2.5</v>
      </c>
      <c r="O11" s="16" t="n">
        <f aca="false">IF(D11&gt;0,N11/D11,0)</f>
        <v>5</v>
      </c>
      <c r="P11" s="20" t="n">
        <f aca="false">O11*C11+IF(M11&gt;0,G11,0)</f>
        <v>12.5</v>
      </c>
      <c r="Q11" s="20" t="n">
        <f aca="false">MIN(P11,MAX(0,Budget!$B$17-SUMPRODUCT(($L$5:$L$26&gt;L11)*$P$5:$P$26)))</f>
        <v>0</v>
      </c>
      <c r="R11" s="19" t="n">
        <f aca="false">IF(P11&gt;0,M11*Q11/P11,0)</f>
        <v>0</v>
      </c>
    </row>
    <row r="12" customFormat="false" ht="15" hidden="false" customHeight="false" outlineLevel="0" collapsed="false">
      <c r="A12" s="0" t="s">
        <v>135</v>
      </c>
      <c r="B12" s="0" t="s">
        <v>134</v>
      </c>
      <c r="C12" s="14" t="n">
        <v>2.5</v>
      </c>
      <c r="D12" s="15" t="n">
        <v>0.5</v>
      </c>
      <c r="E12" s="8" t="n">
        <v>4</v>
      </c>
      <c r="F12" s="17" t="n">
        <v>1.15</v>
      </c>
      <c r="G12" s="12" t="n">
        <v>0</v>
      </c>
      <c r="H12" s="9" t="s">
        <v>37</v>
      </c>
      <c r="I12" s="9" t="s">
        <v>136</v>
      </c>
      <c r="J12" s="18" t="n">
        <f aca="false">(Inputs!$C$32*Inputs!$C$36*Inputs!$C$40)*F12</f>
        <v>0.2737</v>
      </c>
      <c r="K12" s="19" t="n">
        <f aca="false">E12*D12*J12</f>
        <v>0.5474</v>
      </c>
      <c r="L12" s="20" t="n">
        <f aca="false">IF(D12*J12&gt;0,C12/(D12*J12)+IF(K12&gt;0,G12/K12,0),0)</f>
        <v>18.2681768359518</v>
      </c>
      <c r="M12" s="21" t="n">
        <f aca="false">MIN(K12,MAX(0,Inputs!$C$10-SUMPRODUCT(($B$5:$B$26=B12)*(($L$5:$L$26&lt;L12)+(($L$5:$L$26=L12)*(ROW($L$5:$L$26)&lt;ROW(L12))))*$K$5:$K$26)))</f>
        <v>0.5474</v>
      </c>
      <c r="N12" s="19" t="n">
        <f aca="false">IF(J12&gt;0,M12/J12,0)</f>
        <v>2</v>
      </c>
      <c r="O12" s="16" t="n">
        <f aca="false">IF(D12&gt;0,N12/D12,0)</f>
        <v>4</v>
      </c>
      <c r="P12" s="20" t="n">
        <f aca="false">O12*C12+IF(M12&gt;0,G12,0)</f>
        <v>10</v>
      </c>
      <c r="Q12" s="20" t="n">
        <f aca="false">MIN(P12,MAX(0,Budget!$B$17-SUMPRODUCT(($L$5:$L$26&gt;L12)*$P$5:$P$26)))</f>
        <v>0</v>
      </c>
      <c r="R12" s="19" t="n">
        <f aca="false">IF(P12&gt;0,M12*Q12/P12,0)</f>
        <v>0</v>
      </c>
    </row>
    <row r="13" customFormat="false" ht="15" hidden="false" customHeight="false" outlineLevel="0" collapsed="false">
      <c r="A13" s="0" t="s">
        <v>137</v>
      </c>
      <c r="B13" s="0" t="s">
        <v>130</v>
      </c>
      <c r="C13" s="22" t="n">
        <f aca="false">Inputs!$C$47*D13*J13</f>
        <v>163.0125</v>
      </c>
      <c r="D13" s="15" t="n">
        <v>0.45</v>
      </c>
      <c r="E13" s="8" t="n">
        <v>20</v>
      </c>
      <c r="F13" s="17" t="n">
        <v>1.15</v>
      </c>
      <c r="G13" s="12" t="n">
        <v>0</v>
      </c>
      <c r="H13" s="9" t="s">
        <v>37</v>
      </c>
      <c r="I13" s="9" t="s">
        <v>138</v>
      </c>
      <c r="J13" s="18" t="n">
        <f aca="false">(Inputs!$C$29*Inputs!$C$33*Inputs!$C$37)*F13</f>
        <v>0.36225</v>
      </c>
      <c r="K13" s="19" t="n">
        <f aca="false">E13*D13*J13</f>
        <v>3.26025</v>
      </c>
      <c r="L13" s="20" t="n">
        <f aca="false">IF(D13*J13&gt;0,C13/(D13*J13)+IF(K13&gt;0,G13/K13,0),0)</f>
        <v>1000</v>
      </c>
      <c r="M13" s="21" t="n">
        <f aca="false">MIN(K13,MAX(0,Inputs!$C$7-SUMPRODUCT(($B$5:$B$26=B13)*(($L$5:$L$26&lt;L13)+(($L$5:$L$26=L13)*(ROW($L$5:$L$26)&lt;ROW(L13))))*$K$5:$K$26)))</f>
        <v>3.26025</v>
      </c>
      <c r="N13" s="19" t="n">
        <f aca="false">IF(J13&gt;0,M13/J13,0)</f>
        <v>9</v>
      </c>
      <c r="O13" s="16" t="n">
        <f aca="false">IF(D13&gt;0,N13/D13,0)</f>
        <v>20</v>
      </c>
      <c r="P13" s="20" t="n">
        <f aca="false">O13*C13+IF(M13&gt;0,G13,0)</f>
        <v>3260.25</v>
      </c>
      <c r="Q13" s="20" t="n">
        <f aca="false">MIN(P13,MAX(0,Budget!$B$17-SUMPRODUCT(($L$5:$L$26&gt;L13)*$P$5:$P$26)))</f>
        <v>0</v>
      </c>
      <c r="R13" s="19" t="n">
        <f aca="false">IF(P13&gt;0,M13*Q13/P13,0)</f>
        <v>0</v>
      </c>
    </row>
    <row r="14" customFormat="false" ht="15" hidden="false" customHeight="false" outlineLevel="0" collapsed="false">
      <c r="A14" s="0" t="s">
        <v>137</v>
      </c>
      <c r="B14" s="0" t="s">
        <v>132</v>
      </c>
      <c r="C14" s="22" t="n">
        <f aca="false">Inputs!$C$47*D14*J14</f>
        <v>192.121875</v>
      </c>
      <c r="D14" s="15" t="n">
        <v>0.45</v>
      </c>
      <c r="E14" s="8" t="n">
        <v>26</v>
      </c>
      <c r="F14" s="17" t="n">
        <v>1.15</v>
      </c>
      <c r="G14" s="12" t="n">
        <v>0</v>
      </c>
      <c r="H14" s="9" t="s">
        <v>37</v>
      </c>
      <c r="I14" s="9" t="s">
        <v>138</v>
      </c>
      <c r="J14" s="18" t="n">
        <f aca="false">(Inputs!$C$30*Inputs!$C$34*Inputs!$C$38)*F14</f>
        <v>0.4269375</v>
      </c>
      <c r="K14" s="19" t="n">
        <f aca="false">E14*D14*J14</f>
        <v>4.99516875</v>
      </c>
      <c r="L14" s="20" t="n">
        <f aca="false">IF(D14*J14&gt;0,C14/(D14*J14)+IF(K14&gt;0,G14/K14,0),0)</f>
        <v>1000</v>
      </c>
      <c r="M14" s="21" t="n">
        <f aca="false">MIN(K14,MAX(0,Inputs!$C$8-SUMPRODUCT(($B$5:$B$26=B14)*(($L$5:$L$26&lt;L14)+(($L$5:$L$26=L14)*(ROW($L$5:$L$26)&lt;ROW(L14))))*$K$5:$K$26)))</f>
        <v>4.99516875</v>
      </c>
      <c r="N14" s="19" t="n">
        <f aca="false">IF(J14&gt;0,M14/J14,0)</f>
        <v>11.7</v>
      </c>
      <c r="O14" s="16" t="n">
        <f aca="false">IF(D14&gt;0,N14/D14,0)</f>
        <v>26</v>
      </c>
      <c r="P14" s="20" t="n">
        <f aca="false">O14*C14+IF(M14&gt;0,G14,0)</f>
        <v>4995.16875</v>
      </c>
      <c r="Q14" s="20" t="n">
        <f aca="false">MIN(P14,MAX(0,Budget!$B$17-SUMPRODUCT(($L$5:$L$26&gt;L14)*$P$5:$P$26)))</f>
        <v>0</v>
      </c>
      <c r="R14" s="19" t="n">
        <f aca="false">IF(P14&gt;0,M14*Q14/P14,0)</f>
        <v>0</v>
      </c>
    </row>
    <row r="15" customFormat="false" ht="15" hidden="false" customHeight="false" outlineLevel="0" collapsed="false">
      <c r="A15" s="0" t="s">
        <v>137</v>
      </c>
      <c r="B15" s="0" t="s">
        <v>133</v>
      </c>
      <c r="C15" s="22" t="n">
        <f aca="false">Inputs!$C$47*D15*J15</f>
        <v>146.71125</v>
      </c>
      <c r="D15" s="15" t="n">
        <v>0.45</v>
      </c>
      <c r="E15" s="8" t="n">
        <v>11</v>
      </c>
      <c r="F15" s="17" t="n">
        <v>1.15</v>
      </c>
      <c r="G15" s="12" t="n">
        <v>0</v>
      </c>
      <c r="H15" s="9" t="s">
        <v>37</v>
      </c>
      <c r="I15" s="9" t="s">
        <v>138</v>
      </c>
      <c r="J15" s="18" t="n">
        <f aca="false">(Inputs!$C$31*Inputs!$C$35*Inputs!$C$39)*F15</f>
        <v>0.326025</v>
      </c>
      <c r="K15" s="19" t="n">
        <f aca="false">E15*D15*J15</f>
        <v>1.61382375</v>
      </c>
      <c r="L15" s="20" t="n">
        <f aca="false">IF(D15*J15&gt;0,C15/(D15*J15)+IF(K15&gt;0,G15/K15,0),0)</f>
        <v>1000</v>
      </c>
      <c r="M15" s="21" t="n">
        <f aca="false">MIN(K15,MAX(0,Inputs!$C$9-SUMPRODUCT(($B$5:$B$26=B15)*(($L$5:$L$26&lt;L15)+(($L$5:$L$26=L15)*(ROW($L$5:$L$26)&lt;ROW(L15))))*$K$5:$K$26)))</f>
        <v>1.61382375</v>
      </c>
      <c r="N15" s="19" t="n">
        <f aca="false">IF(J15&gt;0,M15/J15,0)</f>
        <v>4.95</v>
      </c>
      <c r="O15" s="16" t="n">
        <f aca="false">IF(D15&gt;0,N15/D15,0)</f>
        <v>11</v>
      </c>
      <c r="P15" s="20" t="n">
        <f aca="false">O15*C15+IF(M15&gt;0,G15,0)</f>
        <v>1613.82375</v>
      </c>
      <c r="Q15" s="20" t="n">
        <f aca="false">MIN(P15,MAX(0,Budget!$B$17-SUMPRODUCT(($L$5:$L$26&gt;L15)*$P$5:$P$26)))</f>
        <v>0</v>
      </c>
      <c r="R15" s="19" t="n">
        <f aca="false">IF(P15&gt;0,M15*Q15/P15,0)</f>
        <v>0</v>
      </c>
    </row>
    <row r="16" customFormat="false" ht="15" hidden="false" customHeight="false" outlineLevel="0" collapsed="false">
      <c r="A16" s="0" t="s">
        <v>137</v>
      </c>
      <c r="B16" s="0" t="s">
        <v>134</v>
      </c>
      <c r="C16" s="22" t="n">
        <f aca="false">Inputs!$C$47*D16*J16</f>
        <v>123.165</v>
      </c>
      <c r="D16" s="15" t="n">
        <v>0.45</v>
      </c>
      <c r="E16" s="8" t="n">
        <v>9</v>
      </c>
      <c r="F16" s="17" t="n">
        <v>1.15</v>
      </c>
      <c r="G16" s="12" t="n">
        <v>0</v>
      </c>
      <c r="H16" s="9" t="s">
        <v>37</v>
      </c>
      <c r="I16" s="9" t="s">
        <v>138</v>
      </c>
      <c r="J16" s="18" t="n">
        <f aca="false">(Inputs!$C$32*Inputs!$C$36*Inputs!$C$40)*F16</f>
        <v>0.2737</v>
      </c>
      <c r="K16" s="19" t="n">
        <f aca="false">E16*D16*J16</f>
        <v>1.108485</v>
      </c>
      <c r="L16" s="20" t="n">
        <f aca="false">IF(D16*J16&gt;0,C16/(D16*J16)+IF(K16&gt;0,G16/K16,0),0)</f>
        <v>1000</v>
      </c>
      <c r="M16" s="21" t="n">
        <f aca="false">MIN(K16,MAX(0,Inputs!$C$10-SUMPRODUCT(($B$5:$B$26=B16)*(($L$5:$L$26&lt;L16)+(($L$5:$L$26=L16)*(ROW($L$5:$L$26)&lt;ROW(L16))))*$K$5:$K$26)))</f>
        <v>1.108485</v>
      </c>
      <c r="N16" s="19" t="n">
        <f aca="false">IF(J16&gt;0,M16/J16,0)</f>
        <v>4.05</v>
      </c>
      <c r="O16" s="16" t="n">
        <f aca="false">IF(D16&gt;0,N16/D16,0)</f>
        <v>9</v>
      </c>
      <c r="P16" s="20" t="n">
        <f aca="false">O16*C16+IF(M16&gt;0,G16,0)</f>
        <v>1108.485</v>
      </c>
      <c r="Q16" s="20" t="n">
        <f aca="false">MIN(P16,MAX(0,Budget!$B$17-SUMPRODUCT(($L$5:$L$26&gt;L16)*$P$5:$P$26)))</f>
        <v>0</v>
      </c>
      <c r="R16" s="19" t="n">
        <f aca="false">IF(P16&gt;0,M16*Q16/P16,0)</f>
        <v>0</v>
      </c>
    </row>
    <row r="17" customFormat="false" ht="15" hidden="false" customHeight="false" outlineLevel="0" collapsed="false">
      <c r="A17" s="0" t="s">
        <v>139</v>
      </c>
      <c r="B17" s="0" t="s">
        <v>132</v>
      </c>
      <c r="C17" s="14" t="n">
        <v>18.75</v>
      </c>
      <c r="D17" s="15" t="n">
        <v>0.14</v>
      </c>
      <c r="E17" s="8" t="n">
        <v>350</v>
      </c>
      <c r="F17" s="17" t="n">
        <v>1</v>
      </c>
      <c r="G17" s="12" t="n">
        <v>400</v>
      </c>
      <c r="H17" s="9" t="s">
        <v>37</v>
      </c>
      <c r="I17" s="9" t="s">
        <v>140</v>
      </c>
      <c r="J17" s="18" t="n">
        <f aca="false">(Inputs!$C$30*Inputs!$C$34*Inputs!$C$38)*F17</f>
        <v>0.37125</v>
      </c>
      <c r="K17" s="19" t="n">
        <f aca="false">MIN(E17*D17*J17,Inputs!$C$12*Inputs!$C$8)</f>
        <v>18</v>
      </c>
      <c r="L17" s="20" t="n">
        <f aca="false">IF(D17*J17&gt;0,C17/(D17*J17)+IF(K17&gt;0,G17/K17,0),0)</f>
        <v>382.972582972583</v>
      </c>
      <c r="M17" s="21" t="n">
        <f aca="false">MIN(K17,MAX(0,Inputs!$C$8-SUMPRODUCT(($B$5:$B$26=B17)*(($L$5:$L$26&lt;L17)+(($L$5:$L$26=L17)*(ROW($L$5:$L$26)&lt;ROW(L17))))*$K$5:$K$26)))</f>
        <v>18</v>
      </c>
      <c r="N17" s="19" t="n">
        <f aca="false">IF(J17&gt;0,M17/J17,0)</f>
        <v>48.4848484848485</v>
      </c>
      <c r="O17" s="16" t="n">
        <f aca="false">IF(D17&gt;0,N17/D17,0)</f>
        <v>346.320346320346</v>
      </c>
      <c r="P17" s="20" t="n">
        <f aca="false">O17*C17+IF(M17&gt;0,G17,0)</f>
        <v>6893.50649350649</v>
      </c>
      <c r="Q17" s="20" t="n">
        <f aca="false">MIN(P17,MAX(0,Budget!$B$17-SUMPRODUCT(($L$5:$L$26&gt;L17)*$P$5:$P$26)))</f>
        <v>0</v>
      </c>
      <c r="R17" s="19" t="n">
        <f aca="false">IF(P17&gt;0,M17*Q17/P17,0)</f>
        <v>0</v>
      </c>
    </row>
    <row r="18" customFormat="false" ht="15" hidden="false" customHeight="false" outlineLevel="0" collapsed="false">
      <c r="A18" s="0" t="s">
        <v>141</v>
      </c>
      <c r="B18" s="0" t="s">
        <v>130</v>
      </c>
      <c r="C18" s="14" t="n">
        <v>84</v>
      </c>
      <c r="D18" s="15" t="n">
        <v>0.25</v>
      </c>
      <c r="E18" s="8" t="n">
        <v>118</v>
      </c>
      <c r="F18" s="17" t="n">
        <v>0.9</v>
      </c>
      <c r="G18" s="12" t="n">
        <v>1200</v>
      </c>
      <c r="H18" s="9" t="s">
        <v>37</v>
      </c>
      <c r="I18" s="9" t="s">
        <v>142</v>
      </c>
      <c r="J18" s="18" t="n">
        <f aca="false">(Inputs!$C$29*Inputs!$C$33*Inputs!$C$37)*F18</f>
        <v>0.2835</v>
      </c>
      <c r="K18" s="19" t="n">
        <f aca="false">E18*D18*J18</f>
        <v>8.36325</v>
      </c>
      <c r="L18" s="20" t="n">
        <f aca="false">IF(D18*J18&gt;0,C18/(D18*J18)+IF(K18&gt;0,G18/K18,0),0)</f>
        <v>1328.67007443279</v>
      </c>
      <c r="M18" s="21" t="n">
        <f aca="false">MIN(K18,MAX(0,Inputs!$C$7-SUMPRODUCT(($B$5:$B$26=B18)*(($L$5:$L$26&lt;L18)+(($L$5:$L$26=L18)*(ROW($L$5:$L$26)&lt;ROW(L18))))*$K$5:$K$26)))</f>
        <v>8.36325</v>
      </c>
      <c r="N18" s="19" t="n">
        <f aca="false">IF(J18&gt;0,M18/J18,0)</f>
        <v>29.5</v>
      </c>
      <c r="O18" s="16" t="n">
        <f aca="false">IF(D18&gt;0,N18/D18,0)</f>
        <v>118</v>
      </c>
      <c r="P18" s="20" t="n">
        <f aca="false">O18*C18+IF(M18&gt;0,G18,0)</f>
        <v>11112</v>
      </c>
      <c r="Q18" s="20" t="n">
        <f aca="false">MIN(P18,MAX(0,Budget!$B$17-SUMPRODUCT(($L$5:$L$26&gt;L18)*$P$5:$P$26)))</f>
        <v>0</v>
      </c>
      <c r="R18" s="19" t="n">
        <f aca="false">IF(P18&gt;0,M18*Q18/P18,0)</f>
        <v>0</v>
      </c>
    </row>
    <row r="19" customFormat="false" ht="15" hidden="false" customHeight="false" outlineLevel="0" collapsed="false">
      <c r="A19" s="0" t="s">
        <v>143</v>
      </c>
      <c r="B19" s="0" t="s">
        <v>130</v>
      </c>
      <c r="C19" s="14" t="n">
        <v>121</v>
      </c>
      <c r="D19" s="15" t="n">
        <v>0.225</v>
      </c>
      <c r="E19" s="8" t="n">
        <v>24</v>
      </c>
      <c r="F19" s="17" t="n">
        <v>1</v>
      </c>
      <c r="G19" s="12" t="n">
        <v>0</v>
      </c>
      <c r="H19" s="9" t="s">
        <v>60</v>
      </c>
      <c r="I19" s="9" t="s">
        <v>144</v>
      </c>
      <c r="J19" s="18" t="n">
        <f aca="false">(Inputs!$C$29*Inputs!$C$33*Inputs!$C$37)*F19</f>
        <v>0.315</v>
      </c>
      <c r="K19" s="19" t="n">
        <f aca="false">E19*D19*J19</f>
        <v>1.701</v>
      </c>
      <c r="L19" s="20" t="n">
        <f aca="false">IF(D19*J19&gt;0,C19/(D19*J19)+IF(K19&gt;0,G19/K19,0),0)</f>
        <v>1707.23104056437</v>
      </c>
      <c r="M19" s="21" t="n">
        <f aca="false">MIN(K19,MAX(0,Inputs!$C$7-SUMPRODUCT(($B$5:$B$26=B19)*(($L$5:$L$26&lt;L19)+(($L$5:$L$26=L19)*(ROW($L$5:$L$26)&lt;ROW(L19))))*$K$5:$K$26)))</f>
        <v>1.701</v>
      </c>
      <c r="N19" s="19" t="n">
        <f aca="false">IF(J19&gt;0,M19/J19,0)</f>
        <v>5.4</v>
      </c>
      <c r="O19" s="16" t="n">
        <f aca="false">IF(D19&gt;0,N19/D19,0)</f>
        <v>24</v>
      </c>
      <c r="P19" s="20" t="n">
        <f aca="false">O19*C19+IF(M19&gt;0,G19,0)</f>
        <v>2904</v>
      </c>
      <c r="Q19" s="20" t="n">
        <f aca="false">MIN(P19,MAX(0,Budget!$B$17-SUMPRODUCT(($L$5:$L$26&gt;L19)*$P$5:$P$26)))</f>
        <v>0</v>
      </c>
      <c r="R19" s="19" t="n">
        <f aca="false">IF(P19&gt;0,M19*Q19/P19,0)</f>
        <v>0</v>
      </c>
    </row>
    <row r="20" customFormat="false" ht="15" hidden="false" customHeight="false" outlineLevel="0" collapsed="false">
      <c r="A20" s="0" t="s">
        <v>143</v>
      </c>
      <c r="B20" s="0" t="s">
        <v>132</v>
      </c>
      <c r="C20" s="14" t="n">
        <v>121</v>
      </c>
      <c r="D20" s="15" t="n">
        <v>0.225</v>
      </c>
      <c r="E20" s="8" t="n">
        <v>24</v>
      </c>
      <c r="F20" s="17" t="n">
        <v>1</v>
      </c>
      <c r="G20" s="12" t="n">
        <v>0</v>
      </c>
      <c r="H20" s="9" t="s">
        <v>60</v>
      </c>
      <c r="I20" s="9" t="s">
        <v>144</v>
      </c>
      <c r="J20" s="18" t="n">
        <f aca="false">(Inputs!$C$30*Inputs!$C$34*Inputs!$C$38)*F20</f>
        <v>0.37125</v>
      </c>
      <c r="K20" s="19" t="n">
        <f aca="false">E20*D20*J20</f>
        <v>2.00475</v>
      </c>
      <c r="L20" s="20" t="n">
        <f aca="false">IF(D20*J20&gt;0,C20/(D20*J20)+IF(K20&gt;0,G20/K20,0),0)</f>
        <v>1448.55967078189</v>
      </c>
      <c r="M20" s="21" t="n">
        <f aca="false">MIN(K20,MAX(0,Inputs!$C$8-SUMPRODUCT(($B$5:$B$26=B20)*(($L$5:$L$26&lt;L20)+(($L$5:$L$26=L20)*(ROW($L$5:$L$26)&lt;ROW(L20))))*$K$5:$K$26)))</f>
        <v>2.00475</v>
      </c>
      <c r="N20" s="19" t="n">
        <f aca="false">IF(J20&gt;0,M20/J20,0)</f>
        <v>5.4</v>
      </c>
      <c r="O20" s="16" t="n">
        <f aca="false">IF(D20&gt;0,N20/D20,0)</f>
        <v>24</v>
      </c>
      <c r="P20" s="20" t="n">
        <f aca="false">O20*C20+IF(M20&gt;0,G20,0)</f>
        <v>2904</v>
      </c>
      <c r="Q20" s="20" t="n">
        <f aca="false">MIN(P20,MAX(0,Budget!$B$17-SUMPRODUCT(($L$5:$L$26&gt;L20)*$P$5:$P$26)))</f>
        <v>0</v>
      </c>
      <c r="R20" s="19" t="n">
        <f aca="false">IF(P20&gt;0,M20*Q20/P20,0)</f>
        <v>0</v>
      </c>
    </row>
    <row r="21" customFormat="false" ht="15" hidden="false" customHeight="false" outlineLevel="0" collapsed="false">
      <c r="A21" s="0" t="s">
        <v>145</v>
      </c>
      <c r="B21" s="0" t="s">
        <v>133</v>
      </c>
      <c r="C21" s="14" t="n">
        <v>96</v>
      </c>
      <c r="D21" s="15" t="n">
        <v>0.225</v>
      </c>
      <c r="E21" s="8" t="n">
        <v>160</v>
      </c>
      <c r="F21" s="17" t="n">
        <v>1</v>
      </c>
      <c r="G21" s="12" t="n">
        <v>0</v>
      </c>
      <c r="H21" s="9" t="s">
        <v>60</v>
      </c>
      <c r="I21" s="9" t="s">
        <v>146</v>
      </c>
      <c r="J21" s="18" t="n">
        <f aca="false">(Inputs!$C$31*Inputs!$C$35*Inputs!$C$39)*F21</f>
        <v>0.2835</v>
      </c>
      <c r="K21" s="19" t="n">
        <f aca="false">E21*D21*J21</f>
        <v>10.206</v>
      </c>
      <c r="L21" s="20" t="n">
        <f aca="false">IF(D21*J21&gt;0,C21/(D21*J21)+IF(K21&gt;0,G21/K21,0),0)</f>
        <v>1504.99706055262</v>
      </c>
      <c r="M21" s="21" t="n">
        <f aca="false">MIN(K21,MAX(0,Inputs!$C$9-SUMPRODUCT(($B$5:$B$26=B21)*(($L$5:$L$26&lt;L21)+(($L$5:$L$26=L21)*(ROW($L$5:$L$26)&lt;ROW(L21))))*$K$5:$K$26)))</f>
        <v>9.94165125</v>
      </c>
      <c r="N21" s="19" t="n">
        <f aca="false">IF(J21&gt;0,M21/J21,0)</f>
        <v>35.0675529100529</v>
      </c>
      <c r="O21" s="16" t="n">
        <f aca="false">IF(D21&gt;0,N21/D21,0)</f>
        <v>155.855790711346</v>
      </c>
      <c r="P21" s="20" t="n">
        <f aca="false">O21*C21+IF(M21&gt;0,G21,0)</f>
        <v>14962.1559082892</v>
      </c>
      <c r="Q21" s="20" t="n">
        <f aca="false">MIN(P21,MAX(0,Budget!$B$17-SUMPRODUCT(($L$5:$L$26&gt;L21)*$P$5:$P$26)))</f>
        <v>0</v>
      </c>
      <c r="R21" s="19" t="n">
        <f aca="false">IF(P21&gt;0,M21*Q21/P21,0)</f>
        <v>0</v>
      </c>
    </row>
    <row r="22" customFormat="false" ht="15" hidden="false" customHeight="false" outlineLevel="0" collapsed="false">
      <c r="A22" s="0" t="s">
        <v>145</v>
      </c>
      <c r="B22" s="0" t="s">
        <v>134</v>
      </c>
      <c r="C22" s="14" t="n">
        <v>96</v>
      </c>
      <c r="D22" s="15" t="n">
        <v>0.207</v>
      </c>
      <c r="E22" s="8" t="n">
        <v>180</v>
      </c>
      <c r="F22" s="17" t="n">
        <v>1</v>
      </c>
      <c r="G22" s="12" t="n">
        <v>0</v>
      </c>
      <c r="H22" s="9" t="s">
        <v>60</v>
      </c>
      <c r="I22" s="9" t="s">
        <v>146</v>
      </c>
      <c r="J22" s="18" t="n">
        <f aca="false">(Inputs!$C$32*Inputs!$C$36*Inputs!$C$40)*F22</f>
        <v>0.238</v>
      </c>
      <c r="K22" s="19" t="n">
        <f aca="false">E22*D22*J22</f>
        <v>8.86788</v>
      </c>
      <c r="L22" s="20" t="n">
        <f aca="false">IF(D22*J22&gt;0,C22/(D22*J22)+IF(K22&gt;0,G22/K22,0),0)</f>
        <v>1948.60552916819</v>
      </c>
      <c r="M22" s="21" t="n">
        <f aca="false">MIN(K22,MAX(0,Inputs!$C$10-SUMPRODUCT(($B$5:$B$26=B22)*(($L$5:$L$26&lt;L22)+(($L$5:$L$26=L22)*(ROW($L$5:$L$26)&lt;ROW(L22))))*$K$5:$K$26)))</f>
        <v>7.002985</v>
      </c>
      <c r="N22" s="19" t="n">
        <f aca="false">IF(J22&gt;0,M22/J22,0)</f>
        <v>29.4243067226891</v>
      </c>
      <c r="O22" s="16" t="n">
        <f aca="false">IF(D22&gt;0,N22/D22,0)</f>
        <v>142.146409288353</v>
      </c>
      <c r="P22" s="20" t="n">
        <f aca="false">O22*C22+IF(M22&gt;0,G22,0)</f>
        <v>13646.0552916819</v>
      </c>
      <c r="Q22" s="20" t="n">
        <f aca="false">MIN(P22,MAX(0,Budget!$B$17-SUMPRODUCT(($L$5:$L$26&gt;L22)*$P$5:$P$26)))</f>
        <v>7124.93812277056</v>
      </c>
      <c r="R22" s="19" t="n">
        <f aca="false">IF(P22&gt;0,M22*Q22/P22,0)</f>
        <v>3.65642918287931</v>
      </c>
    </row>
    <row r="23" customFormat="false" ht="15" hidden="false" customHeight="false" outlineLevel="0" collapsed="false">
      <c r="A23" s="0" t="s">
        <v>147</v>
      </c>
      <c r="B23" s="0" t="s">
        <v>130</v>
      </c>
      <c r="C23" s="14" t="n">
        <v>161</v>
      </c>
      <c r="D23" s="15" t="n">
        <v>0.225</v>
      </c>
      <c r="E23" s="8" t="n">
        <v>910</v>
      </c>
      <c r="F23" s="17" t="n">
        <v>1</v>
      </c>
      <c r="G23" s="12" t="n">
        <v>0</v>
      </c>
      <c r="H23" s="9" t="s">
        <v>60</v>
      </c>
      <c r="I23" s="9" t="s">
        <v>148</v>
      </c>
      <c r="J23" s="18" t="n">
        <f aca="false">(Inputs!$C$29*Inputs!$C$33*Inputs!$C$37)*F23</f>
        <v>0.315</v>
      </c>
      <c r="K23" s="19" t="n">
        <f aca="false">E23*D23*J23</f>
        <v>64.49625</v>
      </c>
      <c r="L23" s="20" t="n">
        <f aca="false">IF(D23*J23&gt;0,C23/(D23*J23)+IF(K23&gt;0,G23/K23,0),0)</f>
        <v>2271.6049382716</v>
      </c>
      <c r="M23" s="21" t="n">
        <f aca="false">MIN(K23,MAX(0,Inputs!$C$7-SUMPRODUCT(($B$5:$B$26=B23)*(($L$5:$L$26&lt;L23)+(($L$5:$L$26=L23)*(ROW($L$5:$L$26)&lt;ROW(L23))))*$K$5:$K$26)))</f>
        <v>9.438375</v>
      </c>
      <c r="N23" s="19" t="n">
        <f aca="false">IF(J23&gt;0,M23/J23,0)</f>
        <v>29.9630952380952</v>
      </c>
      <c r="O23" s="16" t="n">
        <f aca="false">IF(D23&gt;0,N23/D23,0)</f>
        <v>133.169312169312</v>
      </c>
      <c r="P23" s="20" t="n">
        <f aca="false">O23*C23+IF(M23&gt;0,G23,0)</f>
        <v>21440.2592592593</v>
      </c>
      <c r="Q23" s="20" t="n">
        <f aca="false">MIN(P23,MAX(0,Budget!$B$17-SUMPRODUCT(($L$5:$L$26&gt;L23)*$P$5:$P$26)))</f>
        <v>21440.2592592593</v>
      </c>
      <c r="R23" s="19" t="n">
        <f aca="false">IF(P23&gt;0,M23*Q23/P23,0)</f>
        <v>9.438375</v>
      </c>
    </row>
    <row r="24" customFormat="false" ht="15" hidden="false" customHeight="false" outlineLevel="0" collapsed="false">
      <c r="A24" s="0" t="s">
        <v>147</v>
      </c>
      <c r="B24" s="0" t="s">
        <v>132</v>
      </c>
      <c r="C24" s="14" t="n">
        <v>161</v>
      </c>
      <c r="D24" s="15" t="n">
        <v>0.225</v>
      </c>
      <c r="E24" s="8" t="n">
        <v>4690</v>
      </c>
      <c r="F24" s="17" t="n">
        <v>1</v>
      </c>
      <c r="G24" s="12" t="n">
        <v>0</v>
      </c>
      <c r="H24" s="9" t="s">
        <v>60</v>
      </c>
      <c r="I24" s="9" t="s">
        <v>148</v>
      </c>
      <c r="J24" s="18" t="n">
        <f aca="false">(Inputs!$C$30*Inputs!$C$34*Inputs!$C$38)*F24</f>
        <v>0.37125</v>
      </c>
      <c r="K24" s="19" t="n">
        <f aca="false">E24*D24*J24</f>
        <v>391.7615625</v>
      </c>
      <c r="L24" s="20" t="n">
        <f aca="false">IF(D24*J24&gt;0,C24/(D24*J24)+IF(K24&gt;0,G24/K24,0),0)</f>
        <v>1927.42237186682</v>
      </c>
      <c r="M24" s="21" t="n">
        <f aca="false">MIN(K24,MAX(0,Inputs!$C$8-SUMPRODUCT(($B$5:$B$26=B24)*(($L$5:$L$26&lt;L24)+(($L$5:$L$26=L24)*(ROW($L$5:$L$26)&lt;ROW(L24))))*$K$5:$K$26)))</f>
        <v>7.8138</v>
      </c>
      <c r="N24" s="19" t="n">
        <f aca="false">IF(J24&gt;0,M24/J24,0)</f>
        <v>21.0472727272727</v>
      </c>
      <c r="O24" s="16" t="n">
        <f aca="false">IF(D24&gt;0,N24/D24,0)</f>
        <v>93.5434343434343</v>
      </c>
      <c r="P24" s="20" t="n">
        <f aca="false">O24*C24+IF(M24&gt;0,G24,0)</f>
        <v>15060.4929292929</v>
      </c>
      <c r="Q24" s="20" t="n">
        <f aca="false">MIN(P24,MAX(0,Budget!$B$17-SUMPRODUCT(($L$5:$L$26&gt;L24)*$P$5:$P$26)))</f>
        <v>0</v>
      </c>
      <c r="R24" s="19" t="n">
        <f aca="false">IF(P24&gt;0,M24*Q24/P24,0)</f>
        <v>0</v>
      </c>
    </row>
    <row r="25" customFormat="false" ht="15" hidden="false" customHeight="false" outlineLevel="0" collapsed="false">
      <c r="A25" s="0" t="s">
        <v>147</v>
      </c>
      <c r="B25" s="0" t="s">
        <v>133</v>
      </c>
      <c r="C25" s="14" t="n">
        <v>161</v>
      </c>
      <c r="D25" s="15" t="n">
        <v>0.225</v>
      </c>
      <c r="E25" s="8" t="n">
        <v>380</v>
      </c>
      <c r="F25" s="17" t="n">
        <v>1</v>
      </c>
      <c r="G25" s="12" t="n">
        <v>0</v>
      </c>
      <c r="H25" s="9" t="s">
        <v>60</v>
      </c>
      <c r="I25" s="9" t="s">
        <v>148</v>
      </c>
      <c r="J25" s="18" t="n">
        <f aca="false">(Inputs!$C$31*Inputs!$C$35*Inputs!$C$39)*F25</f>
        <v>0.2835</v>
      </c>
      <c r="K25" s="19" t="n">
        <f aca="false">E25*D25*J25</f>
        <v>24.23925</v>
      </c>
      <c r="L25" s="20" t="n">
        <f aca="false">IF(D25*J25&gt;0,C25/(D25*J25)+IF(K25&gt;0,G25/K25,0),0)</f>
        <v>2524.00548696845</v>
      </c>
      <c r="M25" s="21" t="n">
        <f aca="false">MIN(K25,MAX(0,Inputs!$C$9-SUMPRODUCT(($B$5:$B$26=B25)*(($L$5:$L$26&lt;L25)+(($L$5:$L$26=L25)*(ROW($L$5:$L$26)&lt;ROW(L25))))*$K$5:$K$26)))</f>
        <v>0</v>
      </c>
      <c r="N25" s="19" t="n">
        <f aca="false">IF(J25&gt;0,M25/J25,0)</f>
        <v>0</v>
      </c>
      <c r="O25" s="16" t="n">
        <f aca="false">IF(D25&gt;0,N25/D25,0)</f>
        <v>0</v>
      </c>
      <c r="P25" s="20" t="n">
        <f aca="false">O25*C25+IF(M25&gt;0,G25,0)</f>
        <v>0</v>
      </c>
      <c r="Q25" s="20" t="n">
        <f aca="false">MIN(P25,MAX(0,Budget!$B$17-SUMPRODUCT(($L$5:$L$26&gt;L25)*$P$5:$P$26)))</f>
        <v>0</v>
      </c>
      <c r="R25" s="19" t="n">
        <f aca="false">IF(P25&gt;0,M25*Q25/P25,0)</f>
        <v>0</v>
      </c>
    </row>
    <row r="26" customFormat="false" ht="15" hidden="false" customHeight="false" outlineLevel="0" collapsed="false">
      <c r="A26" s="0" t="s">
        <v>147</v>
      </c>
      <c r="B26" s="0" t="s">
        <v>134</v>
      </c>
      <c r="C26" s="14" t="n">
        <v>161</v>
      </c>
      <c r="D26" s="15" t="n">
        <v>0.207</v>
      </c>
      <c r="E26" s="8" t="n">
        <v>430</v>
      </c>
      <c r="F26" s="17" t="n">
        <v>1</v>
      </c>
      <c r="G26" s="12" t="n">
        <v>0</v>
      </c>
      <c r="H26" s="9" t="s">
        <v>60</v>
      </c>
      <c r="I26" s="9" t="s">
        <v>148</v>
      </c>
      <c r="J26" s="18" t="n">
        <f aca="false">(Inputs!$C$32*Inputs!$C$36*Inputs!$C$40)*F26</f>
        <v>0.238</v>
      </c>
      <c r="K26" s="19" t="n">
        <f aca="false">E26*D26*J26</f>
        <v>21.18438</v>
      </c>
      <c r="L26" s="20" t="n">
        <f aca="false">IF(D26*J26&gt;0,C26/(D26*J26)+IF(K26&gt;0,G26/K26,0),0)</f>
        <v>3267.97385620915</v>
      </c>
      <c r="M26" s="21" t="n">
        <f aca="false">MIN(K26,MAX(0,Inputs!$C$10-SUMPRODUCT(($B$5:$B$26=B26)*(($L$5:$L$26&lt;L26)+(($L$5:$L$26=L26)*(ROW($L$5:$L$26)&lt;ROW(L26))))*$K$5:$K$26)))</f>
        <v>0</v>
      </c>
      <c r="N26" s="19" t="n">
        <f aca="false">IF(J26&gt;0,M26/J26,0)</f>
        <v>0</v>
      </c>
      <c r="O26" s="16" t="n">
        <f aca="false">IF(D26&gt;0,N26/D26,0)</f>
        <v>0</v>
      </c>
      <c r="P26" s="20" t="n">
        <f aca="false">O26*C26+IF(M26&gt;0,G26,0)</f>
        <v>0</v>
      </c>
      <c r="Q26" s="20" t="n">
        <f aca="false">MIN(P26,MAX(0,Budget!$B$17-SUMPRODUCT(($L$5:$L$26&gt;L26)*$P$5:$P$26)))</f>
        <v>0</v>
      </c>
      <c r="R26" s="19" t="n">
        <f aca="false">IF(P26&gt;0,M26*Q26/P26,0)</f>
        <v>0</v>
      </c>
    </row>
    <row r="27" customFormat="false" ht="15" hidden="false" customHeight="false" outlineLevel="0" collapsed="false">
      <c r="A27" s="4" t="s">
        <v>149</v>
      </c>
      <c r="M27" s="2" t="n">
        <f aca="false">SUM(M5:M26)</f>
        <v>100</v>
      </c>
      <c r="N27" s="2" t="n">
        <f aca="false">SUM(N5:N26)</f>
        <v>307.922076082959</v>
      </c>
      <c r="O27" s="23" t="n">
        <f aca="false">SUM(O5:O26)</f>
        <v>1480.03529283279</v>
      </c>
      <c r="P27" s="3" t="n">
        <f aca="false">SUM(P5:P26)</f>
        <v>99965.1973820298</v>
      </c>
      <c r="Q27" s="3" t="n">
        <f aca="false">SUM(Q5:Q26)</f>
        <v>28565.1973820298</v>
      </c>
      <c r="R27" s="2" t="n">
        <f aca="false">SUM(R5:R26)</f>
        <v>13.0948041828793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8" min="3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3" min="11" style="0" width="11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0" t="s">
        <v>151</v>
      </c>
    </row>
    <row r="4" customFormat="false" ht="28.35" hidden="false" customHeight="false" outlineLevel="0" collapsed="false">
      <c r="A4" s="7" t="s">
        <v>114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  <c r="G4" s="7" t="s">
        <v>120</v>
      </c>
      <c r="H4" s="7" t="s">
        <v>157</v>
      </c>
      <c r="I4" s="7" t="s">
        <v>158</v>
      </c>
      <c r="J4" s="7" t="s">
        <v>159</v>
      </c>
      <c r="K4" s="7" t="s">
        <v>160</v>
      </c>
      <c r="L4" s="7" t="s">
        <v>126</v>
      </c>
      <c r="M4" s="7" t="s">
        <v>122</v>
      </c>
    </row>
    <row r="5" customFormat="false" ht="15" hidden="false" customHeight="false" outlineLevel="0" collapsed="false">
      <c r="A5" s="0" t="s">
        <v>130</v>
      </c>
      <c r="B5" s="16" t="n">
        <f aca="false">Inputs!$C$7</f>
        <v>30</v>
      </c>
      <c r="C5" s="24" t="n">
        <f aca="false">Inputs!$C$25</f>
        <v>0.25</v>
      </c>
      <c r="D5" s="24" t="n">
        <f aca="false">Inputs!$C$29</f>
        <v>0.5</v>
      </c>
      <c r="E5" s="24" t="n">
        <f aca="false">Inputs!$C$33</f>
        <v>0.9</v>
      </c>
      <c r="F5" s="24" t="n">
        <f aca="false">Inputs!$C$37</f>
        <v>0.7</v>
      </c>
      <c r="G5" s="18" t="n">
        <f aca="false">D5*E5*F5</f>
        <v>0.315</v>
      </c>
      <c r="H5" s="16" t="n">
        <f aca="false">B5/G5</f>
        <v>95.2380952380952</v>
      </c>
      <c r="I5" s="16" t="n">
        <f aca="false">H5/C5</f>
        <v>380.952380952381</v>
      </c>
      <c r="J5" s="19" t="n">
        <f aca="false">SUMIFS(Sources!$M$5:$M$26,Sources!$B$5:$B$26,A5)</f>
        <v>30</v>
      </c>
      <c r="K5" s="19" t="n">
        <f aca="false">SUMIFS(Sources!$N$5:$N$26,Sources!$B$5:$B$26,A5)</f>
        <v>96.2380952380952</v>
      </c>
      <c r="L5" s="20" t="n">
        <f aca="false">SUMIFS(Sources!$P$5:$P$26,Sources!$B$5:$B$26,A5)</f>
        <v>38736.5092592593</v>
      </c>
      <c r="M5" s="20" t="n">
        <f aca="false">IF(J5&gt;0,L5/J5,0)</f>
        <v>1291.21697530864</v>
      </c>
    </row>
    <row r="6" customFormat="false" ht="15" hidden="false" customHeight="false" outlineLevel="0" collapsed="false">
      <c r="A6" s="0" t="s">
        <v>132</v>
      </c>
      <c r="B6" s="16" t="n">
        <f aca="false">Inputs!$C$8</f>
        <v>45</v>
      </c>
      <c r="C6" s="24" t="n">
        <f aca="false">Inputs!$C$26</f>
        <v>0.25</v>
      </c>
      <c r="D6" s="24" t="n">
        <f aca="false">Inputs!$C$30</f>
        <v>0.55</v>
      </c>
      <c r="E6" s="24" t="n">
        <f aca="false">Inputs!$C$34</f>
        <v>0.9</v>
      </c>
      <c r="F6" s="24" t="n">
        <f aca="false">Inputs!$C$38</f>
        <v>0.75</v>
      </c>
      <c r="G6" s="18" t="n">
        <f aca="false">D6*E6*F6</f>
        <v>0.37125</v>
      </c>
      <c r="H6" s="16" t="n">
        <f aca="false">B6/G6</f>
        <v>121.212121212121</v>
      </c>
      <c r="I6" s="16" t="n">
        <f aca="false">H6/C6</f>
        <v>484.848484848485</v>
      </c>
      <c r="J6" s="19" t="n">
        <f aca="false">SUMIFS(Sources!$M$5:$M$26,Sources!$B$5:$B$26,A6)</f>
        <v>45</v>
      </c>
      <c r="K6" s="19" t="n">
        <f aca="false">SUMIFS(Sources!$N$5:$N$26,Sources!$B$5:$B$26,A6)</f>
        <v>118.782121212121</v>
      </c>
      <c r="L6" s="20" t="n">
        <f aca="false">SUMIFS(Sources!$P$5:$P$26,Sources!$B$5:$B$26,A6)</f>
        <v>29875.6681727994</v>
      </c>
      <c r="M6" s="20" t="n">
        <f aca="false">IF(J6&gt;0,L6/J6,0)</f>
        <v>663.903737173321</v>
      </c>
    </row>
    <row r="7" customFormat="false" ht="15" hidden="false" customHeight="false" outlineLevel="0" collapsed="false">
      <c r="A7" s="0" t="s">
        <v>133</v>
      </c>
      <c r="B7" s="16" t="n">
        <f aca="false">Inputs!$C$9</f>
        <v>15</v>
      </c>
      <c r="C7" s="24" t="n">
        <f aca="false">Inputs!$C$27</f>
        <v>0.25</v>
      </c>
      <c r="D7" s="24" t="n">
        <f aca="false">Inputs!$C$31</f>
        <v>0.45</v>
      </c>
      <c r="E7" s="24" t="n">
        <f aca="false">Inputs!$C$35</f>
        <v>0.9</v>
      </c>
      <c r="F7" s="24" t="n">
        <f aca="false">Inputs!$C$39</f>
        <v>0.7</v>
      </c>
      <c r="G7" s="18" t="n">
        <f aca="false">D7*E7*F7</f>
        <v>0.2835</v>
      </c>
      <c r="H7" s="16" t="n">
        <f aca="false">B7/G7</f>
        <v>52.9100529100529</v>
      </c>
      <c r="I7" s="16" t="n">
        <f aca="false">H7/C7</f>
        <v>211.640211640212</v>
      </c>
      <c r="J7" s="19" t="n">
        <f aca="false">SUMIFS(Sources!$M$5:$M$26,Sources!$B$5:$B$26,A7)</f>
        <v>15</v>
      </c>
      <c r="K7" s="19" t="n">
        <f aca="false">SUMIFS(Sources!$N$5:$N$26,Sources!$B$5:$B$26,A7)</f>
        <v>51.7925529100529</v>
      </c>
      <c r="L7" s="20" t="n">
        <f aca="false">SUMIFS(Sources!$P$5:$P$26,Sources!$B$5:$B$26,A7)</f>
        <v>16588.4796582892</v>
      </c>
      <c r="M7" s="20" t="n">
        <f aca="false">IF(J7&gt;0,L7/J7,0)</f>
        <v>1105.89864388595</v>
      </c>
    </row>
    <row r="8" customFormat="false" ht="15" hidden="false" customHeight="false" outlineLevel="0" collapsed="false">
      <c r="A8" s="0" t="s">
        <v>134</v>
      </c>
      <c r="B8" s="16" t="n">
        <f aca="false">Inputs!$C$10</f>
        <v>10</v>
      </c>
      <c r="C8" s="24" t="n">
        <f aca="false">Inputs!$C$28</f>
        <v>0.23</v>
      </c>
      <c r="D8" s="24" t="n">
        <f aca="false">Inputs!$C$32</f>
        <v>0.4</v>
      </c>
      <c r="E8" s="24" t="n">
        <f aca="false">Inputs!$C$36</f>
        <v>0.85</v>
      </c>
      <c r="F8" s="24" t="n">
        <f aca="false">Inputs!$C$40</f>
        <v>0.7</v>
      </c>
      <c r="G8" s="18" t="n">
        <f aca="false">D8*E8*F8</f>
        <v>0.238</v>
      </c>
      <c r="H8" s="16" t="n">
        <f aca="false">B8/G8</f>
        <v>42.0168067226891</v>
      </c>
      <c r="I8" s="16" t="n">
        <f aca="false">H8/C8</f>
        <v>182.681768359518</v>
      </c>
      <c r="J8" s="19" t="n">
        <f aca="false">SUMIFS(Sources!$M$5:$M$26,Sources!$B$5:$B$26,A8)</f>
        <v>10</v>
      </c>
      <c r="K8" s="19" t="n">
        <f aca="false">SUMIFS(Sources!$N$5:$N$26,Sources!$B$5:$B$26,A8)</f>
        <v>41.1093067226891</v>
      </c>
      <c r="L8" s="20" t="n">
        <f aca="false">SUMIFS(Sources!$P$5:$P$26,Sources!$B$5:$B$26,A8)</f>
        <v>14764.5402916819</v>
      </c>
      <c r="M8" s="20" t="n">
        <f aca="false">IF(J8&gt;0,L8/J8,0)</f>
        <v>1476.45402916819</v>
      </c>
    </row>
    <row r="9" customFormat="false" ht="15" hidden="false" customHeight="false" outlineLevel="0" collapsed="false">
      <c r="A9" s="4" t="s">
        <v>149</v>
      </c>
      <c r="B9" s="23" t="n">
        <f aca="false">SUM(B5:B8)</f>
        <v>100</v>
      </c>
      <c r="H9" s="23" t="n">
        <f aca="false">SUM(H5:H8)</f>
        <v>311.377076082958</v>
      </c>
      <c r="I9" s="23" t="n">
        <f aca="false">SUM(I5:I8)</f>
        <v>1260.1228458006</v>
      </c>
      <c r="J9" s="2" t="n">
        <f aca="false">SUM(J5:J8)</f>
        <v>100</v>
      </c>
      <c r="K9" s="2" t="n">
        <f aca="false">SUM(K5:K8)</f>
        <v>307.922076082959</v>
      </c>
      <c r="L9" s="3" t="n">
        <f aca="false">SUM(L5:L8)</f>
        <v>99965.1973820298</v>
      </c>
      <c r="M9" s="3" t="n">
        <f aca="false">IF(J9&gt;0,L9/J9,0)</f>
        <v>999.651973820298</v>
      </c>
    </row>
    <row r="11" customFormat="false" ht="15" hidden="false" customHeight="false" outlineLevel="0" collapsed="false">
      <c r="A11" s="4" t="s">
        <v>161</v>
      </c>
    </row>
    <row r="12" customFormat="false" ht="15" hidden="false" customHeight="false" outlineLevel="0" collapsed="false">
      <c r="A12" s="0" t="s">
        <v>162</v>
      </c>
      <c r="B12" s="25" t="n">
        <f aca="false">Inputs!$C$17-Inputs!$C$21-Inputs!$C$20-Inputs!$C$19</f>
        <v>46356</v>
      </c>
    </row>
    <row r="13" customFormat="false" ht="15" hidden="false" customHeight="false" outlineLevel="0" collapsed="false">
      <c r="A13" s="0" t="s">
        <v>7</v>
      </c>
      <c r="B13" s="26" t="n">
        <f aca="false">B12-Inputs!$C$18</f>
        <v>46350</v>
      </c>
    </row>
    <row r="14" customFormat="false" ht="15" hidden="false" customHeight="false" outlineLevel="0" collapsed="false">
      <c r="A14" s="0" t="s">
        <v>163</v>
      </c>
      <c r="B14" s="25" t="n">
        <f aca="false">B13-Inputs!$C$22</f>
        <v>46343</v>
      </c>
    </row>
    <row r="15" customFormat="false" ht="15" hidden="false" customHeight="false" outlineLevel="0" collapsed="false">
      <c r="A15" s="0" t="s">
        <v>164</v>
      </c>
      <c r="B15" s="16" t="n">
        <f aca="false">B12-Inputs!$C$16+1</f>
        <v>40</v>
      </c>
    </row>
    <row r="16" customFormat="false" ht="15" hidden="false" customHeight="false" outlineLevel="0" collapsed="false">
      <c r="A16" s="0" t="s">
        <v>165</v>
      </c>
      <c r="B16" s="16" t="n">
        <f aca="false">Inputs!$C$11*B15/7</f>
        <v>314.285714285714</v>
      </c>
    </row>
    <row r="17" customFormat="false" ht="15" hidden="false" customHeight="false" outlineLevel="0" collapsed="false">
      <c r="A17" s="0" t="s">
        <v>166</v>
      </c>
      <c r="B17" s="16" t="n">
        <f aca="false">K9</f>
        <v>307.922076082959</v>
      </c>
    </row>
    <row r="18" customFormat="false" ht="15" hidden="false" customHeight="false" outlineLevel="0" collapsed="false">
      <c r="A18" s="0" t="s">
        <v>167</v>
      </c>
      <c r="B18" s="27" t="n">
        <f aca="false">B17/B16</f>
        <v>0.979752060263959</v>
      </c>
    </row>
    <row r="19" customFormat="false" ht="15" hidden="false" customHeight="false" outlineLevel="0" collapsed="false">
      <c r="A19" s="0" t="s">
        <v>168</v>
      </c>
      <c r="B19" s="19" t="n">
        <f aca="false">B16*J9/K9</f>
        <v>102.066639158747</v>
      </c>
    </row>
    <row r="21" customFormat="false" ht="15" hidden="false" customHeight="false" outlineLevel="0" collapsed="false">
      <c r="A21" s="4" t="s">
        <v>169</v>
      </c>
    </row>
    <row r="22" customFormat="false" ht="15" hidden="false" customHeight="false" outlineLevel="0" collapsed="false">
      <c r="A22" s="0" t="str">
        <f aca="false">"Electricians: scarcest trade in Brandenburg (KOFA 2026: 85.7% of vacancies without a suitable jobseeker vs 41.4% overall), no Polish or foreign-trained route, and the dearest cost per hire: €"&amp;TEXT(M5,"#,##0")&amp;"."</f>
        <v>Electricians: scarcest trade in Brandenburg (KOFA 2026: 85.7% of vacancies without a suitable jobseeker vs 41.4% overall), no Polish or foreign-trained route, and the dearest cost per hire: €1,291.</v>
      </c>
    </row>
    <row r="24" customFormat="false" ht="15" hidden="false" customHeight="false" outlineLevel="0" collapsed="false">
      <c r="A24" s="4" t="s">
        <v>170</v>
      </c>
    </row>
    <row r="25" customFormat="false" ht="15" hidden="false" customHeight="false" outlineLevel="0" collapsed="false">
      <c r="A25" s="0" t="s">
        <v>157</v>
      </c>
      <c r="B25" s="16" t="n">
        <f aca="false">K9/0.7</f>
        <v>439.888680118512</v>
      </c>
    </row>
    <row r="26" customFormat="false" ht="15" hidden="false" customHeight="false" outlineLevel="0" collapsed="false">
      <c r="A26" s="0" t="s">
        <v>171</v>
      </c>
      <c r="B26" s="21" t="n">
        <f aca="false">MIN(J9,B16/B25*J9)</f>
        <v>71.4466474111226</v>
      </c>
    </row>
    <row r="27" customFormat="false" ht="15" hidden="false" customHeight="false" outlineLevel="0" collapsed="false">
      <c r="A27" s="0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173</v>
      </c>
    </row>
    <row r="3" customFormat="false" ht="15" hidden="false" customHeight="false" outlineLevel="0" collapsed="false">
      <c r="A3" s="0" t="s">
        <v>174</v>
      </c>
      <c r="B3" s="20" t="n">
        <f aca="false">Sources!P27</f>
        <v>99965.1973820298</v>
      </c>
    </row>
    <row r="4" customFormat="false" ht="15" hidden="false" customHeight="false" outlineLevel="0" collapsed="false">
      <c r="A4" s="0" t="s">
        <v>175</v>
      </c>
      <c r="B4" s="20" t="n">
        <f aca="false">Inputs!$C$44*COUNTIFS(Sources!$C$5:$C$26,"&gt;5",Sources!$M$5:$M$26,"&gt;0",Sources!$A$5:$A$26,"&lt;&gt;Employee*")</f>
        <v>6000</v>
      </c>
    </row>
    <row r="5" customFormat="false" ht="15" hidden="false" customHeight="false" outlineLevel="0" collapsed="false">
      <c r="A5" s="0" t="s">
        <v>176</v>
      </c>
      <c r="B5" s="20" t="n">
        <f aca="false">B3</f>
        <v>99965.1973820298</v>
      </c>
    </row>
    <row r="6" customFormat="false" ht="15" hidden="false" customHeight="false" outlineLevel="0" collapsed="false">
      <c r="A6" s="0" t="s">
        <v>177</v>
      </c>
      <c r="B6" s="20" t="n">
        <f aca="false">B5/(1-Inputs!$C$43)</f>
        <v>117606.114567094</v>
      </c>
    </row>
    <row r="7" customFormat="false" ht="15" hidden="false" customHeight="false" outlineLevel="0" collapsed="false">
      <c r="A7" s="0" t="s">
        <v>2</v>
      </c>
      <c r="B7" s="28" t="n">
        <f aca="false">CEILING(B6,Inputs!$C$45)</f>
        <v>120000</v>
      </c>
    </row>
    <row r="8" customFormat="false" ht="15" hidden="false" customHeight="false" outlineLevel="0" collapsed="false">
      <c r="A8" s="0" t="s">
        <v>178</v>
      </c>
      <c r="B8" s="20" t="n">
        <f aca="false">B7-B5</f>
        <v>20034.8026179702</v>
      </c>
    </row>
    <row r="9" customFormat="false" ht="15" hidden="false" customHeight="false" outlineLevel="0" collapsed="false">
      <c r="A9" s="0" t="s">
        <v>123</v>
      </c>
      <c r="B9" s="19" t="n">
        <f aca="false">Funnel!J9</f>
        <v>100</v>
      </c>
    </row>
    <row r="10" customFormat="false" ht="15" hidden="false" customHeight="false" outlineLevel="0" collapsed="false">
      <c r="A10" s="0" t="s">
        <v>179</v>
      </c>
      <c r="B10" s="20" t="n">
        <f aca="false">B5/B9</f>
        <v>999.651973820298</v>
      </c>
    </row>
    <row r="11" customFormat="false" ht="15" hidden="false" customHeight="false" outlineLevel="0" collapsed="false">
      <c r="A11" s="0" t="s">
        <v>180</v>
      </c>
      <c r="B11" s="20" t="n">
        <f aca="false">B7/B9</f>
        <v>1200</v>
      </c>
    </row>
    <row r="14" customFormat="false" ht="15" hidden="false" customHeight="false" outlineLevel="0" collapsed="false">
      <c r="A14" s="4" t="s">
        <v>181</v>
      </c>
    </row>
    <row r="15" customFormat="false" ht="15" hidden="false" customHeight="false" outlineLevel="0" collapsed="false">
      <c r="A15" s="0" t="s">
        <v>182</v>
      </c>
      <c r="B15" s="20" t="n">
        <f aca="false">B7*(1-Inputs!$C$46)</f>
        <v>84000</v>
      </c>
    </row>
    <row r="16" customFormat="false" ht="15" hidden="false" customHeight="false" outlineLevel="0" collapsed="false">
      <c r="A16" s="0" t="s">
        <v>183</v>
      </c>
      <c r="B16" s="20" t="n">
        <f aca="false">B15*(1-Inputs!$C$43)</f>
        <v>71400</v>
      </c>
    </row>
    <row r="17" customFormat="false" ht="15" hidden="false" customHeight="false" outlineLevel="0" collapsed="false">
      <c r="A17" s="0" t="s">
        <v>184</v>
      </c>
      <c r="B17" s="20" t="n">
        <f aca="false">MAX(0,B3-B16)</f>
        <v>28565.1973820298</v>
      </c>
    </row>
    <row r="19" customFormat="false" ht="55.2" hidden="false" customHeight="false" outlineLevel="0" collapsed="false">
      <c r="A19" s="7" t="s">
        <v>114</v>
      </c>
      <c r="B19" s="7" t="s">
        <v>185</v>
      </c>
      <c r="C19" s="7" t="s">
        <v>186</v>
      </c>
      <c r="D19" s="7" t="s">
        <v>187</v>
      </c>
    </row>
    <row r="20" customFormat="false" ht="15" hidden="false" customHeight="false" outlineLevel="0" collapsed="false">
      <c r="A20" s="0" t="s">
        <v>130</v>
      </c>
      <c r="B20" s="19" t="n">
        <f aca="false">Funnel!J5</f>
        <v>30</v>
      </c>
      <c r="C20" s="19" t="n">
        <f aca="false">SUMIFS(Sources!$R$5:$R$26,Sources!$B$5:$B$26,A20)</f>
        <v>9.438375</v>
      </c>
      <c r="D20" s="21" t="n">
        <f aca="false">B20-C20</f>
        <v>20.561625</v>
      </c>
    </row>
    <row r="21" customFormat="false" ht="15" hidden="false" customHeight="false" outlineLevel="0" collapsed="false">
      <c r="A21" s="0" t="s">
        <v>132</v>
      </c>
      <c r="B21" s="19" t="n">
        <f aca="false">Funnel!J6</f>
        <v>45</v>
      </c>
      <c r="C21" s="19" t="n">
        <f aca="false">SUMIFS(Sources!$R$5:$R$26,Sources!$B$5:$B$26,A21)</f>
        <v>0</v>
      </c>
      <c r="D21" s="21" t="n">
        <f aca="false">B21-C21</f>
        <v>45</v>
      </c>
    </row>
    <row r="22" customFormat="false" ht="15" hidden="false" customHeight="false" outlineLevel="0" collapsed="false">
      <c r="A22" s="0" t="s">
        <v>133</v>
      </c>
      <c r="B22" s="19" t="n">
        <f aca="false">Funnel!J7</f>
        <v>15</v>
      </c>
      <c r="C22" s="19" t="n">
        <f aca="false">SUMIFS(Sources!$R$5:$R$26,Sources!$B$5:$B$26,A22)</f>
        <v>0</v>
      </c>
      <c r="D22" s="21" t="n">
        <f aca="false">B22-C22</f>
        <v>15</v>
      </c>
    </row>
    <row r="23" customFormat="false" ht="15" hidden="false" customHeight="false" outlineLevel="0" collapsed="false">
      <c r="A23" s="0" t="s">
        <v>134</v>
      </c>
      <c r="B23" s="19" t="n">
        <f aca="false">Funnel!J8</f>
        <v>10</v>
      </c>
      <c r="C23" s="19" t="n">
        <f aca="false">SUMIFS(Sources!$R$5:$R$26,Sources!$B$5:$B$26,A23)</f>
        <v>3.65642918287931</v>
      </c>
      <c r="D23" s="21" t="n">
        <f aca="false">B23-C23</f>
        <v>6.34357081712069</v>
      </c>
    </row>
    <row r="24" customFormat="false" ht="15" hidden="false" customHeight="false" outlineLevel="0" collapsed="false">
      <c r="A24" s="4" t="s">
        <v>149</v>
      </c>
      <c r="B24" s="2" t="n">
        <f aca="false">SUM(B20:B23)</f>
        <v>100</v>
      </c>
      <c r="C24" s="2" t="n">
        <f aca="false">SUM(C20:C23)</f>
        <v>13.0948041828793</v>
      </c>
      <c r="D24" s="2" t="n">
        <f aca="false">SUM(D20:D23)</f>
        <v>86.9051958171207</v>
      </c>
    </row>
    <row r="26" customFormat="false" ht="15" hidden="false" customHeight="false" outlineLevel="0" collapsed="false">
      <c r="A26" s="4" t="s">
        <v>188</v>
      </c>
    </row>
    <row r="27" customFormat="false" ht="41.75" hidden="false" customHeight="false" outlineLevel="0" collapsed="false">
      <c r="A27" s="7" t="s">
        <v>189</v>
      </c>
      <c r="B27" s="7" t="s">
        <v>190</v>
      </c>
      <c r="C27" s="7" t="s">
        <v>126</v>
      </c>
      <c r="D27" s="7" t="s">
        <v>191</v>
      </c>
      <c r="E27" s="7" t="s">
        <v>192</v>
      </c>
      <c r="F27" s="7" t="s">
        <v>193</v>
      </c>
    </row>
    <row r="28" customFormat="false" ht="15" hidden="false" customHeight="false" outlineLevel="0" collapsed="false">
      <c r="A28" s="0" t="n">
        <v>1</v>
      </c>
      <c r="B28" s="18" t="n">
        <f aca="false">E28/$E$34</f>
        <v>0.275</v>
      </c>
      <c r="C28" s="20" t="n">
        <f aca="false">B28*$B$5</f>
        <v>27490.4292800582</v>
      </c>
      <c r="D28" s="19" t="n">
        <f aca="false">B28*Funnel!$K$9</f>
        <v>84.6785709228136</v>
      </c>
      <c r="E28" s="19" t="n">
        <f aca="false">Inputs!$C$11*11/7</f>
        <v>86.4285714285714</v>
      </c>
      <c r="F28" s="0" t="str">
        <f aca="false">IF(D28&lt;=E28+0.5,"✓","over – pace down")</f>
        <v>✓</v>
      </c>
    </row>
    <row r="29" customFormat="false" ht="15" hidden="false" customHeight="false" outlineLevel="0" collapsed="false">
      <c r="A29" s="0" t="n">
        <v>2</v>
      </c>
      <c r="B29" s="18" t="n">
        <f aca="false">E29/$E$34</f>
        <v>0.175</v>
      </c>
      <c r="C29" s="20" t="n">
        <f aca="false">B29*$B$5</f>
        <v>17493.9095418552</v>
      </c>
      <c r="D29" s="19" t="n">
        <f aca="false">B29*Funnel!$K$9</f>
        <v>53.8863633145177</v>
      </c>
      <c r="E29" s="19" t="n">
        <f aca="false">Inputs!$C$11</f>
        <v>55</v>
      </c>
      <c r="F29" s="0" t="str">
        <f aca="false">IF(D29&lt;=E29+0.5,"✓","over – pace down")</f>
        <v>✓</v>
      </c>
    </row>
    <row r="30" customFormat="false" ht="15" hidden="false" customHeight="false" outlineLevel="0" collapsed="false">
      <c r="A30" s="0" t="n">
        <v>3</v>
      </c>
      <c r="B30" s="18" t="n">
        <f aca="false">E30/$E$34</f>
        <v>0.175</v>
      </c>
      <c r="C30" s="20" t="n">
        <f aca="false">B30*$B$5</f>
        <v>17493.9095418552</v>
      </c>
      <c r="D30" s="19" t="n">
        <f aca="false">B30*Funnel!$K$9</f>
        <v>53.8863633145177</v>
      </c>
      <c r="E30" s="19" t="n">
        <f aca="false">Inputs!$C$11</f>
        <v>55</v>
      </c>
      <c r="F30" s="0" t="str">
        <f aca="false">IF(D30&lt;=E30+0.5,"✓","over – pace down")</f>
        <v>✓</v>
      </c>
    </row>
    <row r="31" customFormat="false" ht="15" hidden="false" customHeight="false" outlineLevel="0" collapsed="false">
      <c r="A31" s="0" t="n">
        <v>4</v>
      </c>
      <c r="B31" s="18" t="n">
        <f aca="false">E31/$E$34</f>
        <v>0.175</v>
      </c>
      <c r="C31" s="20" t="n">
        <f aca="false">B31*$B$5</f>
        <v>17493.9095418552</v>
      </c>
      <c r="D31" s="19" t="n">
        <f aca="false">B31*Funnel!$K$9</f>
        <v>53.8863633145177</v>
      </c>
      <c r="E31" s="19" t="n">
        <f aca="false">Inputs!$C$11</f>
        <v>55</v>
      </c>
      <c r="F31" s="0" t="str">
        <f aca="false">IF(D31&lt;=E31+0.5,"✓","over – pace down")</f>
        <v>✓</v>
      </c>
    </row>
    <row r="32" customFormat="false" ht="15" hidden="false" customHeight="false" outlineLevel="0" collapsed="false">
      <c r="A32" s="0" t="n">
        <v>5</v>
      </c>
      <c r="B32" s="18" t="n">
        <f aca="false">E32/$E$34</f>
        <v>0.175</v>
      </c>
      <c r="C32" s="20" t="n">
        <f aca="false">B32*$B$5</f>
        <v>17493.9095418552</v>
      </c>
      <c r="D32" s="19" t="n">
        <f aca="false">B32*Funnel!$K$9</f>
        <v>53.8863633145177</v>
      </c>
      <c r="E32" s="19" t="n">
        <f aca="false">Inputs!$C$11</f>
        <v>55</v>
      </c>
      <c r="F32" s="0" t="str">
        <f aca="false">IF(D32&lt;=E32+0.5,"✓","over – pace down")</f>
        <v>✓</v>
      </c>
    </row>
    <row r="33" customFormat="false" ht="15" hidden="false" customHeight="false" outlineLevel="0" collapsed="false">
      <c r="A33" s="0" t="n">
        <v>6</v>
      </c>
      <c r="B33" s="18" t="n">
        <f aca="false">E33/$E$34</f>
        <v>0.025</v>
      </c>
      <c r="C33" s="20" t="n">
        <f aca="false">B33*$B$5</f>
        <v>2499.12993455075</v>
      </c>
      <c r="D33" s="19" t="n">
        <f aca="false">B33*Funnel!$K$9</f>
        <v>7.69805190207396</v>
      </c>
      <c r="E33" s="19" t="n">
        <f aca="false">Inputs!$C$11*1/7</f>
        <v>7.85714285714286</v>
      </c>
      <c r="F33" s="0" t="str">
        <f aca="false">IF(D33&lt;=E33+0.5,"✓","over – pace down")</f>
        <v>✓</v>
      </c>
    </row>
    <row r="34" customFormat="false" ht="15" hidden="false" customHeight="false" outlineLevel="0" collapsed="false">
      <c r="A34" s="4" t="s">
        <v>149</v>
      </c>
      <c r="B34" s="5" t="n">
        <f aca="false">SUM(B28:B33)</f>
        <v>1</v>
      </c>
      <c r="C34" s="3" t="n">
        <f aca="false">SUM(C28:C33)</f>
        <v>99965.1973820298</v>
      </c>
      <c r="D34" s="2" t="n">
        <f aca="false">SUM(D28:D33)</f>
        <v>307.922076082959</v>
      </c>
      <c r="E34" s="2" t="n">
        <f aca="false">SUM(E28:E33)</f>
        <v>314.285714285714</v>
      </c>
    </row>
    <row r="35" customFormat="false" ht="15" hidden="false" customHeight="false" outlineLevel="0" collapsed="false">
      <c r="A35" s="0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2026-10-14T09:54:00Z</dcterms:created>
  <dc:creator>openpyxl</dc:creator>
  <dc:description/>
  <dc:language>en-US</dc:language>
  <cp:lastModifiedBy/>
  <dcterms:modified xsi:type="dcterms:W3CDTF">2026-10-14T09:54:00Z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