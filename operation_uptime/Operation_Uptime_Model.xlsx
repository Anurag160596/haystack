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<sst xmlns="http://schemas.openxmlformats.org/spreadsheetml/2006/main" count="1463" uniqueCount="765">
  <si>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</si>
  <si>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</si>
  <si>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</si>
  <si>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</si>
  <si>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</si>
  <si>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</si>
  <si>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</si>
  <si>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</si>
  <si>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</si>
  <si>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</si>
  <si>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</si>
  <si>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</si>
  <si>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</si>
  <si>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</si>
  <si>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</si>
  <si>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</si>
  <si>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</si>
  <si>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</si>
  <si>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</si>
  <si>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</si>
  <si>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</si>
  <si>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</si>
  <si>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</si>
  <si>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</si>
  <si>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</si>
  <si>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</si>
  <si>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</si>
  <si>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</si>
  <si>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</si>
  <si>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</si>
  <si>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</si>
  <si>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</si>
  <si>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</si>
  <si>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</si>
  <si>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</si>
  <si>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</si>
  <si>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</si>
  <si>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</si>
  <si>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</si>
  <si>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</si>
  <si>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</si>
  <si>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</si>
  <si>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</si>
  <si>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</si>
  <si>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</si>
  <si>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</si>
  <si>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</si>
  <si>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</si>
  <si>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</si>
  <si>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</si>
  <si>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</si>
  <si>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</si>
  <si>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</si>
  <si>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</si>
  <si>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</si>
  <si>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</si>
  <si>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</si>
  <si>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</si>
  <si>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</si>
  <si>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</si>
  <si>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</si>
  <si>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</si>
  <si>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</si>
  <si>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</si>
  <si>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Re-applicants were screened before, so the first assessments can run on day 2.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</si>
  <si>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</si>
  <si>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</si>
  <si>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</si>
  <si>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searches hit a low ~45% below normal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</si>
  <si>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</si>
  <si>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</si>
  <si>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</si>
  <si>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</si>
  <si>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</si>
  <si>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</si>
  <si>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</si>
  <si>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</si>
  <si>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</si>
  <si>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</si>
  <si>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</si>
  <si>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</si>
  <si>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</si>
  <si>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</si>
  <si>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</si>
  <si>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</si>
  <si>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</si>
  <si>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</si>
  <si>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</si>
  <si>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</si>
  <si>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</si>
  <si>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</si>
  <si>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</si>
  <si>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</si>
  <si>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</si>
  <si>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</si>
  <si>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</si>
  <si>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</si>
  <si>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</si>
  <si>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</si>
  <si>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</si>
  <si>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</si>
  <si>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</si>
  <si>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</si>
  <si>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</si>
  <si>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</si>
  <si>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</si>
  <si>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</si>
  <si>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</si>
  <si>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</si>
  <si>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</si>
  <si>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</si>
  <si>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</si>
  <si>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</si>
  <si>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</si>
  <si>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</si>
  <si>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</si>
  <si>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</si>
  <si>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</si>
  <si>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</si>
  <si>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</si>
  <si>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</si>
  <si>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</si>
  <si>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</si>
  <si>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</si>
  <si>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</si>
  <si>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</si>
  <si>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</si>
  <si>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</si>
  <si>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</si>
  <si>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</si>
  <si>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</si>
  <si>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</si>
  <si>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</si>
  <si>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</si>
  <si>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</si>
  <si>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</si>
  <si>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</si>
  <si>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</si>
  <si>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</si>
  <si>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</si>
  <si>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</si>
  <si>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</si>
  <si>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</si>
  <si>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</si>
  <si>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</si>
  <si>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</si>
  <si>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</si>
  <si>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</si>
  <si>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</si>
  <si>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</si>
  <si>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</si>
  <si>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</si>
  <si>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</si>
  <si>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</si>
  <si>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</si>
  <si>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</si>
  <si>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</si>
  <si>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</si>
  <si>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</si>
  <si>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</si>
  <si>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</si>
  <si>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</si>
  <si>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</si>
  <si>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</si>
  <si>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</si>
  <si>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</si>
  <si>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</si>
  <si>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</si>
  <si>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</si>
  <si>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</si>
  <si>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</si>
  <si>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</si>
  <si>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</si>
  <si>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</si>
  <si>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</si>
  <si>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</si>
  <si>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</si>
  <si>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</si>
  <si>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</si>
  <si>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</si>
  <si>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</si>
  <si>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</si>
  <si>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</si>
  <si>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</si>
  <si>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</si>
  <si>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</si>
  <si>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</si>
  <si>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</si>
  <si>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</si>
  <si>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</si>
  <si>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</si>
  <si>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</si>
  <si>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</si>
  <si>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</si>
  <si>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</si>
  <si>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</si>
  <si>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</si>
  <si>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</si>
  <si>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</si>
  <si>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</si>
  <si>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</si>
  <si>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</si>
  <si>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</si>
  <si>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</si>
  <si>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</si>
  <si>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</si>
  <si>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</si>
  <si>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</si>
  <si>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</si>
  <si>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</si>
  <si>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</si>
  <si>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</si>
  <si>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</si>
  <si>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</si>
  <si>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</si>
  <si>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</si>
  <si>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</si>
  <si>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</si>
  <si>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</si>
  <si>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</si>
  <si>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</si>
  <si>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</si>
  <si>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</si>
  <si>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</si>
  <si>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</si>
  <si>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</si>
  <si>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</si>
  <si>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</si>
  <si>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</si>
  <si>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</si>
  <si>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</si>
  <si>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</si>
  <si>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</si>
  <si>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</si>
  <si>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</si>
  <si>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</si>
  <si>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</si>
  <si>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</si>
  <si>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</si>
  <si>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</si>
  <si>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</si>
  <si>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</si>
  <si>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</si>
  <si>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</si>
  <si>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</si>
  <si>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</si>
  <si>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</si>
  <si>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</si>
  <si>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</si>
  <si>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</si>
  <si>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</si>
  <si>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</si>
  <si>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</si>
  <si>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</si>
  <si>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</si>
  <si>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</si>
  <si>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</si>
  <si>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57%), relative to the average channel (0.41).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</si>
  <si>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</si>
  <si>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</si>
  <si>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70%), relative to the average channel (0.41).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</si>
  <si>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</si>
  <si>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</si>
  <si>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</si>
  <si>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</si>
  <si>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</si>
  <si>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</si>
  <si>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</si>
  <si>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</si>
  <si>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</si>
  <si>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</si>
  <si>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</si>
  <si>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</si>
  <si>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</si>
  <si>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</si>
  <si>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</si>
  <si>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</si>
  <si>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</si>
  <si>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</si>
  <si>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</si>
  <si>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</si>
  <si>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</si>
  <si>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</si>
  <si>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</si>
  <si>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</si>
  <si>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</si>
  <si>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</si>
  <si>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</si>
  <si>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</si>
  <si>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</si>
  <si>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</si>
  <si>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</si>
  <si>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</si>
  <si>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</si>
  <si>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</si>
  <si>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</si>
  <si>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</si>
  <si>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</si>
  <si>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</si>
  <si>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</si>
  <si>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</si>
  <si>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</si>
  <si>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</si>
  <si>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</si>
  <si>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</si>
  <si>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</si>
  <si>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</si>
  <si>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</si>
  <si>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</si>
  <si>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</si>
  <si>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</si>
  <si>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</si>
  <si>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</si>
  <si>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</si>
  <si>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</si>
  <si>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</si>
  <si>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</si>
  <si>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</si>
  <si>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</si>
  <si>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</si>
  <si>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</si>
  <si>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</si>
  <si>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</si>
  <si>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</si>
  <si>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</si>
  <si>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</si>
  <si>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</si>
  <si>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</si>
  <si>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</si>
  <si>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</si>
  <si>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DACH median is €161 per application (TalentBait, 2,549 campaigns),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</si>
  <si>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</si>
  <si>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</si>
  <si>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</si>
  <si>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</si>
  <si>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</si>
  <si>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</si>
  <si>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</si>
  <si>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</si>
  <si>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</si>
  <si>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</si>
  <si>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</si>
  <si>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</si>
  <si>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</si>
  <si>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</si>
  <si>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</si>
  <si>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</si>
  <si>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TalentBait's trades example: ~€84 per application for social ads;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</si>
  <si>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</si>
  <si>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</si>
  <si>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</si>
  <si>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</si>
  <si>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</si>
  <si>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</si>
  <si>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</si>
  <si>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</si>
  <si>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</si>
  <si>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</si>
  <si>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</si>
  <si>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</si>
  <si>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</si>
  <si>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</si>
  <si>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</si>
  <si>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</si>
  <si>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</si>
  <si>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</si>
  <si>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</si>
  <si>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</si>
  <si>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</si>
  <si>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</si>
  <si>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</si>
  <si>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</si>
  <si>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</si>
  <si>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</si>
  <si>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</si>
  <si>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</si>
  <si>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</si>
  <si>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</si>
  <si>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</si>
  <si>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</si>
  <si>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</si>
  <si>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</si>
  <si>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</si>
  <si>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</si>
  <si>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</si>
  <si>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</si>
  <si>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</si>
  <si>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</si>
  <si>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</si>
  <si>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</si>
  <si>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</si>
  <si>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</si>
  <si>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</si>
  <si>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</si>
  <si>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</si>
  <si>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TalentBait's trades example shows ~€84 per application for social ads.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</si>
  <si>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</si>
  <si>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</si>
  <si>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</si>
  <si>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</si>
  <si>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</si>
  <si>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</si>
  <si>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</si>
  <si>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</si>
  <si>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</si>
  <si>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</si>
  <si>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</si>
  <si>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</si>
  <si>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</si>
  <si>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</si>
  <si>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Eurostat AES 2022, Poland, vocational upper-secondary: 58.7% know a foreign language × 23.6% of them good or proficient ≈ 14%.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</si>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</sst>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www.arbeitsagentur.de/faktor-a/mitarbeiter-finden/so-funktioniert-deutschlands-groesste-jobboerse" TargetMode="External"/><Relationship Id="rId53" Type="http://schemas.openxmlformats.org/officeDocument/2006/relationships/hyperlink" Target="https://www.arbeitsagentur.de/faktor-a/mitarbeiter-finden/so-funktioniert-deutschlands-groesste-jobboerse" TargetMode="External"/><Relationship Id="rId54" Type="http://schemas.openxmlformats.org/officeDocument/2006/relationships/hyperlink" Target="https://www.arbeitsagentur.de/faktor-a/mitarbeiter-finden/so-funktioniert-deutschlands-groesste-jobboerse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talentbait.de/recruiting-kanaele-uebersicht/" TargetMode="External"/><Relationship Id="rId57" Type="http://schemas.openxmlformats.org/officeDocument/2006/relationships/hyperlink" Target="https://www.talentbait.de/recruiting-kanaele-uebersicht/" TargetMode="External"/><Relationship Id="rId58" Type="http://schemas.openxmlformats.org/officeDocument/2006/relationships/hyperlink" Target="https://www.talentbait.de/recruiting-kanaele-uebersicht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stepstone.de/e-recruiting/stellenanzeige-aufgeben/" TargetMode="External"/><Relationship Id="rId61" Type="http://schemas.openxmlformats.org/officeDocument/2006/relationships/hyperlink" Target="https://www.stepstone.de/e-recruiting/stellenanzeige-aufgeben/" TargetMode="External"/><Relationship Id="rId62" Type="http://schemas.openxmlformats.org/officeDocument/2006/relationships/hyperlink" Target="https://www.stepstone.de/e-recruiting/stellenanzeige-aufgeben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social-media-recruiting" TargetMode="External"/><Relationship Id="rId67" Type="http://schemas.openxmlformats.org/officeDocument/2006/relationships/hyperlink" Target="https://www.talentbait.de/social-media-recruiting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recruiting-kanaele-uebersicht/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iab-forum.de/online-medien-sind-bei-der-personalsuche-auf-dem-vormarsch/" TargetMode="External"/><Relationship Id="rId75" Type="http://schemas.openxmlformats.org/officeDocument/2006/relationships/hyperlink" Target="https://www.seven.io/en/prices/" TargetMode="External"/><Relationship Id="rId76" Type="http://schemas.openxmlformats.org/officeDocument/2006/relationships/hyperlink" Target="https://www.personalwirtschaft.de/?p=166393" TargetMode="External"/><Relationship Id="rId77" Type="http://schemas.openxmlformats.org/officeDocument/2006/relationships/hyperlink" Target="https://www.metaview.ai/resources/blog/do-referred-candidates-interview-better" TargetMode="External"/><Relationship Id="rId78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79" Type="http://schemas.openxmlformats.org/officeDocument/2006/relationships/hyperlink" Target="https://www.talentbait.de/social-media-recruiting" TargetMode="External"/><Relationship Id="rId80" Type="http://schemas.openxmlformats.org/officeDocument/2006/relationships/hyperlink" Target="https://www.freelancermap.de/freelancer/texterstellung" TargetMode="External"/><Relationship Id="rId81" Type="http://schemas.openxmlformats.org/officeDocument/2006/relationships/hyperlink" Target="https://dlafirm.pracuj.pl/cennik-uslug/pakiety-ogloszen" TargetMode="External"/><Relationship Id="rId82" Type="http://schemas.openxmlformats.org/officeDocument/2006/relationships/hyperlink" Target="https://ec.europa.eu/eurostat/databrowser/view/edat_aes_l33/default/table" TargetMode="External"/><Relationship Id="rId83" Type="http://schemas.openxmlformats.org/officeDocument/2006/relationships/hyperlink" Target="https://www.indeed.com/hire/c/info/what-is-a-phone-screen" TargetMode="External"/><Relationship Id="rId84" Type="http://schemas.openxmlformats.org/officeDocument/2006/relationships/hyperlink" Target="https://rocketjobs.pl/oferta-pracy/intent-tech-recruiter-freelance--warszawa-hr-recruitment-9e0cdcee" TargetMode="External"/><Relationship Id="rId85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101667.57387493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18332.4261250701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1016.6757387493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86.977613550255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15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67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67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67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67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67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0.26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0.145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0.185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0.19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0.03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67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67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67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67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67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67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67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67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67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67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67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67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67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67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67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0.71</v>
      </c>
      <c r="E109" s="2" t="s">
        <v>256</v>
      </c>
      <c r="F109" s="2" t="s">
        <v>67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67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67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67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67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67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67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67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67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67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67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67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67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67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67</v>
      </c>
      <c r="G123" s="17" t="s">
        <v>309</v>
      </c>
    </row>
    <row r="125" customFormat="false" ht="15" hidden="false" customHeight="false" outlineLevel="0" collapsed="false">
      <c r="A125" s="10" t="s">
        <v>310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311</v>
      </c>
      <c r="C126" s="12" t="s">
        <v>312</v>
      </c>
      <c r="D126" s="12" t="s">
        <v>313</v>
      </c>
      <c r="E126" s="12" t="s">
        <v>314</v>
      </c>
      <c r="F126" s="12" t="s">
        <v>315</v>
      </c>
      <c r="G126" s="12" t="s">
        <v>316</v>
      </c>
      <c r="H126" s="12" t="s">
        <v>317</v>
      </c>
      <c r="I126" s="12" t="s">
        <v>318</v>
      </c>
      <c r="J126" s="12" t="s">
        <v>319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320</v>
      </c>
      <c r="B127" s="13" t="s">
        <v>321</v>
      </c>
      <c r="C127" s="2" t="s">
        <v>48</v>
      </c>
      <c r="D127" s="2" t="s">
        <v>322</v>
      </c>
      <c r="E127" s="23" t="n">
        <v>0</v>
      </c>
      <c r="F127" s="24"/>
      <c r="G127" s="25" t="n">
        <f aca="false">Assumptions!$D$29*Assumptions!$D$109</f>
        <v>0.1775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67</v>
      </c>
      <c r="L127" s="17" t="s">
        <v>323</v>
      </c>
    </row>
    <row r="128" customFormat="false" ht="26.85" hidden="false" customHeight="false" outlineLevel="0" collapsed="false">
      <c r="A128" s="2" t="s">
        <v>324</v>
      </c>
      <c r="B128" s="13" t="s">
        <v>321</v>
      </c>
      <c r="C128" s="2" t="s">
        <v>43</v>
      </c>
      <c r="D128" s="2" t="s">
        <v>322</v>
      </c>
      <c r="E128" s="23" t="n">
        <v>0</v>
      </c>
      <c r="F128" s="24"/>
      <c r="G128" s="25" t="n">
        <f aca="false">Assumptions!$D$30*Assumptions!$D$109</f>
        <v>0.1775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67</v>
      </c>
      <c r="L128" s="17" t="s">
        <v>323</v>
      </c>
    </row>
    <row r="129" customFormat="false" ht="26.85" hidden="false" customHeight="false" outlineLevel="0" collapsed="false">
      <c r="A129" s="2" t="s">
        <v>325</v>
      </c>
      <c r="B129" s="13" t="s">
        <v>321</v>
      </c>
      <c r="C129" s="2" t="s">
        <v>52</v>
      </c>
      <c r="D129" s="2" t="s">
        <v>322</v>
      </c>
      <c r="E129" s="23" t="n">
        <v>0</v>
      </c>
      <c r="F129" s="24"/>
      <c r="G129" s="25" t="n">
        <f aca="false">Assumptions!$D$31*Assumptions!$D$109</f>
        <v>0.1775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67</v>
      </c>
      <c r="L129" s="17" t="s">
        <v>323</v>
      </c>
    </row>
    <row r="130" customFormat="false" ht="26.85" hidden="false" customHeight="false" outlineLevel="0" collapsed="false">
      <c r="A130" s="2" t="s">
        <v>326</v>
      </c>
      <c r="B130" s="13" t="s">
        <v>321</v>
      </c>
      <c r="C130" s="2" t="s">
        <v>54</v>
      </c>
      <c r="D130" s="2" t="s">
        <v>322</v>
      </c>
      <c r="E130" s="23" t="n">
        <v>0</v>
      </c>
      <c r="F130" s="24"/>
      <c r="G130" s="25" t="n">
        <f aca="false">Assumptions!$D$32*Assumptions!$D$109</f>
        <v>0.1633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67</v>
      </c>
      <c r="L130" s="17" t="s">
        <v>323</v>
      </c>
    </row>
    <row r="131" customFormat="false" ht="26.85" hidden="false" customHeight="false" outlineLevel="0" collapsed="false">
      <c r="A131" s="2" t="s">
        <v>327</v>
      </c>
      <c r="B131" s="13" t="s">
        <v>328</v>
      </c>
      <c r="C131" s="2" t="s">
        <v>48</v>
      </c>
      <c r="D131" s="2" t="s">
        <v>329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67</v>
      </c>
      <c r="L131" s="17" t="s">
        <v>330</v>
      </c>
    </row>
    <row r="132" customFormat="false" ht="26.85" hidden="false" customHeight="false" outlineLevel="0" collapsed="false">
      <c r="A132" s="2" t="s">
        <v>331</v>
      </c>
      <c r="B132" s="13" t="s">
        <v>328</v>
      </c>
      <c r="C132" s="2" t="s">
        <v>43</v>
      </c>
      <c r="D132" s="2" t="s">
        <v>329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67</v>
      </c>
      <c r="L132" s="17" t="s">
        <v>330</v>
      </c>
    </row>
    <row r="133" customFormat="false" ht="26.85" hidden="false" customHeight="false" outlineLevel="0" collapsed="false">
      <c r="A133" s="2" t="s">
        <v>332</v>
      </c>
      <c r="B133" s="13" t="s">
        <v>328</v>
      </c>
      <c r="C133" s="2" t="s">
        <v>52</v>
      </c>
      <c r="D133" s="2" t="s">
        <v>329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67</v>
      </c>
      <c r="L133" s="17" t="s">
        <v>330</v>
      </c>
    </row>
    <row r="134" customFormat="false" ht="26.85" hidden="false" customHeight="false" outlineLevel="0" collapsed="false">
      <c r="A134" s="2" t="s">
        <v>333</v>
      </c>
      <c r="B134" s="13" t="s">
        <v>328</v>
      </c>
      <c r="C134" s="2" t="s">
        <v>54</v>
      </c>
      <c r="D134" s="2" t="s">
        <v>329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67</v>
      </c>
      <c r="L134" s="17" t="s">
        <v>330</v>
      </c>
    </row>
    <row r="135" customFormat="false" ht="15" hidden="false" customHeight="false" outlineLevel="0" collapsed="false">
      <c r="A135" s="2" t="s">
        <v>334</v>
      </c>
      <c r="B135" s="13" t="s">
        <v>335</v>
      </c>
      <c r="C135" s="2" t="s">
        <v>48</v>
      </c>
      <c r="D135" s="2" t="s">
        <v>336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67</v>
      </c>
      <c r="L135" s="17" t="s">
        <v>337</v>
      </c>
    </row>
    <row r="136" customFormat="false" ht="15" hidden="false" customHeight="false" outlineLevel="0" collapsed="false">
      <c r="A136" s="2" t="s">
        <v>338</v>
      </c>
      <c r="B136" s="13" t="s">
        <v>335</v>
      </c>
      <c r="C136" s="2" t="s">
        <v>43</v>
      </c>
      <c r="D136" s="2" t="s">
        <v>336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67</v>
      </c>
      <c r="L136" s="17" t="s">
        <v>337</v>
      </c>
    </row>
    <row r="137" customFormat="false" ht="15" hidden="false" customHeight="false" outlineLevel="0" collapsed="false">
      <c r="A137" s="2" t="s">
        <v>339</v>
      </c>
      <c r="B137" s="13" t="s">
        <v>335</v>
      </c>
      <c r="C137" s="2" t="s">
        <v>52</v>
      </c>
      <c r="D137" s="2" t="s">
        <v>336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67</v>
      </c>
      <c r="L137" s="17" t="s">
        <v>337</v>
      </c>
    </row>
    <row r="138" customFormat="false" ht="15" hidden="false" customHeight="false" outlineLevel="0" collapsed="false">
      <c r="A138" s="2" t="s">
        <v>340</v>
      </c>
      <c r="B138" s="13" t="s">
        <v>335</v>
      </c>
      <c r="C138" s="2" t="s">
        <v>54</v>
      </c>
      <c r="D138" s="2" t="s">
        <v>336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67</v>
      </c>
      <c r="L138" s="17" t="s">
        <v>337</v>
      </c>
    </row>
    <row r="139" customFormat="false" ht="15" hidden="false" customHeight="false" outlineLevel="0" collapsed="false">
      <c r="A139" s="2" t="s">
        <v>341</v>
      </c>
      <c r="B139" s="13" t="s">
        <v>342</v>
      </c>
      <c r="C139" s="2" t="s">
        <v>52</v>
      </c>
      <c r="D139" s="2" t="s">
        <v>329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67</v>
      </c>
      <c r="L139" s="17" t="s">
        <v>343</v>
      </c>
    </row>
    <row r="140" customFormat="false" ht="15" hidden="false" customHeight="false" outlineLevel="0" collapsed="false">
      <c r="A140" s="2" t="s">
        <v>344</v>
      </c>
      <c r="B140" s="13" t="s">
        <v>342</v>
      </c>
      <c r="C140" s="2" t="s">
        <v>54</v>
      </c>
      <c r="D140" s="2" t="s">
        <v>329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67</v>
      </c>
      <c r="L140" s="17" t="s">
        <v>343</v>
      </c>
    </row>
    <row r="141" customFormat="false" ht="15" hidden="false" customHeight="false" outlineLevel="0" collapsed="false">
      <c r="A141" s="2" t="s">
        <v>345</v>
      </c>
      <c r="B141" s="13" t="s">
        <v>346</v>
      </c>
      <c r="C141" s="2" t="s">
        <v>48</v>
      </c>
      <c r="D141" s="2" t="s">
        <v>329</v>
      </c>
      <c r="E141" s="23" t="n">
        <v>84</v>
      </c>
      <c r="F141" s="24"/>
      <c r="G141" s="25" t="n">
        <f aca="false">Assumptions!$D$29*Assumptions!$D$110</f>
        <v>0.1025</v>
      </c>
      <c r="H141" s="26" t="n">
        <f aca="false">IF(G141&gt;0,ROUND(Assumptions!$D$116/G141,-1),0)</f>
        <v>200</v>
      </c>
      <c r="I141" s="20" t="n">
        <v>1</v>
      </c>
      <c r="J141" s="18" t="n">
        <v>0</v>
      </c>
      <c r="K141" s="2" t="s">
        <v>67</v>
      </c>
      <c r="L141" s="17" t="s">
        <v>347</v>
      </c>
    </row>
    <row r="142" customFormat="false" ht="15" hidden="false" customHeight="false" outlineLevel="0" collapsed="false">
      <c r="A142" s="2" t="s">
        <v>348</v>
      </c>
      <c r="B142" s="13" t="s">
        <v>346</v>
      </c>
      <c r="C142" s="2" t="s">
        <v>43</v>
      </c>
      <c r="D142" s="2" t="s">
        <v>329</v>
      </c>
      <c r="E142" s="23" t="n">
        <v>84</v>
      </c>
      <c r="F142" s="24"/>
      <c r="G142" s="25" t="n">
        <f aca="false">Assumptions!$D$30*Assumptions!$D$110</f>
        <v>0.1025</v>
      </c>
      <c r="H142" s="26" t="n">
        <f aca="false">IF(G142&gt;0,ROUND(Assumptions!$D$117/G142,-1),0)</f>
        <v>220</v>
      </c>
      <c r="I142" s="20" t="n">
        <v>1</v>
      </c>
      <c r="J142" s="18" t="n">
        <v>0</v>
      </c>
      <c r="K142" s="2" t="s">
        <v>67</v>
      </c>
      <c r="L142" s="17" t="s">
        <v>347</v>
      </c>
    </row>
    <row r="143" customFormat="false" ht="15" hidden="false" customHeight="false" outlineLevel="0" collapsed="false">
      <c r="A143" s="2" t="s">
        <v>349</v>
      </c>
      <c r="B143" s="13" t="s">
        <v>350</v>
      </c>
      <c r="C143" s="2" t="s">
        <v>48</v>
      </c>
      <c r="D143" s="2" t="s">
        <v>329</v>
      </c>
      <c r="E143" s="23" t="n">
        <v>179</v>
      </c>
      <c r="F143" s="24"/>
      <c r="G143" s="25" t="n">
        <f aca="false">Assumptions!$D$29*Assumptions!$D$109</f>
        <v>0.1775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67</v>
      </c>
      <c r="L143" s="17" t="s">
        <v>351</v>
      </c>
    </row>
    <row r="144" customFormat="false" ht="15" hidden="false" customHeight="false" outlineLevel="0" collapsed="false">
      <c r="A144" s="2" t="s">
        <v>352</v>
      </c>
      <c r="B144" s="13" t="s">
        <v>350</v>
      </c>
      <c r="C144" s="2" t="s">
        <v>43</v>
      </c>
      <c r="D144" s="2" t="s">
        <v>329</v>
      </c>
      <c r="E144" s="23" t="n">
        <v>179</v>
      </c>
      <c r="F144" s="24"/>
      <c r="G144" s="25" t="n">
        <f aca="false">Assumptions!$D$30*Assumptions!$D$109</f>
        <v>0.1775</v>
      </c>
      <c r="H144" s="26" t="n">
        <f aca="false">IF(G144&gt;0,ROUND((Assumptions!$D$69*Assumptions!$D$73+Assumptions!$D$77)*Assumptions!$D$113/G144,-1),0)</f>
        <v>1730</v>
      </c>
      <c r="I144" s="20" t="n">
        <v>1</v>
      </c>
      <c r="J144" s="18" t="n">
        <v>0</v>
      </c>
      <c r="K144" s="2" t="s">
        <v>67</v>
      </c>
      <c r="L144" s="17" t="s">
        <v>351</v>
      </c>
    </row>
    <row r="145" customFormat="false" ht="15" hidden="false" customHeight="false" outlineLevel="0" collapsed="false">
      <c r="A145" s="2" t="s">
        <v>353</v>
      </c>
      <c r="B145" s="13" t="s">
        <v>350</v>
      </c>
      <c r="C145" s="2" t="s">
        <v>52</v>
      </c>
      <c r="D145" s="2" t="s">
        <v>329</v>
      </c>
      <c r="E145" s="23" t="n">
        <v>179</v>
      </c>
      <c r="F145" s="24"/>
      <c r="G145" s="25" t="n">
        <f aca="false">Assumptions!$D$31*Assumptions!$D$109</f>
        <v>0.1775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67</v>
      </c>
      <c r="L145" s="17" t="s">
        <v>351</v>
      </c>
    </row>
    <row r="146" customFormat="false" ht="15" hidden="false" customHeight="false" outlineLevel="0" collapsed="false">
      <c r="A146" s="2" t="s">
        <v>354</v>
      </c>
      <c r="B146" s="13" t="s">
        <v>350</v>
      </c>
      <c r="C146" s="2" t="s">
        <v>54</v>
      </c>
      <c r="D146" s="2" t="s">
        <v>329</v>
      </c>
      <c r="E146" s="23" t="n">
        <v>179</v>
      </c>
      <c r="F146" s="24"/>
      <c r="G146" s="25" t="n">
        <f aca="false">Assumptions!$D$32*Assumptions!$D$109</f>
        <v>0.1633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67</v>
      </c>
      <c r="L146" s="17" t="s">
        <v>351</v>
      </c>
    </row>
    <row r="148" customFormat="false" ht="15" hidden="false" customHeight="false" outlineLevel="0" collapsed="false">
      <c r="A148" s="10" t="s">
        <v>355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356</v>
      </c>
      <c r="B150" s="13" t="s">
        <v>357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358</v>
      </c>
      <c r="F150" s="2" t="s">
        <v>63</v>
      </c>
      <c r="G150" s="13" t="s">
        <v>359</v>
      </c>
    </row>
    <row r="151" customFormat="false" ht="26.85" hidden="false" customHeight="false" outlineLevel="0" collapsed="false">
      <c r="A151" s="2" t="s">
        <v>360</v>
      </c>
      <c r="B151" s="13" t="s">
        <v>357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358</v>
      </c>
      <c r="F151" s="2" t="s">
        <v>63</v>
      </c>
      <c r="G151" s="13" t="s">
        <v>359</v>
      </c>
    </row>
    <row r="152" customFormat="false" ht="26.85" hidden="false" customHeight="false" outlineLevel="0" collapsed="false">
      <c r="A152" s="2" t="s">
        <v>361</v>
      </c>
      <c r="B152" s="13" t="s">
        <v>357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358</v>
      </c>
      <c r="F152" s="2" t="s">
        <v>63</v>
      </c>
      <c r="G152" s="13" t="s">
        <v>359</v>
      </c>
    </row>
    <row r="153" customFormat="false" ht="26.85" hidden="false" customHeight="false" outlineLevel="0" collapsed="false">
      <c r="A153" s="2" t="s">
        <v>362</v>
      </c>
      <c r="B153" s="13" t="s">
        <v>357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358</v>
      </c>
      <c r="F153" s="2" t="s">
        <v>63</v>
      </c>
      <c r="G153" s="13" t="s">
        <v>359</v>
      </c>
    </row>
    <row r="154" customFormat="false" ht="26.85" hidden="false" customHeight="false" outlineLevel="0" collapsed="false">
      <c r="A154" s="2" t="s">
        <v>363</v>
      </c>
      <c r="B154" s="13" t="s">
        <v>364</v>
      </c>
      <c r="C154" s="2" t="s">
        <v>31</v>
      </c>
      <c r="D154" s="16" t="n">
        <v>0.12</v>
      </c>
      <c r="E154" s="2" t="s">
        <v>44</v>
      </c>
      <c r="F154" s="2" t="s">
        <v>63</v>
      </c>
      <c r="G154" s="17" t="s">
        <v>365</v>
      </c>
    </row>
    <row r="155" customFormat="false" ht="15" hidden="false" customHeight="false" outlineLevel="0" collapsed="false">
      <c r="A155" s="2" t="s">
        <v>366</v>
      </c>
      <c r="B155" s="13" t="s">
        <v>367</v>
      </c>
      <c r="C155" s="2" t="s">
        <v>31</v>
      </c>
      <c r="D155" s="16" t="n">
        <v>0.5</v>
      </c>
      <c r="E155" s="2" t="s">
        <v>44</v>
      </c>
      <c r="F155" s="2" t="s">
        <v>63</v>
      </c>
      <c r="G155" s="17" t="s">
        <v>368</v>
      </c>
    </row>
    <row r="156" customFormat="false" ht="26.85" hidden="false" customHeight="false" outlineLevel="0" collapsed="false">
      <c r="A156" s="2" t="s">
        <v>369</v>
      </c>
      <c r="B156" s="13" t="s">
        <v>370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186</v>
      </c>
      <c r="F156" s="2" t="s">
        <v>63</v>
      </c>
      <c r="G156" s="13" t="s">
        <v>371</v>
      </c>
    </row>
    <row r="157" customFormat="false" ht="26.85" hidden="false" customHeight="false" outlineLevel="0" collapsed="false">
      <c r="A157" s="2" t="s">
        <v>372</v>
      </c>
      <c r="B157" s="13" t="s">
        <v>370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186</v>
      </c>
      <c r="F157" s="2" t="s">
        <v>63</v>
      </c>
      <c r="G157" s="13" t="s">
        <v>371</v>
      </c>
    </row>
    <row r="158" customFormat="false" ht="26.85" hidden="false" customHeight="false" outlineLevel="0" collapsed="false">
      <c r="A158" s="2" t="s">
        <v>373</v>
      </c>
      <c r="B158" s="13" t="s">
        <v>370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186</v>
      </c>
      <c r="F158" s="2" t="s">
        <v>63</v>
      </c>
      <c r="G158" s="13" t="s">
        <v>371</v>
      </c>
    </row>
    <row r="159" customFormat="false" ht="26.85" hidden="false" customHeight="false" outlineLevel="0" collapsed="false">
      <c r="A159" s="2" t="s">
        <v>374</v>
      </c>
      <c r="B159" s="13" t="s">
        <v>370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186</v>
      </c>
      <c r="F159" s="2" t="s">
        <v>63</v>
      </c>
      <c r="G159" s="13" t="s">
        <v>371</v>
      </c>
    </row>
    <row r="160" customFormat="false" ht="15" hidden="false" customHeight="false" outlineLevel="0" collapsed="false">
      <c r="A160" s="2" t="s">
        <v>375</v>
      </c>
      <c r="B160" s="13" t="s">
        <v>376</v>
      </c>
      <c r="C160" s="2" t="s">
        <v>31</v>
      </c>
      <c r="D160" s="16" t="n">
        <v>0.45</v>
      </c>
      <c r="E160" s="2" t="s">
        <v>44</v>
      </c>
      <c r="F160" s="2" t="s">
        <v>63</v>
      </c>
      <c r="G160" s="17" t="s">
        <v>377</v>
      </c>
    </row>
    <row r="161" customFormat="false" ht="26.85" hidden="false" customHeight="false" outlineLevel="0" collapsed="false">
      <c r="A161" s="2" t="s">
        <v>378</v>
      </c>
      <c r="B161" s="13" t="s">
        <v>379</v>
      </c>
      <c r="C161" s="2" t="s">
        <v>31</v>
      </c>
      <c r="D161" s="23" t="n">
        <v>0.3</v>
      </c>
      <c r="E161" s="2" t="s">
        <v>119</v>
      </c>
      <c r="F161" s="2" t="s">
        <v>63</v>
      </c>
      <c r="G161" s="17" t="s">
        <v>380</v>
      </c>
    </row>
    <row r="162" customFormat="false" ht="26.85" hidden="false" customHeight="false" outlineLevel="0" collapsed="false">
      <c r="A162" s="2" t="s">
        <v>381</v>
      </c>
      <c r="B162" s="13" t="s">
        <v>382</v>
      </c>
      <c r="C162" s="2" t="s">
        <v>31</v>
      </c>
      <c r="D162" s="18" t="n">
        <v>1000</v>
      </c>
      <c r="E162" s="2" t="s">
        <v>119</v>
      </c>
      <c r="F162" s="2" t="s">
        <v>67</v>
      </c>
      <c r="G162" s="17" t="s">
        <v>383</v>
      </c>
    </row>
    <row r="163" customFormat="false" ht="26.85" hidden="false" customHeight="false" outlineLevel="0" collapsed="false">
      <c r="A163" s="2" t="s">
        <v>384</v>
      </c>
      <c r="B163" s="13" t="s">
        <v>385</v>
      </c>
      <c r="C163" s="2" t="s">
        <v>31</v>
      </c>
      <c r="D163" s="20" t="n">
        <v>1.15</v>
      </c>
      <c r="E163" s="2" t="s">
        <v>256</v>
      </c>
      <c r="F163" s="2" t="s">
        <v>63</v>
      </c>
      <c r="G163" s="17" t="s">
        <v>386</v>
      </c>
    </row>
    <row r="164" customFormat="false" ht="39.55" hidden="false" customHeight="false" outlineLevel="0" collapsed="false">
      <c r="A164" s="2" t="s">
        <v>387</v>
      </c>
      <c r="B164" s="13" t="s">
        <v>388</v>
      </c>
      <c r="C164" s="2" t="s">
        <v>48</v>
      </c>
      <c r="D164" s="15" t="n">
        <v>10000</v>
      </c>
      <c r="E164" s="2" t="s">
        <v>159</v>
      </c>
      <c r="F164" s="2" t="s">
        <v>63</v>
      </c>
      <c r="G164" s="17" t="s">
        <v>389</v>
      </c>
    </row>
    <row r="165" customFormat="false" ht="26.85" hidden="false" customHeight="false" outlineLevel="0" collapsed="false">
      <c r="A165" s="2" t="s">
        <v>390</v>
      </c>
      <c r="B165" s="13" t="s">
        <v>391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63</v>
      </c>
      <c r="G165" s="13" t="s">
        <v>392</v>
      </c>
    </row>
    <row r="166" customFormat="false" ht="26.85" hidden="false" customHeight="false" outlineLevel="0" collapsed="false">
      <c r="A166" s="2" t="s">
        <v>393</v>
      </c>
      <c r="B166" s="13" t="s">
        <v>394</v>
      </c>
      <c r="C166" s="2" t="s">
        <v>48</v>
      </c>
      <c r="D166" s="18" t="n">
        <v>84</v>
      </c>
      <c r="E166" s="2" t="s">
        <v>119</v>
      </c>
      <c r="F166" s="2" t="s">
        <v>67</v>
      </c>
      <c r="G166" s="17" t="s">
        <v>395</v>
      </c>
    </row>
    <row r="167" customFormat="false" ht="26.85" hidden="false" customHeight="false" outlineLevel="0" collapsed="false">
      <c r="A167" s="2" t="s">
        <v>396</v>
      </c>
      <c r="B167" s="13" t="s">
        <v>397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398</v>
      </c>
    </row>
    <row r="168" customFormat="false" ht="15" hidden="false" customHeight="false" outlineLevel="0" collapsed="false">
      <c r="A168" s="2" t="s">
        <v>399</v>
      </c>
      <c r="B168" s="13" t="s">
        <v>400</v>
      </c>
      <c r="C168" s="2" t="s">
        <v>48</v>
      </c>
      <c r="D168" s="20" t="n">
        <v>0.9</v>
      </c>
      <c r="E168" s="2" t="s">
        <v>256</v>
      </c>
      <c r="F168" s="2" t="s">
        <v>63</v>
      </c>
      <c r="G168" s="13" t="s">
        <v>401</v>
      </c>
    </row>
    <row r="169" customFormat="false" ht="26.85" hidden="false" customHeight="false" outlineLevel="0" collapsed="false">
      <c r="A169" s="2" t="s">
        <v>402</v>
      </c>
      <c r="B169" s="13" t="s">
        <v>403</v>
      </c>
      <c r="C169" s="2" t="s">
        <v>48</v>
      </c>
      <c r="D169" s="18" t="n">
        <v>1200</v>
      </c>
      <c r="E169" s="2" t="s">
        <v>119</v>
      </c>
      <c r="F169" s="2" t="s">
        <v>63</v>
      </c>
      <c r="G169" s="17" t="s">
        <v>404</v>
      </c>
    </row>
    <row r="170" customFormat="false" ht="26.85" hidden="false" customHeight="false" outlineLevel="0" collapsed="false">
      <c r="A170" s="2" t="s">
        <v>405</v>
      </c>
      <c r="B170" s="13" t="s">
        <v>406</v>
      </c>
      <c r="C170" s="2" t="s">
        <v>43</v>
      </c>
      <c r="D170" s="18" t="n">
        <v>14</v>
      </c>
      <c r="E170" s="2" t="s">
        <v>119</v>
      </c>
      <c r="F170" s="2" t="s">
        <v>63</v>
      </c>
      <c r="G170" s="17" t="s">
        <v>407</v>
      </c>
    </row>
    <row r="171" customFormat="false" ht="26.85" hidden="false" customHeight="false" outlineLevel="0" collapsed="false">
      <c r="A171" s="2" t="s">
        <v>408</v>
      </c>
      <c r="B171" s="13" t="s">
        <v>409</v>
      </c>
      <c r="C171" s="2" t="s">
        <v>43</v>
      </c>
      <c r="D171" s="16" t="n">
        <v>0.14</v>
      </c>
      <c r="E171" s="2" t="s">
        <v>44</v>
      </c>
      <c r="F171" s="2" t="s">
        <v>67</v>
      </c>
      <c r="G171" s="17" t="s">
        <v>410</v>
      </c>
    </row>
    <row r="172" customFormat="false" ht="15" hidden="false" customHeight="false" outlineLevel="0" collapsed="false">
      <c r="A172" s="2" t="s">
        <v>411</v>
      </c>
      <c r="B172" s="13" t="s">
        <v>412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186</v>
      </c>
      <c r="F172" s="2" t="s">
        <v>63</v>
      </c>
      <c r="G172" s="13" t="s">
        <v>413</v>
      </c>
    </row>
    <row r="173" customFormat="false" ht="15" hidden="false" customHeight="false" outlineLevel="0" collapsed="false">
      <c r="A173" s="2" t="s">
        <v>414</v>
      </c>
      <c r="B173" s="13" t="s">
        <v>415</v>
      </c>
      <c r="C173" s="2" t="s">
        <v>43</v>
      </c>
      <c r="D173" s="20" t="n">
        <v>1</v>
      </c>
      <c r="E173" s="2" t="s">
        <v>256</v>
      </c>
      <c r="F173" s="2" t="s">
        <v>63</v>
      </c>
      <c r="G173" s="13" t="s">
        <v>416</v>
      </c>
    </row>
    <row r="174" customFormat="false" ht="15" hidden="false" customHeight="false" outlineLevel="0" collapsed="false">
      <c r="A174" s="2" t="s">
        <v>417</v>
      </c>
      <c r="B174" s="13" t="s">
        <v>418</v>
      </c>
      <c r="C174" s="2" t="s">
        <v>43</v>
      </c>
      <c r="D174" s="15" t="n">
        <v>15</v>
      </c>
      <c r="E174" s="2" t="s">
        <v>419</v>
      </c>
      <c r="F174" s="2" t="s">
        <v>67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18" t="n">
        <v>19</v>
      </c>
      <c r="E175" s="2" t="s">
        <v>119</v>
      </c>
      <c r="F175" s="2" t="s">
        <v>67</v>
      </c>
      <c r="G175" s="17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18" t="n">
        <v>400</v>
      </c>
      <c r="E176" s="2" t="s">
        <v>119</v>
      </c>
      <c r="F176" s="2" t="s">
        <v>63</v>
      </c>
      <c r="G176" s="17" t="s">
        <v>426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es hit a low ~45% below normal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75 km radius, own scaling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75 km radius, own scaling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75 km radius, own scaling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75 km radius, own scaling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), relative to the average channel (0.41). https://iab-forum.de/online-medien-sind-bei-der-personalsuche-auf-dem-vormarsch/"/>
    <hyperlink ref="G109" r:id="rId37" display="Derived from IAB 2025: decisive ÷ used for the employer homepage (20% ÷ 70%), relative to the average channel (0.41)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: maintenance codes 2513 + 2625 + 2611 + 2612 + supervisors (536,520) ÷ production occupations 21–29 (6,850,263) = 7.8%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L127" r:id="rId52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3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4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Indeed's DACH median is €161 per application (TalentBait, 2,549 campaigns), used as the programmatic proxy. Volume capped by Indeed's reach. https://www.talentbait.de/recruiting-kanaele-uebersicht/"/>
    <hyperlink ref="L132" r:id="rId57" display="Indeed's DACH median is €161 per application (TalentBait, 2,549 campaigns), used as the programmatic proxy. Volume capped by Indeed's reach. https://www.talentbait.de/recruiting-kanaele-uebersicht/"/>
    <hyperlink ref="L133" r:id="rId58" display="Indeed's DACH median is €161 per application (TalentBait, 2,549 campaigns), used as the programmatic proxy. Volume capped by Indeed's reach. https://www.talentbait.de/recruiting-kanaele-uebersicht/"/>
    <hyperlink ref="L134" r:id="rId59" display="Indeed's DACH median is €161 per application (TalentBait, 2,549 campaigns), used as the programmatic proxy. Volume capped by Indeed's reach. https://www.talentbait.de/recruiting-kanaele-uebersicht/"/>
    <hyperlink ref="L135" r:id="rId60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6" r:id="rId61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7" r:id="rId62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DACH median €96 per application (TalentBait). Used only for automation and supervisors. https://www.talentbait.de/recruiting-kanaele-uebersicht/"/>
    <hyperlink ref="L140" r:id="rId65" display="DACH median €96 per application (TalentBait). Used only for automation and supervisors. https://www.talentbait.de/recruiting-kanaele-uebersicht/"/>
    <hyperlink ref="L141" r:id="rId66" display="TalentBait's trades example: ~€84 per application for social ads; volume from Redline campaign data. https://www.talentbait.de/social-media-recruiting"/>
    <hyperlink ref="L142" r:id="rId67" display="TalentBait's trades example: ~€84 per application for social ads; volume from Redline campaign data. https://www.talentbait.de/social-media-recruiting"/>
    <hyperlink ref="L143" r:id="rId68" display="Google Search ads ~€179 per application, low volume (TalentBait). https://www.talentbait.de/recruiting-kanaele-uebersicht/"/>
    <hyperlink ref="L144" r:id="rId69" display="Google Search ads ~€179 per application, low volume (TalentBait). https://www.talentbait.de/recruiting-kanaele-uebersicht/"/>
    <hyperlink ref="L145" r:id="rId70" display="Google Search ads ~€179 per application, low volume (TalentBait). https://www.talentbait.de/recruiting-kanaele-uebersicht/"/>
    <hyperlink ref="L146" r:id="rId71" display="Google Search ads ~€179 per application, low volume (TalentBait). https://www.talentbait.de/recruiting-kanaele-uebersicht/"/>
    <hyperlink ref="G154" r:id="rId72" display="Cold outreach gets ~5% replies (Pin 2026); past applicants already know the employer, so I assume 12%. https://www.pin.com/blog/recruiting-outreach-benchmark-report/"/>
    <hyperlink ref="G155" r:id="rId73" display="They met the requirements once; I assume half still do (Forrester via SHRM: most remain a 70%+ match). https://www.shrm.org/mena/topics-tools/news/technology/talent-rediscovery-tools-help-address-labor-shortages"/>
    <hyperlink ref="G160" r:id="rId74" display="Referred applicants are better pre-filtered (IAB: referrals are the most decisive channel), so 45% qualify. https://iab-forum.de/online-medien-sind-bei-der-personalsuche-auf-dem-vormarsch/"/>
    <hyperlink ref="G161" r:id="rId75" display="Three text messages at ~€0.075 each (seven.io) plus email, rounded up to €0.30. https://www.seven.io/en/prices/"/>
    <hyperlink ref="G162" r:id="rId76" display="Most firms pay €501–1,000 per successful referral (Radancy survey, 335 firms worldwide). https://www.personalwirtschaft.de/?p=166393"/>
    <hyperlink ref="G163" r:id="rId77" display="Referred and known candidates pass and accept a little more often (+15%). https://www.metaview.ai/resources/blog/do-referred-candidates-interview-better"/>
    <hyperlink ref="G164" r:id="rId78" display="BA employment, KldB 2621 Bauelektrik: Berlin 6,204 + 60% of Brandenburg 5,905 (75 km radius, own scaling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6" r:id="rId79" display="TalentBait's trades example shows ~€84 per application for social ads. https://www.talentbait.de/social-media-recruiting"/>
    <hyperlink ref="G169" r:id="rId80" display="Copywriter (~11 hours at €65) plus a quiz tool for 3 months. https://www.freelancermap.de/freelancer/texterstellung"/>
    <hyperlink ref="G170" r:id="rId81" display="Pracuj.pl ad price divided by expected applications, blended with OLX and Meta. https://dlafirm.pracuj.pl/cennik-uslug/pakiety-ogloszen"/>
    <hyperlink ref="G171" r:id="rId82" display="Eurostat AES 2022, Poland, vocational upper-secondary: 58.7% know a foreign language × 23.6% of them good or proficient ≈ 14%. https://ec.europa.eu/eurostat/databrowser/view/edat_aes_l33/default/table"/>
    <hyperlink ref="G174" r:id="rId83" display="Phone screens take 15–30 minutes (Indeed); a checklist call takes 15. https://www.indeed.com/hire/c/info/what-is-a-phone-screen"/>
    <hyperlink ref="G175" r:id="rId84" display="Polish freelance recruiters charge ~€14–19 an hour. https://rocketjobs.pl/oferta-pracy/intent-tech-recruiter-freelance--warszawa-hr-recruitment-9e0cdcee"/>
    <hyperlink ref="G176" r:id="rId85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427</v>
      </c>
    </row>
    <row r="2" customFormat="false" ht="15" hidden="false" customHeight="false" outlineLevel="0" collapsed="false">
      <c r="A2" s="2" t="s">
        <v>428</v>
      </c>
    </row>
    <row r="4" customFormat="false" ht="48" hidden="false" customHeight="true" outlineLevel="0" collapsed="false">
      <c r="A4" s="12" t="s">
        <v>312</v>
      </c>
      <c r="B4" s="12" t="s">
        <v>47</v>
      </c>
      <c r="C4" s="12" t="s">
        <v>429</v>
      </c>
      <c r="D4" s="12" t="s">
        <v>430</v>
      </c>
      <c r="E4" s="12" t="s">
        <v>431</v>
      </c>
      <c r="F4" s="12" t="s">
        <v>432</v>
      </c>
      <c r="G4" s="12" t="s">
        <v>433</v>
      </c>
      <c r="H4" s="12" t="s">
        <v>434</v>
      </c>
      <c r="I4" s="12" t="s">
        <v>435</v>
      </c>
      <c r="J4" s="12" t="s">
        <v>436</v>
      </c>
      <c r="K4" s="12" t="s">
        <v>437</v>
      </c>
      <c r="L4" s="12" t="s">
        <v>438</v>
      </c>
      <c r="M4" s="12" t="s">
        <v>439</v>
      </c>
      <c r="N4" s="12" t="s">
        <v>440</v>
      </c>
      <c r="O4" s="12" t="s">
        <v>441</v>
      </c>
      <c r="P4" s="12" t="s">
        <v>442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413.059411486506</v>
      </c>
      <c r="N5" s="31" t="n">
        <f aca="false">IF(M5&gt;0,O5/M5,0)</f>
        <v>0.233024820549912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660.667213314308</v>
      </c>
      <c r="N6" s="31" t="n">
        <f aca="false">IF(M6&gt;0,O6/M6,0)</f>
        <v>0.179777532195495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443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1490.4890234349</v>
      </c>
      <c r="N9" s="34" t="n">
        <f aca="false">IF(M9&gt;0,O9/M9,0)</f>
        <v>0.206625524402199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444</v>
      </c>
    </row>
    <row r="12" customFormat="false" ht="15" hidden="false" customHeight="false" outlineLevel="0" collapsed="false">
      <c r="A12" s="28" t="s">
        <v>445</v>
      </c>
    </row>
    <row r="13" customFormat="false" ht="15" hidden="false" customHeight="false" outlineLevel="0" collapsed="false">
      <c r="A13" s="2" t="s">
        <v>446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447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448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449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450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451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452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453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454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455</v>
      </c>
      <c r="B26" s="38" t="n">
        <f aca="false">B22*B25</f>
        <v>102.049737036446</v>
      </c>
      <c r="C26" s="2" t="s">
        <v>456</v>
      </c>
    </row>
    <row r="28" customFormat="false" ht="15" hidden="false" customHeight="false" outlineLevel="0" collapsed="false">
      <c r="A28" s="28" t="s">
        <v>457</v>
      </c>
    </row>
    <row r="29" customFormat="false" ht="60" hidden="false" customHeight="true" outlineLevel="0" collapsed="false">
      <c r="A29" s="12" t="s">
        <v>312</v>
      </c>
      <c r="B29" s="12" t="s">
        <v>47</v>
      </c>
      <c r="C29" s="12" t="s">
        <v>458</v>
      </c>
      <c r="D29" s="12" t="s">
        <v>459</v>
      </c>
      <c r="E29" s="12" t="s">
        <v>460</v>
      </c>
      <c r="F29" s="12" t="s">
        <v>461</v>
      </c>
      <c r="G29" s="12" t="s">
        <v>462</v>
      </c>
      <c r="H29" s="12" t="s">
        <v>463</v>
      </c>
      <c r="I29" s="12" t="s">
        <v>464</v>
      </c>
      <c r="J29" s="12" t="s">
        <v>465</v>
      </c>
      <c r="K29" s="12" t="s">
        <v>466</v>
      </c>
      <c r="L29" s="12" t="s">
        <v>467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110.5720875</v>
      </c>
      <c r="E30" s="40" t="n">
        <f aca="false">IF(B30&gt;0,D30/B30,0)</f>
        <v>3.68573625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468</v>
      </c>
      <c r="J30" s="2" t="s">
        <v>469</v>
      </c>
      <c r="K30" s="40" t="n">
        <f aca="false">IF(B30&gt;0,(D30-SUMIFS(Channels!$N:$N,Channels!$A:$A,"I2-E",Channels!$C:$C,A30))/B30,0)</f>
        <v>3.40696125</v>
      </c>
      <c r="L30" s="40" t="n">
        <f aca="false">IF(B30&gt;0,K30,1000000000)</f>
        <v>3.40696125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551.49330375</v>
      </c>
      <c r="E31" s="40" t="n">
        <f aca="false">IF(B31&gt;0,D31/B31,0)</f>
        <v>12.25540675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470</v>
      </c>
      <c r="J31" s="2" t="s">
        <v>471</v>
      </c>
      <c r="K31" s="40" t="n">
        <f aca="false">IF(B31&gt;0,(D31-SUMIFS(Channels!$N:$N,Channels!$A:$A,"I2-E",Channels!$C:$C,A31))/B31,0)</f>
        <v>12.25540675</v>
      </c>
      <c r="L31" s="40" t="n">
        <f aca="false">IF(B31&gt;0,K31,1000000000)</f>
        <v>12.25540675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468</v>
      </c>
      <c r="J32" s="2" t="s">
        <v>471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468</v>
      </c>
      <c r="J33" s="2" t="s">
        <v>471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is tighter (column G: "&amp;TEXT(G32,"0%")&amp;" of reachable people vs "&amp;TEXT(G30,"0%")&amp;"),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is tighter (column G: 22% of reachable people vs 12%),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472</v>
      </c>
    </row>
    <row r="40" customFormat="false" ht="15" hidden="false" customHeight="false" outlineLevel="0" collapsed="false">
      <c r="A40" s="2" t="s">
        <v>473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474</v>
      </c>
      <c r="B41" s="12" t="s">
        <v>475</v>
      </c>
      <c r="C41" s="12" t="s">
        <v>10</v>
      </c>
      <c r="D41" s="12" t="s">
        <v>476</v>
      </c>
      <c r="E41" s="12" t="s">
        <v>477</v>
      </c>
      <c r="F41" s="12" t="s">
        <v>478</v>
      </c>
      <c r="G41" s="12" t="s">
        <v>479</v>
      </c>
      <c r="H41" s="12" t="s">
        <v>480</v>
      </c>
    </row>
    <row r="42" customFormat="false" ht="30" hidden="false" customHeight="true" outlineLevel="0" collapsed="false">
      <c r="A42" s="13" t="s">
        <v>481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101667.57387493</v>
      </c>
      <c r="G42" s="30" t="n">
        <f aca="false">IF(Budget!$C$7&gt;0,F42/Budget!$C$7-1,0)</f>
        <v>0</v>
      </c>
      <c r="H42" s="13" t="s">
        <v>482</v>
      </c>
    </row>
    <row r="43" customFormat="false" ht="30" hidden="false" customHeight="true" outlineLevel="0" collapsed="false">
      <c r="A43" s="13" t="s">
        <v>483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145239.3912499</v>
      </c>
      <c r="G43" s="30" t="n">
        <f aca="false">IF(Budget!$C$7&gt;0,F43/Budget!$C$7-1,0)</f>
        <v>0.428571428571429</v>
      </c>
      <c r="H43" s="13" t="s">
        <v>484</v>
      </c>
    </row>
    <row r="44" customFormat="false" ht="30" hidden="false" customHeight="true" outlineLevel="0" collapsed="false">
      <c r="A44" s="13" t="s">
        <v>485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145239.3912499</v>
      </c>
      <c r="G44" s="30" t="n">
        <f aca="false">IF(Budget!$C$7&gt;0,F44/Budget!$C$7-1,0)</f>
        <v>0.428571428571429</v>
      </c>
      <c r="H44" s="13" t="s">
        <v>486</v>
      </c>
    </row>
    <row r="45" customFormat="false" ht="30" hidden="false" customHeight="true" outlineLevel="0" collapsed="false">
      <c r="A45" s="13" t="s">
        <v>487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145239.3912499</v>
      </c>
      <c r="G45" s="30" t="n">
        <f aca="false">IF(Budget!$C$7&gt;0,F45/Budget!$C$7-1,0)</f>
        <v>0.428571428571429</v>
      </c>
      <c r="H45" s="13" t="s">
        <v>488</v>
      </c>
    </row>
    <row r="46" customFormat="false" ht="30" hidden="false" customHeight="true" outlineLevel="0" collapsed="false">
      <c r="A46" s="13" t="s">
        <v>489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132167.846037409</v>
      </c>
      <c r="G46" s="30" t="n">
        <f aca="false">IF(Budget!$C$7&gt;0,F46/Budget!$C$7-1,0)</f>
        <v>0.3</v>
      </c>
      <c r="H46" s="13" t="s">
        <v>490</v>
      </c>
    </row>
    <row r="47" customFormat="false" ht="30" hidden="false" customHeight="true" outlineLevel="0" collapsed="false">
      <c r="A47" s="13" t="s">
        <v>491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101667.57387493</v>
      </c>
      <c r="G47" s="30" t="n">
        <f aca="false">IF(Budget!$C$7&gt;0,F47/Budget!$C$7-1,0)</f>
        <v>0</v>
      </c>
      <c r="H47" s="13" t="s">
        <v>492</v>
      </c>
    </row>
    <row r="49" customFormat="false" ht="15" hidden="false" customHeight="false" outlineLevel="0" collapsed="false">
      <c r="A49" s="28" t="s">
        <v>493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494</v>
      </c>
    </row>
    <row r="57" customFormat="false" ht="45" hidden="false" customHeight="true" outlineLevel="0" collapsed="false">
      <c r="A57" s="12" t="s">
        <v>312</v>
      </c>
      <c r="B57" s="12" t="s">
        <v>495</v>
      </c>
      <c r="C57" s="12" t="s">
        <v>496</v>
      </c>
      <c r="D57" s="12" t="s">
        <v>497</v>
      </c>
      <c r="E57" s="12" t="s">
        <v>498</v>
      </c>
      <c r="F57" s="12" t="s">
        <v>499</v>
      </c>
      <c r="G57" s="12" t="s">
        <v>500</v>
      </c>
      <c r="H57" s="12" t="s">
        <v>501</v>
      </c>
      <c r="I57" s="12" t="s">
        <v>502</v>
      </c>
      <c r="J57" s="12" t="s">
        <v>503</v>
      </c>
      <c r="K57" s="12" t="s">
        <v>504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322.5375</v>
      </c>
      <c r="J58" s="30" t="n">
        <f aca="false">IF(F58&gt;0,I58/F58,0)</f>
        <v>0.566849736379613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1483.58</v>
      </c>
      <c r="J59" s="30" t="n">
        <f aca="false">IF(F59&gt;0,I59/F59,0)</f>
        <v>0.505995907230559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505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506</v>
      </c>
    </row>
    <row r="2" customFormat="false" ht="15" hidden="false" customHeight="false" outlineLevel="0" collapsed="false">
      <c r="A2" s="2" t="s">
        <v>507</v>
      </c>
    </row>
    <row r="3" customFormat="false" ht="15" hidden="false" customHeight="false" outlineLevel="0" collapsed="false">
      <c r="A3" s="28" t="s">
        <v>508</v>
      </c>
    </row>
    <row r="4" customFormat="false" ht="15" hidden="false" customHeight="false" outlineLevel="0" collapsed="false">
      <c r="A4" s="12" t="s">
        <v>509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443</v>
      </c>
    </row>
    <row r="5" customFormat="false" ht="15" hidden="false" customHeight="false" outlineLevel="0" collapsed="false">
      <c r="A5" s="2" t="s">
        <v>510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511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512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513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514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515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516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517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518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519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520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521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522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523</v>
      </c>
    </row>
    <row r="18" customFormat="false" ht="15" hidden="false" customHeight="false" outlineLevel="0" collapsed="false">
      <c r="A18" s="2" t="s">
        <v>524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525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526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527</v>
      </c>
    </row>
    <row r="24" customFormat="false" ht="15" hidden="false" customHeight="false" outlineLevel="0" collapsed="false">
      <c r="A24" s="2" t="s">
        <v>528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529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530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531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532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533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534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535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536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537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538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539</v>
      </c>
    </row>
    <row r="38" customFormat="false" ht="15" hidden="false" customHeight="false" outlineLevel="0" collapsed="false">
      <c r="A38" s="2" t="s">
        <v>540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541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530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542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543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544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545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546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547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548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549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550</v>
      </c>
    </row>
    <row r="52" customFormat="false" ht="60" hidden="false" customHeight="true" outlineLevel="0" collapsed="false">
      <c r="A52" s="12" t="s">
        <v>551</v>
      </c>
      <c r="B52" s="12" t="s">
        <v>552</v>
      </c>
      <c r="C52" s="12" t="s">
        <v>553</v>
      </c>
      <c r="D52" s="12" t="s">
        <v>554</v>
      </c>
      <c r="E52" s="12" t="s">
        <v>555</v>
      </c>
      <c r="F52" s="12" t="s">
        <v>556</v>
      </c>
      <c r="G52" s="12" t="s">
        <v>557</v>
      </c>
      <c r="H52" s="12" t="s">
        <v>558</v>
      </c>
      <c r="I52" s="12" t="s">
        <v>559</v>
      </c>
      <c r="J52" s="12" t="s">
        <v>560</v>
      </c>
      <c r="K52" s="12" t="s">
        <v>561</v>
      </c>
    </row>
    <row r="53" customFormat="false" ht="48" hidden="false" customHeight="true" outlineLevel="0" collapsed="false">
      <c r="A53" s="28" t="s">
        <v>562</v>
      </c>
      <c r="B53" s="13" t="s">
        <v>563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23.2959</v>
      </c>
      <c r="F53" s="2" t="s">
        <v>564</v>
      </c>
      <c r="G53" s="29" t="n">
        <f aca="false">MAX(1,ROUNDDOWN(E53*Assumptions!$D$89,0))</f>
        <v>13</v>
      </c>
      <c r="H53" s="2" t="s">
        <v>565</v>
      </c>
      <c r="I53" s="29" t="n">
        <f aca="false">MIN(G53,MAX(1,ROUNDUP(E53*Assumptions!$D$91,0)))</f>
        <v>7</v>
      </c>
      <c r="J53" s="2" t="s">
        <v>565</v>
      </c>
      <c r="K53" s="13" t="s">
        <v>566</v>
      </c>
    </row>
    <row r="54" customFormat="false" ht="48" hidden="false" customHeight="true" outlineLevel="0" collapsed="false">
      <c r="A54" s="28" t="s">
        <v>567</v>
      </c>
      <c r="B54" s="13" t="s">
        <v>568</v>
      </c>
      <c r="C54" s="30" t="n">
        <f aca="false">(Weekly!$D$4*4/7+Weekly!$D$5+Weekly!$D$6*3/7)</f>
        <v>0.372857142857143</v>
      </c>
      <c r="D54" s="41" t="n">
        <f aca="false">B33+SUMIFS(Channels!$X:$X,Channels!$A:$A,"I2-E")*C54</f>
        <v>4895.76</v>
      </c>
      <c r="E54" s="32" t="n">
        <f aca="false">SUMIFS(Channels!$V:$V,Channels!$A:$A,"I2-E")*C54</f>
        <v>10.9992857142857</v>
      </c>
      <c r="F54" s="41" t="n">
        <f aca="false">IF(B28&gt;0,B27/B28,0)</f>
        <v>336</v>
      </c>
      <c r="G54" s="29" t="n">
        <f aca="false">MAX(1,ROUNDDOWN(E54*Assumptions!$D$89,0))</f>
        <v>6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569</v>
      </c>
    </row>
    <row r="55" customFormat="false" ht="48" hidden="false" customHeight="true" outlineLevel="0" collapsed="false">
      <c r="A55" s="28" t="s">
        <v>570</v>
      </c>
      <c r="B55" s="13" t="s">
        <v>571</v>
      </c>
      <c r="C55" s="30" t="n">
        <f aca="false">(Weekly!$D$5+Weekly!$D$6)</f>
        <v>0.33</v>
      </c>
      <c r="D55" s="41" t="n">
        <f aca="false">B46+SUMIFS(Channels!$X:$X,Channels!$A:$A,"I3-M")*C55</f>
        <v>2542.85714285714</v>
      </c>
      <c r="E55" s="32" t="n">
        <f aca="false">SUMIFS(Channels!$V:$V,Channels!$A:$A,"I3-M")*C55</f>
        <v>16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572</v>
      </c>
    </row>
    <row r="57" customFormat="false" ht="26.85" hidden="false" customHeight="false" outlineLevel="0" collapsed="false">
      <c r="A57" s="13" t="s">
        <v>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574</v>
      </c>
    </row>
    <row r="2" customFormat="false" ht="369.4" hidden="false" customHeight="false" outlineLevel="0" collapsed="false">
      <c r="A2" s="13" t="s">
        <v>575</v>
      </c>
    </row>
    <row r="3" customFormat="false" ht="318.65" hidden="false" customHeight="false" outlineLevel="0" collapsed="false">
      <c r="A3" s="13" t="s">
        <v>576</v>
      </c>
    </row>
    <row r="4" customFormat="false" ht="60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577</v>
      </c>
      <c r="E4" s="12" t="s">
        <v>313</v>
      </c>
      <c r="F4" s="12" t="s">
        <v>578</v>
      </c>
      <c r="G4" s="12" t="s">
        <v>579</v>
      </c>
      <c r="H4" s="12" t="s">
        <v>531</v>
      </c>
      <c r="I4" s="12" t="s">
        <v>316</v>
      </c>
      <c r="J4" s="12" t="s">
        <v>530</v>
      </c>
      <c r="K4" s="12" t="s">
        <v>580</v>
      </c>
      <c r="L4" s="12" t="s">
        <v>433</v>
      </c>
      <c r="M4" s="12" t="s">
        <v>581</v>
      </c>
      <c r="N4" s="12" t="s">
        <v>582</v>
      </c>
      <c r="O4" s="12" t="s">
        <v>583</v>
      </c>
      <c r="P4" s="12" t="s">
        <v>584</v>
      </c>
      <c r="Q4" s="12" t="s">
        <v>585</v>
      </c>
      <c r="R4" s="12" t="s">
        <v>586</v>
      </c>
      <c r="S4" s="12" t="s">
        <v>587</v>
      </c>
      <c r="T4" s="12" t="s">
        <v>588</v>
      </c>
      <c r="U4" s="12" t="s">
        <v>589</v>
      </c>
      <c r="V4" s="12" t="s">
        <v>590</v>
      </c>
      <c r="W4" s="12" t="s">
        <v>591</v>
      </c>
      <c r="X4" s="12" t="s">
        <v>592</v>
      </c>
      <c r="Y4" s="12" t="s">
        <v>593</v>
      </c>
      <c r="Z4" s="12" t="s">
        <v>594</v>
      </c>
      <c r="AA4" s="12" t="s">
        <v>595</v>
      </c>
      <c r="AB4" s="12" t="s">
        <v>596</v>
      </c>
      <c r="AC4" s="12" t="s">
        <v>597</v>
      </c>
      <c r="AD4" s="12" t="s">
        <v>598</v>
      </c>
      <c r="AE4" s="12" t="s">
        <v>599</v>
      </c>
      <c r="AF4" s="12" t="s">
        <v>600</v>
      </c>
      <c r="AG4" s="12" t="s">
        <v>601</v>
      </c>
      <c r="AH4" s="12" t="s">
        <v>602</v>
      </c>
      <c r="AI4" s="12" t="s">
        <v>603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311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29.1472854551251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311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43.9950150006831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311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311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0.1633</v>
      </c>
      <c r="J8" s="29" t="n">
        <f aca="false">IF(AND(OR(E8="CPC",E8="Slot"),NOT(N(G8)&gt;0)),0,IF(E8="Slot",Assumptions!H130*G8,Assumptions!H130))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311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20.6080875</v>
      </c>
      <c r="T9" s="32" t="n">
        <f aca="false">INDEX(Funnel!$B$5:$B$8,MATCH(C9,Funnel!$A$5:$A$8,0))-SUMIFS($AG$5:$AG$34,$C$5:$C$34,C9)</f>
        <v>29.1472854551251</v>
      </c>
      <c r="U9" s="46" t="n">
        <f aca="false">AG9+AI9</f>
        <v>8.86936099860335</v>
      </c>
      <c r="V9" s="32" t="n">
        <f aca="false">IF(L9&gt;0,U9/L9,0)</f>
        <v>28.1567015828678</v>
      </c>
      <c r="W9" s="29" t="n">
        <f aca="false">IF(I9&gt;0,V9/I9,0)</f>
        <v>125.140895923857</v>
      </c>
      <c r="X9" s="41" t="n">
        <f aca="false">IF(E9="Slot",IF(N(G9)&gt;0,ROUNDUP(W9/G9,0)*MAX(0,F9),0),W9*H9)</f>
        <v>20147.6842437409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20147.6842437409</v>
      </c>
      <c r="AB9" s="41" t="n">
        <f aca="false">IF(U9&gt;0,(X9+Y9)/U9,"–")</f>
        <v>2271.60493827161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8.53919795512509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311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37.35846</v>
      </c>
      <c r="T10" s="32" t="n">
        <f aca="false">INDEX(Funnel!$B$5:$B$8,MATCH(C10,Funnel!$A$5:$A$8,0))-SUMIFS($AG$5:$AG$34,$C$5:$C$34,C10)</f>
        <v>43.9950150006831</v>
      </c>
      <c r="U10" s="46" t="n">
        <f aca="false">AG10+AI10</f>
        <v>7.0256757304968</v>
      </c>
      <c r="V10" s="32" t="n">
        <f aca="false">IF(L10&gt;0,U10/L10,0)</f>
        <v>18.9243790720453</v>
      </c>
      <c r="W10" s="29" t="n">
        <f aca="false">IF(I10&gt;0,V10/I10,0)</f>
        <v>84.1083514313123</v>
      </c>
      <c r="X10" s="41" t="n">
        <f aca="false">IF(E10="Slot",IF(N(G10)&gt;0,ROUNDUP(W10/G10,0)*MAX(0,F10),0),W10*H10)</f>
        <v>13541.4445804413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13541.4445804413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6.63655500068314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311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311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311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29.1472854551251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311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43.9950150006831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311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311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311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311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311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0.1025</v>
      </c>
      <c r="J19" s="29" t="n">
        <f aca="false">IF(AND(OR(E19="CPC",E19="Slot"),NOT(N(G19)&gt;0)),0,IF(E19="Slot",Assumptions!H141*G19,Assumptions!H141))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IF(N19&gt;0,(N19/L19/I19*H19+Assumptions!J141)/N19,0)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84.7741744565217</v>
      </c>
      <c r="T19" s="32" t="n">
        <f aca="false">INDEX(Funnel!$B$5:$B$8,MATCH(C19,Funnel!$A$5:$A$8,0))-SUMIFS($AG$5:$AG$34,$C$5:$C$34,C19)</f>
        <v>29.1472854551251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311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0.1025</v>
      </c>
      <c r="J20" s="29" t="n">
        <f aca="false">IF(AND(OR(E20="CPC",E20="Slot"),NOT(N(G20)&gt;0)),0,IF(E20="Slot",Assumptions!H142*G20,Assumptions!H142))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IF(N20&gt;0,(N20/L20/I20*H20+Assumptions!J142)/N20,0)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428.730901770186</v>
      </c>
      <c r="T20" s="32" t="n">
        <f aca="false">INDEX(Funnel!$B$5:$B$8,MATCH(C20,Funnel!$A$5:$A$8,0))-SUMIFS($AG$5:$AG$34,$C$5:$C$34,C20)</f>
        <v>43.9950150006831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311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IF(N21&gt;0,(N21/L21/I21*H21+Assumptions!J143)/N21,0)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90.9433932065217</v>
      </c>
      <c r="T21" s="32" t="n">
        <f aca="false">INDEX(Funnel!$B$5:$B$8,MATCH(C21,Funnel!$A$5:$A$8,0))-SUMIFS($AG$5:$AG$34,$C$5:$C$34,C21)</f>
        <v>29.1472854551251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311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0.1775</v>
      </c>
      <c r="J22" s="29" t="n">
        <f aca="false">IF(AND(OR(E22="CPC",E22="Slot"),NOT(N(G22)&gt;0)),0,IF(E22="Slot",Assumptions!H144*G22,Assumptions!H144))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IF(N22&gt;0,(N22/L22/I22*H22+Assumptions!J144)/N22,0)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436.762829225544</v>
      </c>
      <c r="T22" s="32" t="n">
        <f aca="false">INDEX(Funnel!$B$5:$B$8,MATCH(C22,Funnel!$A$5:$A$8,0))-SUMIFS($AG$5:$AG$34,$C$5:$C$34,C22)</f>
        <v>43.9950150006831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311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IF(N23&gt;0,(N23/L23/I23*H23+Assumptions!J145)/N23,0)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311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0.1633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IF(N24&gt;0,(N24/L24/I24*H24+Assumptions!J146)/N24,0)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604</v>
      </c>
      <c r="B25" s="2" t="s">
        <v>605</v>
      </c>
      <c r="C25" s="2" t="s">
        <v>48</v>
      </c>
      <c r="D25" s="2" t="s">
        <v>551</v>
      </c>
      <c r="E25" s="2" t="s">
        <v>329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29.1472854551251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606</v>
      </c>
      <c r="B26" s="2" t="s">
        <v>605</v>
      </c>
      <c r="C26" s="2" t="s">
        <v>43</v>
      </c>
      <c r="D26" s="2" t="s">
        <v>551</v>
      </c>
      <c r="E26" s="2" t="s">
        <v>329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43.9950150006831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607</v>
      </c>
      <c r="B27" s="2" t="s">
        <v>605</v>
      </c>
      <c r="C27" s="2" t="s">
        <v>52</v>
      </c>
      <c r="D27" s="2" t="s">
        <v>551</v>
      </c>
      <c r="E27" s="2" t="s">
        <v>329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608</v>
      </c>
      <c r="B28" s="2" t="s">
        <v>605</v>
      </c>
      <c r="C28" s="2" t="s">
        <v>54</v>
      </c>
      <c r="D28" s="2" t="s">
        <v>551</v>
      </c>
      <c r="E28" s="2" t="s">
        <v>329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609</v>
      </c>
      <c r="B29" s="2" t="s">
        <v>610</v>
      </c>
      <c r="C29" s="2" t="s">
        <v>48</v>
      </c>
      <c r="D29" s="2" t="s">
        <v>551</v>
      </c>
      <c r="E29" s="2" t="s">
        <v>329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29.1472854551251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611</v>
      </c>
      <c r="B30" s="2" t="s">
        <v>610</v>
      </c>
      <c r="C30" s="2" t="s">
        <v>43</v>
      </c>
      <c r="D30" s="2" t="s">
        <v>551</v>
      </c>
      <c r="E30" s="2" t="s">
        <v>329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43.9950150006831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612</v>
      </c>
      <c r="B31" s="2" t="s">
        <v>610</v>
      </c>
      <c r="C31" s="2" t="s">
        <v>52</v>
      </c>
      <c r="D31" s="2" t="s">
        <v>551</v>
      </c>
      <c r="E31" s="2" t="s">
        <v>329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613</v>
      </c>
      <c r="B32" s="2" t="s">
        <v>610</v>
      </c>
      <c r="C32" s="2" t="s">
        <v>54</v>
      </c>
      <c r="D32" s="2" t="s">
        <v>551</v>
      </c>
      <c r="E32" s="2" t="s">
        <v>329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614</v>
      </c>
      <c r="B33" s="2" t="s">
        <v>615</v>
      </c>
      <c r="C33" s="2" t="s">
        <v>48</v>
      </c>
      <c r="D33" s="2" t="s">
        <v>551</v>
      </c>
      <c r="E33" s="2" t="s">
        <v>329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29.1472854551251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616</v>
      </c>
      <c r="B34" s="2" t="s">
        <v>617</v>
      </c>
      <c r="C34" s="2" t="s">
        <v>43</v>
      </c>
      <c r="D34" s="2" t="s">
        <v>551</v>
      </c>
      <c r="E34" s="2" t="s">
        <v>329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43.9950150006831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443</v>
      </c>
      <c r="J35" s="33" t="n">
        <f aca="false">SUM(J5:J34)</f>
        <v>10534.32</v>
      </c>
      <c r="K35" s="35" t="n">
        <f aca="false">SUM(K5:K34)</f>
        <v>2170.5725</v>
      </c>
      <c r="N35" s="35" t="n">
        <f aca="false">SUM(N5:N34)</f>
        <v>749.96689725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1490.4890234349</v>
      </c>
      <c r="X35" s="42" t="n">
        <f aca="false">SUM(X5:X34)</f>
        <v>100067.57387493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101667.57387493</v>
      </c>
      <c r="AB35" s="42" t="n">
        <f aca="false">IF(U35&gt;0,(X35+Y35)/U35,0)</f>
        <v>1016.6757387493</v>
      </c>
      <c r="AE35" s="33" t="n">
        <f aca="false">SUM(AE5:AE34)</f>
        <v>68.8754597661265</v>
      </c>
      <c r="AF35" s="35" t="n">
        <f aca="false">SUM(AF5:AF34)</f>
        <v>12.2294159235227</v>
      </c>
      <c r="AG35" s="35" t="n">
        <f aca="false">SUM(AG5:AG34)</f>
        <v>3.64126383307779</v>
      </c>
      <c r="AI35" s="35" t="n">
        <f aca="false">SUM(AI5:AI34)</f>
        <v>96.3587361669222</v>
      </c>
    </row>
    <row r="37" customFormat="false" ht="15" hidden="false" customHeight="false" outlineLevel="0" collapsed="false">
      <c r="A37" s="28" t="s">
        <v>618</v>
      </c>
    </row>
    <row r="38" customFormat="false" ht="64.9" hidden="false" customHeight="false" outlineLevel="0" collapsed="false">
      <c r="A38" s="12"/>
      <c r="B38" s="12" t="s">
        <v>312</v>
      </c>
      <c r="C38" s="12" t="s">
        <v>47</v>
      </c>
      <c r="D38" s="12" t="s">
        <v>619</v>
      </c>
      <c r="E38" s="12" t="s">
        <v>620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621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622</v>
      </c>
      <c r="C4" s="41" t="n">
        <f aca="false">SUMIFS(Channels!X5:X34,Channels!D5:D34,"Channel")</f>
        <v>72621.0398814234</v>
      </c>
    </row>
    <row r="5" customFormat="false" ht="15" hidden="false" customHeight="false" outlineLevel="0" collapsed="false">
      <c r="B5" s="2" t="s">
        <v>623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624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625</v>
      </c>
      <c r="C7" s="41" t="n">
        <f aca="false">C4+C5+C6</f>
        <v>101667.57387493</v>
      </c>
    </row>
    <row r="8" customFormat="false" ht="15" hidden="false" customHeight="false" outlineLevel="0" collapsed="false">
      <c r="B8" s="2" t="s">
        <v>626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627</v>
      </c>
      <c r="C9" s="41" t="n">
        <f aca="false">C7</f>
        <v>101667.57387493</v>
      </c>
    </row>
    <row r="10" customFormat="false" ht="15" hidden="false" customHeight="false" outlineLevel="0" collapsed="false">
      <c r="B10" s="2" t="s">
        <v>628</v>
      </c>
      <c r="C10" s="41" t="n">
        <f aca="false">IF(Assumptions!$D$48&lt;1,C9/(1-Assumptions!$D$48)*Assumptions!$D$48,0)</f>
        <v>17941.3365661641</v>
      </c>
    </row>
    <row r="11" customFormat="false" ht="15" hidden="false" customHeight="false" outlineLevel="0" collapsed="false">
      <c r="B11" s="2" t="s">
        <v>629</v>
      </c>
      <c r="C11" s="41" t="n">
        <f aca="false">C9+C10</f>
        <v>119608.910441094</v>
      </c>
    </row>
    <row r="12" customFormat="false" ht="15" hidden="false" customHeight="false" outlineLevel="0" collapsed="false">
      <c r="B12" s="28" t="s">
        <v>630</v>
      </c>
      <c r="C12" s="4" t="n">
        <f aca="false">IF(Assumptions!$D$51&gt;0,ROUNDUP(C11/Assumptions!$D$51,0)*Assumptions!$D$51,C11)</f>
        <v>120000</v>
      </c>
    </row>
    <row r="13" customFormat="false" ht="15" hidden="false" customHeight="false" outlineLevel="0" collapsed="false">
      <c r="B13" s="2" t="s">
        <v>631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632</v>
      </c>
      <c r="C14" s="47" t="n">
        <f aca="false">IF(C13&gt;0,C9/C13,0)</f>
        <v>1016.6757387493</v>
      </c>
    </row>
    <row r="15" customFormat="false" ht="15" hidden="false" customHeight="false" outlineLevel="0" collapsed="false">
      <c r="B15" s="2" t="s">
        <v>633</v>
      </c>
      <c r="C15" s="41" t="n">
        <f aca="false">IF(C13&gt;0,C12/C13,0)</f>
        <v>1200</v>
      </c>
    </row>
    <row r="16" customFormat="false" ht="15" hidden="false" customHeight="false" outlineLevel="0" collapsed="false">
      <c r="B16" s="2" t="s">
        <v>634</v>
      </c>
      <c r="C16" s="30" t="n">
        <f aca="false">IF(C12&gt;0,Weekly!N5/C12,0)</f>
        <v>0.388897765857544</v>
      </c>
    </row>
    <row r="19" customFormat="false" ht="15" hidden="false" customHeight="false" outlineLevel="0" collapsed="false">
      <c r="B19" s="28" t="s">
        <v>635</v>
      </c>
    </row>
    <row r="20" customFormat="false" ht="26.85" hidden="false" customHeight="false" outlineLevel="0" collapsed="false">
      <c r="A20" s="12"/>
      <c r="B20" s="12" t="s">
        <v>312</v>
      </c>
      <c r="C20" s="12" t="s">
        <v>636</v>
      </c>
      <c r="D20" s="12" t="s">
        <v>593</v>
      </c>
      <c r="E20" s="12" t="s">
        <v>637</v>
      </c>
      <c r="F20" s="12" t="s">
        <v>595</v>
      </c>
      <c r="G20" s="12" t="s">
        <v>638</v>
      </c>
      <c r="H20" s="12" t="s">
        <v>639</v>
      </c>
      <c r="I20" s="12" t="s">
        <v>640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37737.434243741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38937.434243741</v>
      </c>
      <c r="G21" s="32" t="n">
        <f aca="false">SUMIFS(Channels!$U$5:$U$34,Channels!$C$5:$C$34,B21)</f>
        <v>30</v>
      </c>
      <c r="H21" s="41" t="n">
        <f aca="false">IF(G21&gt;0,F21/G21,0)</f>
        <v>1297.91447479137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29450.9198239478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29850.9198239478</v>
      </c>
      <c r="G22" s="32" t="n">
        <f aca="false">SUMIFS(Channels!$U$5:$U$34,Channels!$C$5:$C$34,B22)</f>
        <v>45</v>
      </c>
      <c r="H22" s="41" t="n">
        <f aca="false">IF(G22&gt;0,F22/G22,0)</f>
        <v>663.353773865506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443</v>
      </c>
      <c r="C25" s="42" t="n">
        <f aca="false">SUM(C21:C24)</f>
        <v>100067.57387493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101667.57387493</v>
      </c>
      <c r="G25" s="35" t="n">
        <f aca="false">SUM(G21:G24)</f>
        <v>100</v>
      </c>
      <c r="H25" s="42" t="n">
        <f aca="false">IF(G25&gt;0,F25/G25,0)</f>
        <v>1016.6757387493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641</v>
      </c>
    </row>
    <row r="28" customFormat="false" ht="26.85" hidden="false" customHeight="false" outlineLevel="0" collapsed="false">
      <c r="A28" s="12"/>
      <c r="B28" s="12" t="s">
        <v>311</v>
      </c>
      <c r="C28" s="12" t="s">
        <v>595</v>
      </c>
      <c r="D28" s="12" t="s">
        <v>638</v>
      </c>
      <c r="E28" s="12" t="s">
        <v>639</v>
      </c>
      <c r="F28" s="12" t="s">
        <v>642</v>
      </c>
    </row>
    <row r="29" customFormat="false" ht="15" hidden="false" customHeight="false" outlineLevel="0" collapsed="false">
      <c r="B29" s="2" t="s">
        <v>321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328</v>
      </c>
      <c r="C30" s="41" t="n">
        <f aca="false">SUMIFS(Channels!$AA$5:$AA$34,Channels!$B$5:$B$34,B30)</f>
        <v>35189.1288241822</v>
      </c>
      <c r="D30" s="32" t="n">
        <f aca="false">SUMIFS(Channels!$U$5:$U$34,Channels!$B$5:$B$34,B30)</f>
        <v>16.4216834682306</v>
      </c>
      <c r="E30" s="41" t="n">
        <f aca="false">IF(D30&gt;0,C30/D30,"–")</f>
        <v>2142.8453965916</v>
      </c>
      <c r="F30" s="30" t="n">
        <f aca="false">IF($C$9&gt;0,C30/$C$9,0)</f>
        <v>0.346119490049713</v>
      </c>
    </row>
    <row r="31" customFormat="false" ht="15" hidden="false" customHeight="false" outlineLevel="0" collapsed="false">
      <c r="B31" s="2" t="s">
        <v>335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0.0570093273508244</v>
      </c>
    </row>
    <row r="32" customFormat="false" ht="15" hidden="false" customHeight="false" outlineLevel="0" collapsed="false">
      <c r="B32" s="2" t="s">
        <v>342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0.266908218844914</v>
      </c>
    </row>
    <row r="33" customFormat="false" ht="15" hidden="false" customHeight="false" outlineLevel="0" collapsed="false">
      <c r="B33" s="2" t="s">
        <v>346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0.0147539667056999</v>
      </c>
    </row>
    <row r="34" customFormat="false" ht="15" hidden="false" customHeight="false" outlineLevel="0" collapsed="false">
      <c r="B34" s="2" t="s">
        <v>350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0.0295079334113998</v>
      </c>
    </row>
    <row r="35" customFormat="false" ht="15" hidden="false" customHeight="false" outlineLevel="0" collapsed="false">
      <c r="B35" s="2" t="s">
        <v>605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0.000622617394980535</v>
      </c>
    </row>
    <row r="36" customFormat="false" ht="15" hidden="false" customHeight="false" outlineLevel="0" collapsed="false">
      <c r="B36" s="2" t="s">
        <v>610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0.107976684026164</v>
      </c>
    </row>
    <row r="37" customFormat="false" ht="15" hidden="false" customHeight="false" outlineLevel="0" collapsed="false">
      <c r="B37" s="2" t="s">
        <v>615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0.109297385355825</v>
      </c>
    </row>
    <row r="38" customFormat="false" ht="15" hidden="false" customHeight="false" outlineLevel="0" collapsed="false">
      <c r="B38" s="2" t="s">
        <v>617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0.0678043768604805</v>
      </c>
    </row>
    <row r="39" customFormat="false" ht="15" hidden="false" customHeight="false" outlineLevel="0" collapsed="false">
      <c r="B39" s="28" t="s">
        <v>443</v>
      </c>
      <c r="C39" s="42" t="n">
        <f aca="false">SUM(C29:C38)</f>
        <v>101667.57387493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643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644</v>
      </c>
      <c r="C44" s="12" t="s">
        <v>645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646</v>
      </c>
      <c r="I44" s="12" t="s">
        <v>639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120000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1200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84000</v>
      </c>
      <c r="D46" s="32" t="n">
        <f aca="false">Budget!G87</f>
        <v>20.6080875</v>
      </c>
      <c r="E46" s="32" t="n">
        <f aca="false">Budget!G88</f>
        <v>44.3841357304968</v>
      </c>
      <c r="F46" s="32" t="n">
        <f aca="false">Budget!G89</f>
        <v>14.4920100346126</v>
      </c>
      <c r="G46" s="32" t="n">
        <f aca="false">Budget!G90</f>
        <v>7.4933802851456</v>
      </c>
      <c r="H46" s="35" t="n">
        <f aca="false">SUM(D46:G46)</f>
        <v>86.977613550255</v>
      </c>
      <c r="I46" s="41" t="n">
        <f aca="false">IF(H46&gt;0,C46/H46,0)</f>
        <v>965.765747889432</v>
      </c>
    </row>
    <row r="49" customFormat="false" ht="17.35" hidden="false" customHeight="false" outlineLevel="0" collapsed="false">
      <c r="A49" s="1" t="s">
        <v>647</v>
      </c>
    </row>
    <row r="50" customFormat="false" ht="15" hidden="false" customHeight="false" outlineLevel="0" collapsed="false">
      <c r="A50" s="2" t="s">
        <v>648</v>
      </c>
    </row>
    <row r="51" customFormat="false" ht="15" hidden="false" customHeight="false" outlineLevel="0" collapsed="false">
      <c r="E51" s="28" t="s">
        <v>649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645</v>
      </c>
      <c r="F52" s="41" t="n">
        <f aca="false">Budget!$C$12*F51</f>
        <v>120000</v>
      </c>
      <c r="G52" s="41" t="n">
        <f aca="false">Budget!$C$12*G51</f>
        <v>84000</v>
      </c>
    </row>
    <row r="53" customFormat="false" ht="15" hidden="false" customHeight="false" outlineLevel="0" collapsed="false">
      <c r="E53" s="2" t="s">
        <v>650</v>
      </c>
      <c r="F53" s="41" t="n">
        <f aca="false">F52*(1-Assumptions!$D$48)</f>
        <v>102000</v>
      </c>
      <c r="G53" s="41" t="n">
        <f aca="false">G52*(1-Assumptions!$D$48)</f>
        <v>71400</v>
      </c>
    </row>
    <row r="54" customFormat="false" ht="15" hidden="false" customHeight="false" outlineLevel="0" collapsed="false">
      <c r="E54" s="2" t="s">
        <v>651</v>
      </c>
      <c r="F54" s="41" t="n">
        <f aca="false">MAX(0,Budget!$C$9-F53)</f>
        <v>0</v>
      </c>
      <c r="G54" s="41" t="n">
        <f aca="false">MAX(0,Budget!$C$9-G53)</f>
        <v>30267.5738749299</v>
      </c>
    </row>
    <row r="55" customFormat="false" ht="39.55" hidden="false" customHeight="false" outlineLevel="0" collapsed="false">
      <c r="A55" s="12" t="s">
        <v>652</v>
      </c>
      <c r="B55" s="12" t="s">
        <v>312</v>
      </c>
      <c r="C55" s="12" t="s">
        <v>653</v>
      </c>
      <c r="D55" s="12" t="s">
        <v>654</v>
      </c>
      <c r="E55" s="12" t="s">
        <v>638</v>
      </c>
      <c r="F55" s="12" t="s">
        <v>655</v>
      </c>
      <c r="G55" s="12" t="s">
        <v>656</v>
      </c>
      <c r="H55" s="12"/>
      <c r="I55" s="12"/>
      <c r="J55" s="12" t="s">
        <v>657</v>
      </c>
      <c r="K55" s="12" t="s">
        <v>658</v>
      </c>
      <c r="L55" s="12"/>
      <c r="M55" s="12"/>
      <c r="N55" s="12" t="s">
        <v>636</v>
      </c>
      <c r="O55" s="12" t="s">
        <v>659</v>
      </c>
      <c r="P55" s="12" t="s">
        <v>660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5.8708125</v>
      </c>
      <c r="F56" s="32" t="n">
        <f aca="false">IF(N56&gt;0,E56*MAX(0,N56-MIN(J56,N56))/N56,IF(C56&gt;0,E56*(1-J56/C56),E56))</f>
        <v>5.8708125</v>
      </c>
      <c r="G56" s="32" t="n">
        <f aca="false">IF(N56&gt;0,E56*MAX(0,N56-MIN(K56,N56))/N56,IF(C56&gt;0,E56*(1-K56/C56),E56))</f>
        <v>5.8708125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18.6375</v>
      </c>
      <c r="P56" s="32" t="n">
        <f aca="false">IF(E56&gt;0,G56*Channels!V5/E56,0)</f>
        <v>18.6375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10.41170625</v>
      </c>
      <c r="F57" s="32" t="n">
        <f aca="false">IF(N57&gt;0,E57*MAX(0,N57-MIN(J57,N57))/N57,IF(C57&gt;0,E57*(1-J57/C57),E57))</f>
        <v>10.41170625</v>
      </c>
      <c r="G57" s="32" t="n">
        <f aca="false">IF(N57&gt;0,E57*MAX(0,N57-MIN(K57,N57))/N57,IF(C57&gt;0,E57*(1-K57/C57),E57))</f>
        <v>10.41170625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28.045</v>
      </c>
      <c r="P57" s="32" t="n">
        <f aca="false">IF(E57&gt;0,G57*Channels!V6/E57,0)</f>
        <v>28.045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2.66702625</v>
      </c>
      <c r="F58" s="32" t="n">
        <f aca="false">IF(N58&gt;0,E58*MAX(0,N58-MIN(J58,N58))/N58,IF(C58&gt;0,E58*(1-J58/C58),E58))</f>
        <v>2.66702625</v>
      </c>
      <c r="G58" s="32" t="n">
        <f aca="false">IF(N58&gt;0,E58*MAX(0,N58-MIN(K58,N58))/N58,IF(C58&gt;0,E58*(1-K58/C58),E58))</f>
        <v>2.66702625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9.4075</v>
      </c>
      <c r="P58" s="32" t="n">
        <f aca="false">IF(E58&gt;0,G58*Channels!V7/E58,0)</f>
        <v>9.4075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1.360289</v>
      </c>
      <c r="F59" s="32" t="n">
        <f aca="false">IF(N59&gt;0,E59*MAX(0,N59-MIN(J59,N59))/N59,IF(C59&gt;0,E59*(1-J59/C59),E59))</f>
        <v>1.360289</v>
      </c>
      <c r="G59" s="32" t="n">
        <f aca="false">IF(N59&gt;0,E59*MAX(0,N59-MIN(K59,N59))/N59,IF(C59&gt;0,E59*(1-K59/C59),E59))</f>
        <v>1.360289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5.7155</v>
      </c>
      <c r="P59" s="32" t="n">
        <f aca="false">IF(E59&gt;0,G59*Channels!V8/E59,0)</f>
        <v>5.7155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20147.6842437409</v>
      </c>
      <c r="D60" s="45" t="n">
        <f aca="false">IF(ISNUMBER(Channels!AB9),Channels!AB9,0)+ROW()/1000000</f>
        <v>2271.60499827161</v>
      </c>
      <c r="E60" s="32" t="n">
        <f aca="false">Channels!U9</f>
        <v>8.86936099860335</v>
      </c>
      <c r="F60" s="32" t="n">
        <f aca="false">IF(N60&gt;0,E60*MAX(0,N60-MIN(J60,N60))/N60,IF(C60&gt;0,E60*(1-J60/C60),E60))</f>
        <v>8.86936099860335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20147.6842437409</v>
      </c>
      <c r="N60" s="41" t="n">
        <f aca="false">Channels!X9</f>
        <v>20147.6842437409</v>
      </c>
      <c r="O60" s="32" t="n">
        <f aca="false">IF(E60&gt;0,F60*Channels!V9/E60,0)</f>
        <v>28.1567015828678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13541.4445804413</v>
      </c>
      <c r="D61" s="45" t="n">
        <f aca="false">IF(ISNUMBER(Channels!AB10),Channels!AB10,0)+ROW()/1000000</f>
        <v>1927.42243286682</v>
      </c>
      <c r="E61" s="32" t="n">
        <f aca="false">Channels!U10</f>
        <v>7.0256757304968</v>
      </c>
      <c r="F61" s="32" t="n">
        <f aca="false">IF(N61&gt;0,E61*MAX(0,N61-MIN(J61,N61))/N61,IF(C61&gt;0,E61*(1-J61/C61),E61))</f>
        <v>7.0256757304968</v>
      </c>
      <c r="G61" s="32" t="n">
        <f aca="false">IF(N61&gt;0,E61*MAX(0,N61-MIN(K61,N61))/N61,IF(C61&gt;0,E61*(1-K61/C61),E61))</f>
        <v>7.0256757304968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13541.4445804413</v>
      </c>
      <c r="O61" s="32" t="n">
        <f aca="false">IF(E61&gt;0,F61*Channels!V10/E61,0)</f>
        <v>18.9243790720453</v>
      </c>
      <c r="P61" s="32" t="n">
        <f aca="false">IF(E61&gt;0,G61*Channels!V10/E61,0)</f>
        <v>18.9243790720453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14249.0458369243</v>
      </c>
      <c r="D68" s="45" t="n">
        <f aca="false">IF(ISNUMBER(Channels!AB17),Channels!AB17,0)+ROW()/1000000</f>
        <v>1504.99712855262</v>
      </c>
      <c r="E68" s="32" t="n">
        <f aca="false">Channels!U17</f>
        <v>9.46782303461258</v>
      </c>
      <c r="F68" s="32" t="n">
        <f aca="false">IF(N68&gt;0,E68*MAX(0,N68-MIN(J68,N68))/N68,IF(C68&gt;0,E68*(1-J68/C68),E68))</f>
        <v>9.46782303461258</v>
      </c>
      <c r="G68" s="32" t="n">
        <f aca="false">IF(N68&gt;0,E68*MAX(0,N68-MIN(K68,N68))/N68,IF(C68&gt;0,E68*(1-K68/C68),E68))</f>
        <v>9.46782303461258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14249.0458369243</v>
      </c>
      <c r="O68" s="32" t="n">
        <f aca="false">IF(E68&gt;0,F68*Channels!V17/E68,0)</f>
        <v>33.3962011802913</v>
      </c>
      <c r="P68" s="32" t="n">
        <f aca="false">IF(E68&gt;0,G68*Channels!V17/E68,0)</f>
        <v>33.3962011802913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12886.8652203169</v>
      </c>
      <c r="D69" s="45" t="n">
        <f aca="false">IF(ISNUMBER(Channels!AB18),Channels!AB18,0)+ROW()/1000000</f>
        <v>1948.60559816819</v>
      </c>
      <c r="E69" s="32" t="n">
        <f aca="false">Channels!U18</f>
        <v>6.6133781452514</v>
      </c>
      <c r="F69" s="32" t="n">
        <f aca="false">IF(N69&gt;0,E69*MAX(0,N69-MIN(J69,N69))/N69,IF(C69&gt;0,E69*(1-J69/C69),E69))</f>
        <v>6.6133781452514</v>
      </c>
      <c r="G69" s="32" t="n">
        <f aca="false">IF(N69&gt;0,E69*MAX(0,N69-MIN(K69,N69))/N69,IF(C69&gt;0,E69*(1-K69/C69),E69))</f>
        <v>4.4991022851456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4119.88963118899</v>
      </c>
      <c r="N69" s="41" t="n">
        <f aca="false">Channels!X18</f>
        <v>12886.8652203169</v>
      </c>
      <c r="O69" s="32" t="n">
        <f aca="false">IF(E69&gt;0,F69*Channels!V18/E69,0)</f>
        <v>27.7873031313084</v>
      </c>
      <c r="P69" s="32" t="n">
        <f aca="false">IF(E69&gt;0,G69*Channels!V18/E69,0)</f>
        <v>18.9037911140571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3201.43087906461</v>
      </c>
      <c r="E72" s="32" t="n">
        <f aca="false">Channels!U21</f>
        <v>0.234270251396648</v>
      </c>
      <c r="F72" s="32" t="n">
        <f aca="false">IF(N72&gt;0,E72*MAX(0,N72-MIN(J72,N72))/N72,IF(C72&gt;0,E72*(1-J72/C72),E72))</f>
        <v>0.234270251396648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0.743715083798883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2716.36560626694</v>
      </c>
      <c r="E73" s="32" t="n">
        <f aca="false">Channels!U22</f>
        <v>0.276104224860335</v>
      </c>
      <c r="F73" s="32" t="n">
        <f aca="false">IF(N73&gt;0,E73*MAX(0,N73-MIN(J73,N73))/N73,IF(C73&gt;0,E73*(1-J73/C73),E73))</f>
        <v>0.276104224860335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0.743715083798883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3557.1454151829</v>
      </c>
      <c r="E74" s="32" t="n">
        <f aca="false">Channels!U23</f>
        <v>0.210843226256983</v>
      </c>
      <c r="F74" s="32" t="n">
        <f aca="false">IF(N74&gt;0,E74*MAX(0,N74-MIN(J74,N74))/N74,IF(C74&gt;0,E74*(1-J74/C74),E74))</f>
        <v>0.210843226256983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0.743715083798883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4605.63902378221</v>
      </c>
      <c r="E75" s="32" t="n">
        <f aca="false">Channels!U24</f>
        <v>0.162843854748603</v>
      </c>
      <c r="F75" s="32" t="n">
        <f aca="false">IF(N75&gt;0,E75*MAX(0,N75-MIN(J75,N75))/N75,IF(C75&gt;0,E75*(1-J75/C75),E75))</f>
        <v>0.162843854748603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0.684217877094972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IF(N85&gt;0,E85*MAX(0,N85-MIN(J85,N85))/N85,IF(C85&gt;0,E85*(1-J85/C85),E85))</f>
        <v>18</v>
      </c>
      <c r="G85" s="32" t="n">
        <f aca="false">IF(N85&gt;0,E85*MAX(0,N85-MIN(K85,N85))/N85,IF(C85&gt;0,E85*(1-K85/C85),E85))</f>
        <v>18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48.4848484848485</v>
      </c>
    </row>
    <row r="86" customFormat="false" ht="15" hidden="false" customHeight="false" outlineLevel="0" collapsed="false">
      <c r="E86" s="28" t="s">
        <v>661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20.6080875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44.3841357304968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14.4920100346126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7.4933802851456</v>
      </c>
    </row>
    <row r="91" customFormat="false" ht="15" hidden="false" customHeight="false" outlineLevel="0" collapsed="false">
      <c r="E91" s="28" t="s">
        <v>443</v>
      </c>
      <c r="F91" s="35" t="n">
        <f aca="false">SUM(F87:F90)</f>
        <v>100</v>
      </c>
      <c r="G91" s="35" t="n">
        <f aca="false">SUM(G87:G90)</f>
        <v>86.977613550255</v>
      </c>
    </row>
    <row r="92" customFormat="false" ht="15" hidden="false" customHeight="false" outlineLevel="0" collapsed="false">
      <c r="E92" s="2" t="s">
        <v>639</v>
      </c>
      <c r="F92" s="41" t="n">
        <f aca="false">IF(F91&gt;0,F52/F91,0)</f>
        <v>1200</v>
      </c>
      <c r="G92" s="41" t="n">
        <f aca="false">IF(G91&gt;0,G52/G91,0)</f>
        <v>965.765747889432</v>
      </c>
    </row>
    <row r="94" customFormat="false" ht="15" hidden="false" customHeight="false" outlineLevel="0" collapsed="false">
      <c r="E94" s="2" t="s">
        <v>662</v>
      </c>
      <c r="F94" s="32" t="n">
        <f aca="false">SUM(O56:O85)</f>
        <v>307.973076082958</v>
      </c>
      <c r="G94" s="32" t="n">
        <f aca="false">SUM(P56:P85)</f>
        <v>264.174719851242</v>
      </c>
    </row>
    <row r="95" customFormat="false" ht="15" hidden="false" customHeight="false" outlineLevel="0" collapsed="false">
      <c r="E95" s="2" t="s">
        <v>663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665</v>
      </c>
    </row>
    <row r="2" customFormat="false" ht="344" hidden="false" customHeight="false" outlineLevel="0" collapsed="false">
      <c r="A2" s="13" t="s">
        <v>666</v>
      </c>
    </row>
    <row r="3" customFormat="false" ht="45" hidden="false" customHeight="true" outlineLevel="0" collapsed="false">
      <c r="A3" s="12" t="s">
        <v>667</v>
      </c>
      <c r="B3" s="12" t="s">
        <v>668</v>
      </c>
      <c r="C3" s="12" t="s">
        <v>669</v>
      </c>
      <c r="D3" s="12" t="s">
        <v>670</v>
      </c>
      <c r="E3" s="12" t="s">
        <v>671</v>
      </c>
      <c r="F3" s="12" t="s">
        <v>672</v>
      </c>
      <c r="G3" s="12" t="s">
        <v>673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  <c r="M3" s="12" t="s">
        <v>679</v>
      </c>
      <c r="N3" s="12" t="s">
        <v>680</v>
      </c>
      <c r="O3" s="12" t="s">
        <v>681</v>
      </c>
      <c r="P3" s="12" t="s">
        <v>682</v>
      </c>
      <c r="Q3" s="12" t="s">
        <v>683</v>
      </c>
      <c r="R3" s="12" t="s">
        <v>684</v>
      </c>
      <c r="S3" s="12" t="s">
        <v>685</v>
      </c>
      <c r="T3" s="12" t="s">
        <v>686</v>
      </c>
      <c r="U3" s="12" t="s">
        <v>687</v>
      </c>
      <c r="V3" s="12" t="s">
        <v>688</v>
      </c>
      <c r="W3" s="12" t="s">
        <v>689</v>
      </c>
      <c r="X3" s="12" t="s">
        <v>690</v>
      </c>
      <c r="Y3" s="12" t="s">
        <v>691</v>
      </c>
      <c r="Z3" s="49" t="s">
        <v>692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0.26</v>
      </c>
      <c r="E4" s="30" t="n">
        <f aca="false">IF(SUMPRODUCT(($B$4:$B$14&lt;=Funnel!$B$20)*$D$4:$D$14)&gt;0,IF(B4&lt;=Funnel!$B$20,D4,0)/SUMPRODUCT(($B$4:$B$14&lt;=Funnel!$B$20)*$D$4:$D$14),0)</f>
        <v>0.268041237113402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19435.5174685318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30431.5174685318</v>
      </c>
      <c r="N4" s="41" t="n">
        <f aca="false">SUM($M$4:M4)</f>
        <v>30431.5174685318</v>
      </c>
      <c r="O4" s="29" t="n">
        <f aca="false">(Funnel!$M$5+Funnel!$M$6+Funnel!$M$7-$F$27-$F$34)*D4+(Funnel!$M$8-$F$28-$F$35)*E4+($F$27+$F$28)*X4+($F$34+$F$35)*Y4</f>
        <v>407.148943758426</v>
      </c>
      <c r="P4" s="29" t="n">
        <f aca="false">(Funnel!$O$5+Funnel!$O$6+Funnel!$O$7-$F$25-$F$32)*D4+(Funnel!$O$8-$F$26-$F$33)*E4+($F$25+$F$26)*X4+($F$32+$F$33)*Y4</f>
        <v>86.3784848169698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0.999420485485601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0.26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IF(SUMPRODUCT(($B$4:$B$14&lt;=Funnel!$B$20)*$D$4:$D$14)&gt;0,IF(B5&lt;=Funnel!$B$20,D5,0)/SUMPRODUCT(($B$4:$B$14&lt;=Funnel!$B$20)*$D$4:$D$14),0)</f>
        <v>0.149484536082474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10836.2144343735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16236.2144343735</v>
      </c>
      <c r="N5" s="47" t="n">
        <f aca="false">SUM($M$4:M5)</f>
        <v>46667.7319029052</v>
      </c>
      <c r="O5" s="29" t="n">
        <f aca="false">(Funnel!$M$5+Funnel!$M$6+Funnel!$M$7-$F$27-$F$34)*D5+(Funnel!$M$8-$F$28-$F$35)*E5+($F$27+$F$28)*X5+($F$34+$F$35)*Y5</f>
        <v>251.894922700201</v>
      </c>
      <c r="P5" s="29" t="n">
        <f aca="false">(Funnel!$O$5+Funnel!$O$6+Funnel!$O$7-$F$25-$F$32)*D5+(Funnel!$O$8-$F$26-$F$33)*E5+($F$25+$F$26)*X5+($F$32+$F$33)*Y5</f>
        <v>52.2173348421763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0.949406088039569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0.185</v>
      </c>
      <c r="E6" s="30" t="n">
        <f aca="false">IF(SUMPRODUCT(($B$4:$B$14&lt;=Funnel!$B$20)*$D$4:$D$14)&gt;0,IF(B6&lt;=Funnel!$B$20,D6,0)/SUMPRODUCT(($B$4:$B$14&lt;=Funnel!$B$20)*$D$4:$D$14),0)</f>
        <v>0.190721649484536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13809.0569679937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13809.0569679937</v>
      </c>
      <c r="N6" s="41" t="n">
        <f aca="false">SUM($M$4:M6)</f>
        <v>60476.788870899</v>
      </c>
      <c r="O6" s="29" t="n">
        <f aca="false">(Funnel!$M$5+Funnel!$M$6+Funnel!$M$7-$F$27-$F$34)*D6+(Funnel!$M$8-$F$28-$F$35)*E6+($F$27+$F$28)*X6+($F$34+$F$35)*Y6</f>
        <v>262.07462527929</v>
      </c>
      <c r="P6" s="29" t="n">
        <f aca="false">(Funnel!$O$5+Funnel!$O$6+Funnel!$O$7-$F$25-$F$32)*D6+(Funnel!$O$8-$F$26-$F$33)*E6+($F$25+$F$26)*X6+($F$32+$F$33)*Y6</f>
        <v>53.968688126149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0.981248875020891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0.185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0.19</v>
      </c>
      <c r="E7" s="30" t="n">
        <f aca="false">IF(SUMPRODUCT(($B$4:$B$14&lt;=Funnel!$B$20)*$D$4:$D$14)&gt;0,IF(B7&lt;=Funnel!$B$20,D7,0)/SUMPRODUCT(($B$4:$B$14&lt;=Funnel!$B$20)*$D$4:$D$14),0)</f>
        <v>0.195876288659794</v>
      </c>
      <c r="F7" s="30" t="n">
        <f aca="false">IF(A7-ROUNDUP(Funnel!$B$15/7,0)&gt;=1,INDEX($D$4:$D$14,A7-ROUNDUP(Funnel!$B$15/7,0)),0)</f>
        <v>0.26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14175.1235346963</v>
      </c>
      <c r="I7" s="41" t="n">
        <f aca="false">IF(A7=1,$F$21,0)</f>
        <v>0</v>
      </c>
      <c r="J7" s="41" t="n">
        <f aca="false">$F$22*F7+$F$23*G7</f>
        <v>2566.00305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16741.1265846963</v>
      </c>
      <c r="N7" s="41" t="n">
        <f aca="false">SUM($M$4:M7)</f>
        <v>77217.9154555953</v>
      </c>
      <c r="O7" s="29" t="n">
        <f aca="false">(Funnel!$M$5+Funnel!$M$6+Funnel!$M$7-$F$27-$F$34)*D7+(Funnel!$M$8-$F$28-$F$35)*E7+($F$27+$F$28)*X7+($F$34+$F$35)*Y7</f>
        <v>266.297247584136</v>
      </c>
      <c r="P7" s="29" t="n">
        <f aca="false">(Funnel!$O$5+Funnel!$O$6+Funnel!$O$7-$F$25-$F$32)*D7+(Funnel!$O$8-$F$26-$F$33)*E7+($F$25+$F$26)*X7+($F$32+$F$33)*Y7</f>
        <v>53.9970634809098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0.981764790561996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25.1959660894661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25.1959660894661</v>
      </c>
      <c r="W7" s="32" t="n">
        <f aca="false">SUM($V$4:V7)</f>
        <v>25.1959660894661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0.19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</v>
      </c>
      <c r="E8" s="30" t="n">
        <f aca="false">IF(SUMPRODUCT(($B$4:$B$14&lt;=Funnel!$B$20)*$D$4:$D$14)&gt;0,IF(B8&lt;=Funnel!$B$20,D8,0)/SUMPRODUCT(($B$4:$B$14&lt;=Funnel!$B$20)*$D$4:$D$14),0)</f>
        <v>0.195876288659794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0.268041237113402</v>
      </c>
      <c r="H8" s="41" t="n">
        <f aca="false">$F$19*D8+$F$20*E8+$F$31*Y8</f>
        <v>14175.1235346963</v>
      </c>
      <c r="I8" s="41" t="n">
        <f aca="false">IF(A8=1,$F$21,0)</f>
        <v>0</v>
      </c>
      <c r="J8" s="41" t="n">
        <f aca="false">$F$22*F8+$F$23*G8</f>
        <v>1728.15985322165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15903.2833879179</v>
      </c>
      <c r="N8" s="41" t="n">
        <f aca="false">SUM($M$4:M8)</f>
        <v>93121.1988435132</v>
      </c>
      <c r="O8" s="29" t="n">
        <f aca="false">(Funnel!$M$5+Funnel!$M$6+Funnel!$M$7-$F$27-$F$34)*D8+(Funnel!$M$8-$F$28-$F$35)*E8+($F$27+$F$28)*X8+($F$34+$F$35)*Y8</f>
        <v>266.297247584136</v>
      </c>
      <c r="P8" s="29" t="n">
        <f aca="false">(Funnel!$O$5+Funnel!$O$6+Funnel!$O$7-$F$25-$F$32)*D8+(Funnel!$O$8-$F$26-$F$33)*E8+($F$25+$F$26)*X8+($F$32+$F$33)*Y8</f>
        <v>53.9970634809098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0.981764790561996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14.9480606707648</v>
      </c>
      <c r="U8" s="32" t="n">
        <f aca="false">$F$38*(G8*(Budget!$G$24-$F$30-$F$37)+IF(A8-ROUNDUP(Funnel!$B$16/7,0)&gt;=1,INDEX($X$4:$X$14,A8-ROUNDUP(Funnel!$B$16/7,0))*$F$30+INDEX($Y$4:$Y$14,A8-ROUNDUP(Funnel!$B$16/7,0))*$F$37,0))</f>
        <v>2.95742092928641</v>
      </c>
      <c r="V8" s="32" t="n">
        <f aca="false">T8+U8</f>
        <v>17.9054816000512</v>
      </c>
      <c r="W8" s="32" t="n">
        <f aca="false">SUM($V$4:V8)</f>
        <v>43.1014476895173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0.03</v>
      </c>
      <c r="E9" s="30" t="n">
        <f aca="false">IF(SUMPRODUCT(($B$4:$B$14&lt;=Funnel!$B$20)*$D$4:$D$14)&gt;0,IF(B9&lt;=Funnel!$B$20,D9,0)/SUMPRODUCT(($B$4:$B$14&lt;=Funnel!$B$20)*$D$4:$D$14),0)</f>
        <v>0</v>
      </c>
      <c r="F9" s="30" t="n">
        <f aca="false">IF(A9-ROUNDUP(Funnel!$B$15/7,0)&gt;=1,INDEX($D$4:$D$14,A9-ROUNDUP(Funnel!$B$15/7,0)),0)</f>
        <v>0.185</v>
      </c>
      <c r="G9" s="30" t="n">
        <f aca="false">IF(A9-ROUNDUP(Funnel!$B$16/7,0)&gt;=1,INDEX($E$4:$E$14,A9-ROUNDUP(Funnel!$B$16/7,0)),0)</f>
        <v>0.149484536082474</v>
      </c>
      <c r="H9" s="41" t="n">
        <f aca="false">$F$19*D9+$F$20*E9+$F$31*Y9</f>
        <v>1862.81043463839</v>
      </c>
      <c r="I9" s="41" t="n">
        <f aca="false">IF(A9=1,$F$21,0)</f>
        <v>0</v>
      </c>
      <c r="J9" s="41" t="n">
        <f aca="false">$F$22*F9+$F$23*G9</f>
        <v>1991.51122847938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3854.32166311777</v>
      </c>
      <c r="N9" s="41" t="n">
        <f aca="false">SUM($M$4:M9)</f>
        <v>96975.520506631</v>
      </c>
      <c r="O9" s="29" t="n">
        <f aca="false">(Funnel!$M$5+Funnel!$M$6+Funnel!$M$7-$F$27-$F$34)*D9+(Funnel!$M$8-$F$28-$F$35)*E9+($F$27+$F$28)*X9+($F$34+$F$35)*Y9</f>
        <v>36.7760365287142</v>
      </c>
      <c r="P9" s="29" t="n">
        <f aca="false">(Funnel!$O$5+Funnel!$O$6+Funnel!$O$7-$F$25-$F$32)*D9+(Funnel!$O$8-$F$26-$F$33)*E9+($F$25+$F$26)*X9+($F$32+$F$33)*Y9</f>
        <v>7.41444133584382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0.943656170016487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15.8124335446341</v>
      </c>
      <c r="U9" s="32" t="n">
        <f aca="false">$F$38*(G9*(Budget!$G$24-$F$30-$F$37)+IF(A9-ROUNDUP(Funnel!$B$16/7,0)&gt;=1,INDEX($X$4:$X$14,A9-ROUNDUP(Funnel!$B$16/7,0))*$F$30+INDEX($Y$4:$Y$14,A9-ROUNDUP(Funnel!$B$16/7,0))*$F$37,0))</f>
        <v>1.9188429513919</v>
      </c>
      <c r="V9" s="32" t="n">
        <f aca="false">T9+U9</f>
        <v>17.731276496026</v>
      </c>
      <c r="W9" s="32" t="n">
        <f aca="false">SUM($V$4:V9)</f>
        <v>60.8327241855433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0.03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IF(SUMPRODUCT(($B$4:$B$14&lt;=Funnel!$B$20)*$D$4:$D$14)&gt;0,IF(B10&lt;=Funnel!$B$20,D10,0)/SUMPRODUCT(($B$4:$B$14&lt;=Funnel!$B$20)*$D$4:$D$14),0)</f>
        <v>0</v>
      </c>
      <c r="F10" s="30" t="n">
        <f aca="false">IF(A10-ROUNDUP(Funnel!$B$15/7,0)&gt;=1,INDEX($D$4:$D$14,A10-ROUNDUP(Funnel!$B$15/7,0)),0)</f>
        <v>0.19</v>
      </c>
      <c r="G10" s="30" t="n">
        <f aca="false">IF(A10-ROUNDUP(Funnel!$B$16/7,0)&gt;=1,INDEX($E$4:$E$14,A10-ROUNDUP(Funnel!$B$16/7,0)),0)</f>
        <v>0.190721649484536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2086.56816262887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2086.56816262887</v>
      </c>
      <c r="N10" s="41" t="n">
        <f aca="false">SUM($M$4:M10)</f>
        <v>99062.0886692598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15.7762744928675</v>
      </c>
      <c r="U10" s="32" t="n">
        <f aca="false">$F$38*(G10*(Budget!$G$24-$F$30-$F$37)+IF(A10-ROUNDUP(Funnel!$B$16/7,0)&gt;=1,INDEX($X$4:$X$14,A10-ROUNDUP(Funnel!$B$16/7,0))*$F$30+INDEX($Y$4:$Y$14,A10-ROUNDUP(Funnel!$B$16/7,0))*$F$37,0))</f>
        <v>1.71656150314073</v>
      </c>
      <c r="V10" s="32" t="n">
        <f aca="false">T10+U10</f>
        <v>17.4928359960082</v>
      </c>
      <c r="W10" s="32" t="n">
        <f aca="false">SUM($V$4:V10)</f>
        <v>78.3255601815515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IF(SUMPRODUCT(($B$4:$B$14&lt;=Funnel!$B$20)*$D$4:$D$14)&gt;0,IF(B11&lt;=Funnel!$B$20,D11,0)/SUMPRODUCT(($B$4:$B$14&lt;=Funnel!$B$20)*$D$4:$D$14),0)</f>
        <v>0</v>
      </c>
      <c r="F11" s="30" t="n">
        <f aca="false">IF(A11-ROUNDUP(Funnel!$B$15/7,0)&gt;=1,INDEX($D$4:$D$14,A11-ROUNDUP(Funnel!$B$15/7,0)),0)</f>
        <v>0.19</v>
      </c>
      <c r="G11" s="30" t="n">
        <f aca="false">IF(A11-ROUNDUP(Funnel!$B$16/7,0)&gt;=1,INDEX($E$4:$E$14,A11-ROUNDUP(Funnel!$B$16/7,0)),0)</f>
        <v>0.195876288659794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2092.28200283505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2092.28200283505</v>
      </c>
      <c r="N11" s="41" t="n">
        <f aca="false">SUM($M$4:M11)</f>
        <v>101154.370672095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15.7762744928675</v>
      </c>
      <c r="U11" s="32" t="n">
        <f aca="false">$F$38*(G11*(Budget!$G$24-$F$30-$F$37)+IF(A11-ROUNDUP(Funnel!$B$16/7,0)&gt;=1,INDEX($X$4:$X$14,A11-ROUNDUP(Funnel!$B$16/7,0))*$F$30+INDEX($Y$4:$Y$14,A11-ROUNDUP(Funnel!$B$16/7,0))*$F$37,0))</f>
        <v>1.70358730809048</v>
      </c>
      <c r="V11" s="32" t="n">
        <f aca="false">T11+U11</f>
        <v>17.4798618009579</v>
      </c>
      <c r="W11" s="32" t="n">
        <f aca="false">SUM($V$4:V11)</f>
        <v>95.8054219825094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IF(SUMPRODUCT(($B$4:$B$14&lt;=Funnel!$B$20)*$D$4:$D$14)&gt;0,IF(B12&lt;=Funnel!$B$20,D12,0)/SUMPRODUCT(($B$4:$B$14&lt;=Funnel!$B$20)*$D$4:$D$14),0)</f>
        <v>0</v>
      </c>
      <c r="F12" s="30" t="n">
        <f aca="false">IF(A12-ROUNDUP(Funnel!$B$15/7,0)&gt;=1,INDEX($D$4:$D$14,A12-ROUNDUP(Funnel!$B$15/7,0)),0)</f>
        <v>0.03</v>
      </c>
      <c r="G12" s="30" t="n">
        <f aca="false">IF(A12-ROUNDUP(Funnel!$B$16/7,0)&gt;=1,INDEX($E$4:$E$14,A12-ROUNDUP(Funnel!$B$16/7,0)),0)</f>
        <v>0.195876288659794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513.203202835052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513.203202835052</v>
      </c>
      <c r="N12" s="41" t="n">
        <f aca="false">SUM($M$4:M12)</f>
        <v>101667.57387493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2.49099070940012</v>
      </c>
      <c r="U12" s="32" t="n">
        <f aca="false">$F$38*(G12*(Budget!$G$24-$F$30-$F$37)+IF(A12-ROUNDUP(Funnel!$B$16/7,0)&gt;=1,INDEX($X$4:$X$14,A12-ROUNDUP(Funnel!$B$16/7,0))*$F$30+INDEX($Y$4:$Y$14,A12-ROUNDUP(Funnel!$B$16/7,0))*$F$37,0))</f>
        <v>1.70358730809048</v>
      </c>
      <c r="V12" s="32" t="n">
        <f aca="false">T12+U12</f>
        <v>4.1945780174906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IF(SUMPRODUCT(($B$4:$B$14&lt;=Funnel!$B$20)*$D$4:$D$14)&gt;0,IF(B13&lt;=Funnel!$B$20,D13,0)/SUMPRODUCT(($B$4:$B$14&lt;=Funnel!$B$20)*$D$4:$D$14),0)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101667.57387493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IF(SUMPRODUCT(($B$4:$B$14&lt;=Funnel!$B$20)*$D$4:$D$14)&gt;0,IF(B14&lt;=Funnel!$B$20,D14,0)/SUMPRODUCT(($B$4:$B$14&lt;=Funnel!$B$20)*$D$4:$D$14),0)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101667.57387493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</row>
    <row r="15" customFormat="false" ht="15" hidden="false" customHeight="false" outlineLevel="0" collapsed="false">
      <c r="A15" s="28" t="s">
        <v>443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74293.8463749299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101667.57387493</v>
      </c>
      <c r="O15" s="35" t="n">
        <f aca="false">SUM(O4:O14)</f>
        <v>1490.4890234349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693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694</v>
      </c>
    </row>
    <row r="19" customFormat="false" ht="15" hidden="false" customHeight="false" outlineLevel="0" collapsed="false">
      <c r="B19" s="2" t="s">
        <v>695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62093.681154613</v>
      </c>
    </row>
    <row r="20" customFormat="false" ht="15" hidden="false" customHeight="false" outlineLevel="0" collapsed="false">
      <c r="B20" s="2" t="s">
        <v>696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697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698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699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700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701</v>
      </c>
      <c r="F25" s="32" t="n">
        <f aca="false">SUMIFS(Channels!$AF$5:$AF$34,Channels!$C$5:$C$34,"&lt;&gt;Supervisors")</f>
        <v>8.96372483214199</v>
      </c>
    </row>
    <row r="26" customFormat="false" ht="15" hidden="false" customHeight="false" outlineLevel="0" collapsed="false">
      <c r="B26" s="2" t="s">
        <v>702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703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704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705</v>
      </c>
      <c r="F29" s="32" t="n">
        <f aca="false">SUMIFS(Channels!$AG$5:$AG$34,Channels!$C$5:$C$34,"&lt;&gt;Supervisors")</f>
        <v>2.86402935332918</v>
      </c>
    </row>
    <row r="30" customFormat="false" ht="15" hidden="false" customHeight="false" outlineLevel="0" collapsed="false">
      <c r="B30" s="2" t="s">
        <v>706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707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708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709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710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711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712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713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714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715</v>
      </c>
    </row>
    <row r="43" customFormat="false" ht="30" hidden="false" customHeight="true" outlineLevel="0" collapsed="false">
      <c r="A43" s="12"/>
      <c r="B43" s="12" t="s">
        <v>311</v>
      </c>
      <c r="C43" s="12" t="s">
        <v>716</v>
      </c>
      <c r="D43" s="12" t="s">
        <v>717</v>
      </c>
      <c r="E43" s="12" t="s">
        <v>718</v>
      </c>
      <c r="F43" s="12" t="s">
        <v>719</v>
      </c>
      <c r="G43" s="12" t="s">
        <v>720</v>
      </c>
      <c r="H43" s="12" t="s">
        <v>721</v>
      </c>
      <c r="I43" s="12" t="s">
        <v>722</v>
      </c>
      <c r="J43" s="12" t="s">
        <v>723</v>
      </c>
      <c r="K43" s="12" t="s">
        <v>724</v>
      </c>
      <c r="L43" s="12" t="s">
        <v>725</v>
      </c>
      <c r="M43" s="12" t="s">
        <v>726</v>
      </c>
      <c r="N43" s="12" t="s">
        <v>443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9569.17349428738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6467.42367950642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5954.98883247371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6115.93447659462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6115.93447659462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965.673864725467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35189.1288241822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7362.93228593269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4671.63531330861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4812.08643422134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4942.14282433543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4942.14282433543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404.971375107729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2566.00305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1728.15985322165</v>
      </c>
      <c r="H51" s="41" t="n">
        <f aca="false">SUMIFS(Channels!$X$5:$X$34,Channels!$B$5:$B$34,$B51,Channels!$C$5:$C$34,"&lt;&gt;Supervisors")*$F$9+SUMIFS(Channels!$X$5:$X$34,Channels!$B$5:$B$34,$B51,Channels!$C$5:$C$34,"Supervisors")*$G$9</f>
        <v>1991.51122847938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2086.56816262887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2092.28200283505</v>
      </c>
      <c r="K51" s="41" t="n">
        <f aca="false">SUMIFS(Channels!$X$5:$X$34,Channels!$B$5:$B$34,$B51,Channels!$C$5:$C$34,"&lt;&gt;Supervisors")*$F$12+SUMIFS(Channels!$X$5:$X$34,Channels!$B$5:$B$34,$B51,Channels!$C$5:$C$34,"Supervisors")*$G$12</f>
        <v>513.203202835052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3777.12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1833.72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1883.28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1883.28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297.36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2088.31168831169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1201.2987012987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1233.76623376623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1233.76623376623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194.805194805195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443</v>
      </c>
      <c r="C54" s="42" t="n">
        <f aca="false">SUM(C44:C53)</f>
        <v>30431.5174685318</v>
      </c>
      <c r="D54" s="42" t="n">
        <f aca="false">SUM(D44:D53)</f>
        <v>16236.2144343735</v>
      </c>
      <c r="E54" s="42" t="n">
        <f aca="false">SUM(E44:E53)</f>
        <v>13809.0569679937</v>
      </c>
      <c r="F54" s="42" t="n">
        <f aca="false">SUM(F44:F53)</f>
        <v>16741.1265846963</v>
      </c>
      <c r="G54" s="42" t="n">
        <f aca="false">SUM(G44:G53)</f>
        <v>15903.2833879179</v>
      </c>
      <c r="H54" s="42" t="n">
        <f aca="false">SUM(H44:H53)</f>
        <v>3854.32166311777</v>
      </c>
      <c r="I54" s="42" t="n">
        <f aca="false">SUM(I44:I53)</f>
        <v>2086.56816262887</v>
      </c>
      <c r="J54" s="42" t="n">
        <f aca="false">SUM(J44:J53)</f>
        <v>2092.28200283505</v>
      </c>
      <c r="K54" s="42" t="n">
        <f aca="false">SUM(K44:K53)</f>
        <v>513.203202835052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101667.57387493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727</v>
      </c>
    </row>
    <row r="2" customFormat="false" ht="15" hidden="false" customHeight="false" outlineLevel="0" collapsed="false">
      <c r="A2" s="2" t="s">
        <v>728</v>
      </c>
    </row>
    <row r="4" customFormat="false" ht="45" hidden="false" customHeight="true" outlineLevel="0" collapsed="false">
      <c r="A4" s="12" t="s">
        <v>22</v>
      </c>
      <c r="B4" s="12" t="s">
        <v>311</v>
      </c>
      <c r="C4" s="12" t="s">
        <v>312</v>
      </c>
      <c r="D4" s="12" t="s">
        <v>729</v>
      </c>
      <c r="E4" s="12" t="s">
        <v>730</v>
      </c>
      <c r="F4" s="12" t="s">
        <v>731</v>
      </c>
      <c r="G4" s="12" t="s">
        <v>732</v>
      </c>
      <c r="H4" s="12" t="s">
        <v>733</v>
      </c>
      <c r="I4" s="12" t="s">
        <v>734</v>
      </c>
      <c r="J4" s="12" t="s">
        <v>735</v>
      </c>
      <c r="K4" s="12" t="s">
        <v>736</v>
      </c>
      <c r="L4" s="12" t="s">
        <v>737</v>
      </c>
      <c r="M4" s="12" t="s">
        <v>738</v>
      </c>
      <c r="N4" s="12" t="s">
        <v>739</v>
      </c>
      <c r="O4" s="12" t="s">
        <v>740</v>
      </c>
      <c r="P4" s="12" t="s">
        <v>741</v>
      </c>
      <c r="Q4" s="12" t="s">
        <v>742</v>
      </c>
      <c r="R4" s="12" t="s">
        <v>743</v>
      </c>
      <c r="S4" s="12" t="s">
        <v>744</v>
      </c>
      <c r="T4" s="12" t="s">
        <v>745</v>
      </c>
      <c r="U4" s="12" t="s">
        <v>746</v>
      </c>
      <c r="V4" s="12" t="s">
        <v>747</v>
      </c>
      <c r="W4" s="12" t="s">
        <v>748</v>
      </c>
      <c r="X4" s="12" t="s">
        <v>749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data",IF(OR(W5&gt;=Assumptions!$D$87,AND(R5=0,P5&gt;=Assumptions!$D$88)),"SWITCH OFF",IF(W5&gt;=Assumptions!$D$86,"CUT 50%",IF(W5&lt;=Assumptions!$D$85,"ADD +"&amp;TEXT(Assumptions!$D$96,"0%")&amp;"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data",IF(OR(W6&gt;=Assumptions!$D$87,AND(R6=0,P6&gt;=Assumptions!$D$88)),"SWITCH OFF",IF(W6&gt;=Assumptions!$D$86,"CUT 50%",IF(W6&lt;=Assumptions!$D$85,"ADD +"&amp;TEXT(Assumptions!$D$96,"0%")&amp;"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data",IF(OR(W7&gt;=Assumptions!$D$87,AND(R7=0,P7&gt;=Assumptions!$D$88)),"SWITCH OFF",IF(W7&gt;=Assumptions!$D$86,"CUT 50%",IF(W7&lt;=Assumptions!$D$85,"ADD +"&amp;TEXT(Assumptions!$D$96,"0%")&amp;"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0.1633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data",IF(OR(W8&gt;=Assumptions!$D$87,AND(R8=0,P8&gt;=Assumptions!$D$88)),"SWITCH OFF",IF(W8&gt;=Assumptions!$D$86,"CUT 50%",IF(W8&lt;=Assumptions!$D$85,"ADD +"&amp;TEXT(Assumptions!$D$96,"0%")&amp;"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data",IF(OR(W9&gt;=Assumptions!$D$87,AND(R9=0,P9&gt;=Assumptions!$D$88)),"SWITCH OFF",IF(W9&gt;=Assumptions!$D$86,"CUT 50%",IF(W9&lt;=Assumptions!$D$85,"ADD +"&amp;TEXT(Assumptions!$D$96,"0%")&amp;"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data",IF(OR(W10&gt;=Assumptions!$D$87,AND(R10=0,P10&gt;=Assumptions!$D$88)),"SWITCH OFF",IF(W10&gt;=Assumptions!$D$86,"CUT 50%",IF(W10&lt;=Assumptions!$D$85,"ADD +"&amp;TEXT(Assumptions!$D$96,"0%")&amp;"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data",IF(OR(W11&gt;=Assumptions!$D$87,AND(R11=0,P11&gt;=Assumptions!$D$88)),"SWITCH OFF",IF(W11&gt;=Assumptions!$D$86,"CUT 50%",IF(W11&lt;=Assumptions!$D$85,"ADD +"&amp;TEXT(Assumptions!$D$96,"0%")&amp;"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data",IF(OR(W12&gt;=Assumptions!$D$87,AND(R12=0,P12&gt;=Assumptions!$D$88)),"SWITCH OFF",IF(W12&gt;=Assumptions!$D$86,"CUT 50%",IF(W12&lt;=Assumptions!$D$85,"ADD +"&amp;TEXT(Assumptions!$D$96,"0%")&amp;"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data",IF(OR(W13&gt;=Assumptions!$D$87,AND(R13=0,P13&gt;=Assumptions!$D$88)),"SWITCH OFF",IF(W13&gt;=Assumptions!$D$86,"CUT 50%",IF(W13&lt;=Assumptions!$D$85,"ADD +"&amp;TEXT(Assumptions!$D$96,"0%")&amp;"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data",IF(OR(W14&gt;=Assumptions!$D$87,AND(R14=0,P14&gt;=Assumptions!$D$88)),"SWITCH OFF",IF(W14&gt;=Assumptions!$D$86,"CUT 50%",IF(W14&lt;=Assumptions!$D$85,"ADD +"&amp;TEXT(Assumptions!$D$96,"0%")&amp;"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data",IF(OR(W15&gt;=Assumptions!$D$87,AND(R15=0,P15&gt;=Assumptions!$D$88)),"SWITCH OFF",IF(W15&gt;=Assumptions!$D$86,"CUT 50%",IF(W15&lt;=Assumptions!$D$85,"ADD +"&amp;TEXT(Assumptions!$D$96,"0%")&amp;"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data",IF(OR(W16&gt;=Assumptions!$D$87,AND(R16=0,P16&gt;=Assumptions!$D$88)),"SWITCH OFF",IF(W16&gt;=Assumptions!$D$86,"CUT 50%",IF(W16&lt;=Assumptions!$D$85,"ADD +"&amp;TEXT(Assumptions!$D$96,"0%")&amp;"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data",IF(OR(W17&gt;=Assumptions!$D$87,AND(R17=0,P17&gt;=Assumptions!$D$88)),"SWITCH OFF",IF(W17&gt;=Assumptions!$D$86,"CUT 50%",IF(W17&lt;=Assumptions!$D$85,"ADD +"&amp;TEXT(Assumptions!$D$96,"0%")&amp;"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data",IF(OR(W18&gt;=Assumptions!$D$87,AND(R18=0,P18&gt;=Assumptions!$D$88)),"SWITCH OFF",IF(W18&gt;=Assumptions!$D$86,"CUT 50%",IF(W18&lt;=Assumptions!$D$85,"ADD +"&amp;TEXT(Assumptions!$D$96,"0%")&amp;"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data",IF(OR(W19&gt;=Assumptions!$D$87,AND(R19=0,P19&gt;=Assumptions!$D$88)),"SWITCH OFF",IF(W19&gt;=Assumptions!$D$86,"CUT 50%",IF(W19&lt;=Assumptions!$D$85,"ADD +"&amp;TEXT(Assumptions!$D$96,"0%")&amp;"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data",IF(OR(W20&gt;=Assumptions!$D$87,AND(R20=0,P20&gt;=Assumptions!$D$88)),"SWITCH OFF",IF(W20&gt;=Assumptions!$D$86,"CUT 50%",IF(W20&lt;=Assumptions!$D$85,"ADD +"&amp;TEXT(Assumptions!$D$96,"0%")&amp;"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0.1775</v>
      </c>
      <c r="V21" s="41" t="n">
        <f aca="false">IF(U21&gt;0,IF(AND(OR(P21&gt;=Assumptions!$D$83,Q21&gt;=Assumptions!$D$84),Q21&gt;0),S21,D21)/U21,0)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data",IF(OR(W21&gt;=Assumptions!$D$87,AND(R21=0,P21&gt;=Assumptions!$D$88)),"SWITCH OFF",IF(W21&gt;=Assumptions!$D$86,"CUT 50%",IF(W21&lt;=Assumptions!$D$85,"ADD +"&amp;TEXT(Assumptions!$D$96,"0%")&amp;"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0.1775</v>
      </c>
      <c r="V22" s="41" t="n">
        <f aca="false">IF(U22&gt;0,IF(AND(OR(P22&gt;=Assumptions!$D$83,Q22&gt;=Assumptions!$D$84),Q22&gt;0),S22,D22)/U22,0)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data",IF(OR(W22&gt;=Assumptions!$D$87,AND(R22=0,P22&gt;=Assumptions!$D$88)),"SWITCH OFF",IF(W22&gt;=Assumptions!$D$86,"CUT 50%",IF(W22&lt;=Assumptions!$D$85,"ADD +"&amp;TEXT(Assumptions!$D$96,"0%")&amp;"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0.1775</v>
      </c>
      <c r="V23" s="41" t="n">
        <f aca="false">IF(U23&gt;0,IF(AND(OR(P23&gt;=Assumptions!$D$83,Q23&gt;=Assumptions!$D$84),Q23&gt;0),S23,D23)/U23,0)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data",IF(OR(W23&gt;=Assumptions!$D$87,AND(R23=0,P23&gt;=Assumptions!$D$88)),"SWITCH OFF",IF(W23&gt;=Assumptions!$D$86,"CUT 50%",IF(W23&lt;=Assumptions!$D$85,"ADD +"&amp;TEXT(Assumptions!$D$96,"0%")&amp;"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0.1633</v>
      </c>
      <c r="V24" s="41" t="n">
        <f aca="false">IF(U24&gt;0,IF(AND(OR(P24&gt;=Assumptions!$D$83,Q24&gt;=Assumptions!$D$84),Q24&gt;0),S24,D24)/U24,0)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data",IF(OR(W24&gt;=Assumptions!$D$87,AND(R24=0,P24&gt;=Assumptions!$D$88)),"SWITCH OFF",IF(W24&gt;=Assumptions!$D$86,"CUT 50%",IF(W24&lt;=Assumptions!$D$85,"ADD +"&amp;TEXT(Assumptions!$D$96,"0%")&amp;"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data",IF(OR(W25&gt;=Assumptions!$D$87,AND(R25=0,P25&gt;=Assumptions!$D$88)),"SWITCH OFF",IF(W25&gt;=Assumptions!$D$86,"CUT 50%",IF(W25&lt;=Assumptions!$D$85,"ADD +"&amp;TEXT(Assumptions!$D$96,"0%")&amp;"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data",IF(OR(W26&gt;=Assumptions!$D$87,AND(R26=0,P26&gt;=Assumptions!$D$88)),"SWITCH OFF",IF(W26&gt;=Assumptions!$D$86,"CUT 50%",IF(W26&lt;=Assumptions!$D$85,"ADD +"&amp;TEXT(Assumptions!$D$96,"0%")&amp;"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data",IF(OR(W27&gt;=Assumptions!$D$87,AND(R27=0,P27&gt;=Assumptions!$D$88)),"SWITCH OFF",IF(W27&gt;=Assumptions!$D$86,"CUT 50%",IF(W27&lt;=Assumptions!$D$85,"ADD +"&amp;TEXT(Assumptions!$D$96,"0%")&amp;"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data",IF(OR(W28&gt;=Assumptions!$D$87,AND(R28=0,P28&gt;=Assumptions!$D$88)),"SWITCH OFF",IF(W28&gt;=Assumptions!$D$86,"CUT 50%",IF(W28&lt;=Assumptions!$D$85,"ADD +"&amp;TEXT(Assumptions!$D$96,"0%")&amp;"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data",IF(OR(W29&gt;=Assumptions!$D$87,AND(R29=0,P29&gt;=Assumptions!$D$88)),"SWITCH OFF",IF(W29&gt;=Assumptions!$D$86,"CUT 50%",IF(W29&lt;=Assumptions!$D$85,"ADD +"&amp;TEXT(Assumptions!$D$96,"0%")&amp;"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data",IF(OR(W30&gt;=Assumptions!$D$87,AND(R30=0,P30&gt;=Assumptions!$D$88)),"SWITCH OFF",IF(W30&gt;=Assumptions!$D$86,"CUT 50%",IF(W30&lt;=Assumptions!$D$85,"ADD +"&amp;TEXT(Assumptions!$D$96,"0%")&amp;"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data",IF(OR(W31&gt;=Assumptions!$D$87,AND(R31=0,P31&gt;=Assumptions!$D$88)),"SWITCH OFF",IF(W31&gt;=Assumptions!$D$86,"CUT 50%",IF(W31&lt;=Assumptions!$D$85,"ADD +"&amp;TEXT(Assumptions!$D$96,"0%")&amp;"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data",IF(OR(W32&gt;=Assumptions!$D$87,AND(R32=0,P32&gt;=Assumptions!$D$88)),"SWITCH OFF",IF(W32&gt;=Assumptions!$D$86,"CUT 50%",IF(W32&lt;=Assumptions!$D$85,"ADD +"&amp;TEXT(Assumptions!$D$96,"0%")&amp;"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data",IF(OR(W33&gt;=Assumptions!$D$87,AND(R33=0,P33&gt;=Assumptions!$D$88)),"SWITCH OFF",IF(W33&gt;=Assumptions!$D$86,"CUT 50%",IF(W33&lt;=Assumptions!$D$85,"ADD +"&amp;TEXT(Assumptions!$D$96,"0%")&amp;"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data",IF(OR(W34&gt;=Assumptions!$D$87,AND(R34=0,P34&gt;=Assumptions!$D$88)),"SWITCH OFF",IF(W34&gt;=Assumptions!$D$86,"CUT 50%",IF(W34&lt;=Assumptions!$D$85,"ADD +"&amp;TEXT(Assumptions!$D$96,"0%")&amp;" (if slots free)","HOLD"))))))</f>
        <v>Wait – too little data</v>
      </c>
    </row>
    <row r="35" customFormat="false" ht="15" hidden="false" customHeight="false" outlineLevel="0" collapsed="false">
      <c r="B35" s="28" t="s">
        <v>443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750</v>
      </c>
    </row>
    <row r="39" customFormat="false" ht="45" hidden="false" customHeight="true" outlineLevel="0" collapsed="false">
      <c r="A39" s="12"/>
      <c r="B39" s="12" t="s">
        <v>312</v>
      </c>
      <c r="C39" s="12" t="s">
        <v>751</v>
      </c>
      <c r="D39" s="12" t="s">
        <v>752</v>
      </c>
      <c r="E39" s="12" t="s">
        <v>753</v>
      </c>
      <c r="F39" s="12" t="s">
        <v>754</v>
      </c>
      <c r="G39" s="12" t="s">
        <v>755</v>
      </c>
      <c r="H39" s="12" t="s">
        <v>756</v>
      </c>
      <c r="I39" s="12" t="s">
        <v>757</v>
      </c>
      <c r="J39" s="12" t="s">
        <v>758</v>
      </c>
      <c r="K39" s="12" t="s">
        <v>759</v>
      </c>
      <c r="L39" s="12" t="s">
        <v>760</v>
      </c>
      <c r="M39" s="12" t="s">
        <v>761</v>
      </c>
      <c r="N39" s="12" t="s">
        <v>762</v>
      </c>
      <c r="O39" s="12" t="s">
        <v>47</v>
      </c>
      <c r="P39" s="12" t="s">
        <v>763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443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764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2026-10-09T14:21:31Z</dcterms:created>
  <dc:creator/>
  <dc:description/>
  <dc:language>en-US</dc:language>
  <cp:lastModifiedBy/>
  <dcterms:modified xsi:type="dcterms:W3CDTF">2026-10-09T14:21:32Z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