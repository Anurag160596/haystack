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Funnel" sheetId="3" state="visible" r:id="rId5"/>
    <sheet name="Initiatives" sheetId="4" state="visible" r:id="rId6"/>
    <sheet name="Channels" sheetId="5" state="visible" r:id="rId7"/>
    <sheet name="Budget" sheetId="6" state="visible" r:id="rId8"/>
    <sheet name="Weekly" sheetId="7" state="visible" r:id="rId9"/>
    <sheet name="Tracker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<sst xmlns="http://schemas.openxmlformats.org/spreadsheetml/2006/main" count="1518" uniqueCount="804">
  <si>
    <t xml:space="preserve">Operation Uptime — model summary (hypothetical Tesla Giga Berlin maintenance hiring)</t>
  </si>
  <si>
    <t xml:space="preserve">Everything on this tab is a live link to the model. Inputs live only on the Assumptions tab (blue on yellow).</t>
  </si>
  <si>
    <t xml:space="preserve">Target: signed contracts by 31 Dec</t>
  </si>
  <si>
    <t xml:space="preserve">Recommended budget</t>
  </si>
  <si>
    <t xml:space="preserve">…of which planned spend</t>
  </si>
  <si>
    <t xml:space="preserve">…of which reserve (incl. rounding up)</t>
  </si>
  <si>
    <t xml:space="preserve">Hires the channel plan buys</t>
  </si>
  <si>
    <t xml:space="preserve">Media cost per hire</t>
  </si>
  <si>
    <t xml:space="preserve">Qualified applicants to assess</t>
  </si>
  <si>
    <t xml:space="preserve">Assessment slots available (capacity × weeks)</t>
  </si>
  <si>
    <t xml:space="preserve">Slot utilisation</t>
  </si>
  <si>
    <t xml:space="preserve">Last useful application date (E/M/A)</t>
  </si>
  <si>
    <t xml:space="preserve">Last useful application date (Supervisors)</t>
  </si>
  <si>
    <t xml:space="preserve">Hardest role (dearest last hire we must buy; reasons on Funnel row 35)</t>
  </si>
  <si>
    <t xml:space="preserve">Most sensitive assumption</t>
  </si>
  <si>
    <t xml:space="preserve">Hires with 30% less budget</t>
  </si>
  <si>
    <t xml:space="preserve">Input checks</t>
  </si>
  <si>
    <t xml:space="preserve">Plan / schedule check (Weekly S15)</t>
  </si>
  <si>
    <t xml:space="preserve">Tabs: Assumptions (every input, its label and source link) → Funnel (Part 1, with the talent-pool check) → Channels (Part 2.2–2.3) → Initiatives (Part 3) → Budget (Part 2.4–2.5, with the budget-cut scenarios) → Weekly (phasing and cash) → Tracker (Part 4, live re-plan).</t>
  </si>
  <si>
    <t xml:space="preserve">Assumptions log = the model's only input sheet</t>
  </si>
  <si>
    <t xml:space="preserve">Blue cells on yellow are inputs: change them here and every other tab recalculates. Labels: Given = from the brief; Researched = read from, or calculated by stated arithmetic from, the linked source; Own estimate = my judgement, with the reason (and the benchmark it starts from, where there is one). Black (not blue) values are calculated.</t>
  </si>
  <si>
    <t xml:space="preserve">1. Given in the brief</t>
  </si>
  <si>
    <t xml:space="preserve">ID</t>
  </si>
  <si>
    <t xml:space="preserve">Parameter</t>
  </si>
  <si>
    <t xml:space="preserve">Role / scope</t>
  </si>
  <si>
    <t xml:space="preserve">Value</t>
  </si>
  <si>
    <t xml:space="preserve">Unit</t>
  </si>
  <si>
    <t xml:space="preserve">Label</t>
  </si>
  <si>
    <t xml:space="preserve">Source / reasoning</t>
  </si>
  <si>
    <t xml:space="preserve">G1</t>
  </si>
  <si>
    <t xml:space="preserve">Campaign start</t>
  </si>
  <si>
    <t xml:space="preserve">All</t>
  </si>
  <si>
    <t xml:space="preserve">date</t>
  </si>
  <si>
    <t xml:space="preserve">Given</t>
  </si>
  <si>
    <t xml:space="preserve">From the brief.</t>
  </si>
  <si>
    <t xml:space="preserve">G2</t>
  </si>
  <si>
    <t xml:space="preserve">Campaign end / hire deadline (signed contract)</t>
  </si>
  <si>
    <t xml:space="preserve">G3</t>
  </si>
  <si>
    <t xml:space="preserve">Recruiter capacity: qualified applicants assessed per week</t>
  </si>
  <si>
    <t xml:space="preserve">All roles</t>
  </si>
  <si>
    <t xml:space="preserve">per week</t>
  </si>
  <si>
    <t xml:space="preserve">G4</t>
  </si>
  <si>
    <t xml:space="preserve">Max share of mechatronics/mechanical hires from Polish sources</t>
  </si>
  <si>
    <t xml:space="preserve">Mechatronics</t>
  </si>
  <si>
    <t xml:space="preserve">%</t>
  </si>
  <si>
    <t xml:space="preserve">From the brief. Polish hires need no work permit (EU free movement) and are insured and taxed in Germany. https://www.make-it-in-germany.com/en/working-in-germany/information-eu-citizens/print</t>
  </si>
  <si>
    <t xml:space="preserve">G5</t>
  </si>
  <si>
    <t xml:space="preserve">Openings</t>
  </si>
  <si>
    <t xml:space="preserve">Electricians</t>
  </si>
  <si>
    <t xml:space="preserve">hires</t>
  </si>
  <si>
    <t xml:space="preserve">G6</t>
  </si>
  <si>
    <t xml:space="preserve">G7</t>
  </si>
  <si>
    <t xml:space="preserve">Automation</t>
  </si>
  <si>
    <t xml:space="preserve">G8</t>
  </si>
  <si>
    <t xml:space="preserve">Supervisors</t>
  </si>
  <si>
    <t xml:space="preserve">G9</t>
  </si>
  <si>
    <t xml:space="preserve">Foreign electrical qualification recognition time (info only: makes foreign-trained electricians unhireable by 31 Dec)</t>
  </si>
  <si>
    <t xml:space="preserve">months (min)</t>
  </si>
  <si>
    <t xml:space="preserve">From the brief, so I plan no foreign-trained electricians. Worth raising: for employees the trade is not legally regulated, which could open this route. https://www.anerkennung-in-deutschland.de/en/interest/finder/profession/62/profile</t>
  </si>
  <si>
    <t xml:space="preserve">2. Hiring timeline (sets the last useful application date)</t>
  </si>
  <si>
    <t xml:space="preserve">T0</t>
  </si>
  <si>
    <t xml:space="preserve">Days from campaign start to first assessments</t>
  </si>
  <si>
    <t xml:space="preserve">days</t>
  </si>
  <si>
    <t xml:space="preserve">Own estimate</t>
  </si>
  <si>
    <t xml:space="preserve">Own estimate, not sourced: at launch there is no queue, so the first applicants and re-applicants are assessed within 2 days (SmartRecruiters' 6-day median review, T2, applies once a queue exists and sets the cut-off). If first assessments slip to 26 Oct, hires fall to ~92 (model run); 100 would then need 60 a week.</t>
  </si>
  <si>
    <t xml:space="preserve">T1</t>
  </si>
  <si>
    <t xml:space="preserve">Last realistic contract-signing date</t>
  </si>
  <si>
    <t xml:space="preserve">My choice: the last Friday before Christmas. Indeed job searches fall to 45% below the 1–15 Dec average over the holidays (Indeed Hiring Lab). https://hiringlab.indeed.com/de/blog/2025/02/17/der-stellenmarkt-startet-unausgewogen-in-das-neue-jahr/</t>
  </si>
  <si>
    <t xml:space="preserve">T2</t>
  </si>
  <si>
    <t xml:space="preserve">Days: application → recruiter assessment of a qualified applicant</t>
  </si>
  <si>
    <t xml:space="preserve">Researched</t>
  </si>
  <si>
    <t xml:space="preserve">Own estimate: SmartRecruiters 2025 global median is 6 days to review (Germany 8); I assume the client keeps the global pace, an ask. Slide 1 shows the German-pace downside (~92 hires). https://ta.smartrecruiters.com/rs/664-NIC-529/images/Germany%20Recruiting%20Benchmarks%202025%20Report%20DE.pdf</t>
  </si>
  <si>
    <t xml:space="preserve">T3</t>
  </si>
  <si>
    <t xml:space="preserve">Days: recruiter assessment → technical interview/test done</t>
  </si>
  <si>
    <t xml:space="preserve">Own estimate: global median 14 days application → interview minus the 6 above (Germany 20 − 8 = 12); same commitment as T2. https://ta.smartrecruiters.com/rs/664-NIC-529/images/Germany%20Recruiting%20Benchmarks%202025%20Report%20DE.pdf</t>
  </si>
  <si>
    <t xml:space="preserve">T4</t>
  </si>
  <si>
    <t xml:space="preserve">Days: interview → written offer</t>
  </si>
  <si>
    <t xml:space="preserve">My ask to the client: written offer within 3 working days. No public benchmark exists for this step.</t>
  </si>
  <si>
    <t xml:space="preserve">T5</t>
  </si>
  <si>
    <t xml:space="preserve">Days: offer → signed contract</t>
  </si>
  <si>
    <t xml:space="preserve">One-week offer validity; candidates take ~9 days on average to decide (NACE 2025). https://www.naceweb.org/talent-acquisition/trends-and-predictions/employers-make-more-offers-as-student-acceptance-rate-rises-response-time-shortens</t>
  </si>
  <si>
    <t xml:space="preserve">T6</t>
  </si>
  <si>
    <t xml:space="preserve">Extra days for supervisors (second round with plant management)</t>
  </si>
  <si>
    <t xml:space="preserve">Supervisors have one extra round with plant management (about a week).</t>
  </si>
  <si>
    <t xml:space="preserve">3. Funnel rates by role (Part 1)</t>
  </si>
  <si>
    <t xml:space="preserve">QE</t>
  </si>
  <si>
    <t xml:space="preserve">Application → qualified (baseline, all channels)</t>
  </si>
  <si>
    <t xml:space="preserve">IAB 2026 chart: production jobs get 12 applications per vacancy, 3 suitable (25%); 28% across all jobs; 23% for specialist roles. https://iab-forum.de/iab-stellenerhebung-2-2026-fast-drei-von-vier-bewerbungen-sind-aus-betrieblicher-sicht-ungeeignet/</t>
  </si>
  <si>
    <t xml:space="preserve">QM</t>
  </si>
  <si>
    <t xml:space="preserve">QA</t>
  </si>
  <si>
    <t xml:space="preserve">QS</t>
  </si>
  <si>
    <t xml:space="preserve">PE</t>
  </si>
  <si>
    <t xml:space="preserve">Qualified → passed assessment</t>
  </si>
  <si>
    <t xml:space="preserve">Gem 2025: ~35% of candidates brought onsite get offers (mostly US tech). Set higher (50%) because only pre-qualified people reach this step. https://lp.gem.com/rs/972-IVV-330/images/2025%20Recruiting%20Benchmarks%20-%20Gem.pdf</t>
  </si>
  <si>
    <t xml:space="preserve">PM</t>
  </si>
  <si>
    <t xml:space="preserve">Gem 2025: ~35% of onsite candidates get offers. Set at 55%: most common trade, the assessment is routine for it. https://lp.gem.com/rs/972-IVV-330/images/2025%20Recruiting%20Benchmarks%20-%20Gem.pdf</t>
  </si>
  <si>
    <t xml:space="preserve">PA</t>
  </si>
  <si>
    <t xml:space="preserve">Gem 2025: ~35% of onsite candidates get offers. Set at 45%: PLC skills are tested hard. https://lp.gem.com/rs/972-IVV-330/images/2025%20Recruiting%20Benchmarks%20-%20Gem.pdf</t>
  </si>
  <si>
    <t xml:space="preserve">PS</t>
  </si>
  <si>
    <t xml:space="preserve">Gem 2025: ~35% of onsite candidates get offers. Set at 40%: leadership is assessed on top of trade skills. https://lp.gem.com/rs/972-IVV-330/images/2025%20Recruiting%20Benchmarks%20-%20Gem.pdf</t>
  </si>
  <si>
    <t xml:space="preserve">OE</t>
  </si>
  <si>
    <t xml:space="preserve">Passed → offer made</t>
  </si>
  <si>
    <t xml:space="preserve">My estimate: ~10% drop out after passing (references, pay, shifts), 15% for supervisors. No public figure exists.</t>
  </si>
  <si>
    <t xml:space="preserve">OM</t>
  </si>
  <si>
    <t xml:space="preserve">OA</t>
  </si>
  <si>
    <t xml:space="preserve">OS</t>
  </si>
  <si>
    <t xml:space="preserve">AE</t>
  </si>
  <si>
    <t xml:space="preserve">Offer → signed contract</t>
  </si>
  <si>
    <t xml:space="preserve">Königsteiner 2022: 47% accepted vs 14% declined after an offer → ~77% acceptance. I use 70–75%: shift work and competing offers. https://www.lebensmittelzeitung.net/handel/karriere/rekrutierung-bewerber-sagen-haeufiger-ab-166449</t>
  </si>
  <si>
    <t xml:space="preserve">AM</t>
  </si>
  <si>
    <t xml:space="preserve">AA</t>
  </si>
  <si>
    <t xml:space="preserve">AS</t>
  </si>
  <si>
    <t xml:space="preserve">4. Budget policy and weekly phasing (Part 2)</t>
  </si>
  <si>
    <t xml:space="preserve">B1</t>
  </si>
  <si>
    <t xml:space="preserve">Reserve held back (share of total budget)</t>
  </si>
  <si>
    <t xml:space="preserve">15% buffer, in the 10–20% range used for risky projects; released only on results. https://mastt.com/blogs/construction-contingency</t>
  </si>
  <si>
    <t xml:space="preserve">B2</t>
  </si>
  <si>
    <t xml:space="preserve">Test tranche: first spend in every paid CPC/CPA channel × role cell, in weeks 1–2</t>
  </si>
  <si>
    <t xml:space="preserve">Paid CPC/CPA cells</t>
  </si>
  <si>
    <t xml:space="preserve">€</t>
  </si>
  <si>
    <t xml:space="preserve">€750 per paid channel and role in weeks 1–2: enough to see whether it works before spending more.</t>
  </si>
  <si>
    <t xml:space="preserve">B4</t>
  </si>
  <si>
    <t xml:space="preserve">Share of test tranches spent in week 1 (rest in week 2)</t>
  </si>
  <si>
    <t xml:space="preserve">Week 1 has fewer assessment days, so 40% of the test money goes there.</t>
  </si>
  <si>
    <t xml:space="preserve">B5</t>
  </si>
  <si>
    <t xml:space="preserve">Rounding step for the recommended budget</t>
  </si>
  <si>
    <t xml:space="preserve">Rounded up to a clean figure; the difference goes to the reserve.</t>
  </si>
  <si>
    <t xml:space="preserve">B3</t>
  </si>
  <si>
    <t xml:space="preserve">Budget cut scenario the client asked about</t>
  </si>
  <si>
    <t xml:space="preserve">W1</t>
  </si>
  <si>
    <t xml:space="preserve">Share of media spend in week 1</t>
  </si>
  <si>
    <t xml:space="preserve">All paid</t>
  </si>
  <si>
    <t xml:space="preserve">Paced so each week's qualified applicants fit the slots they can use (assessed 6 days after applying). Week 1 is biggest: it also fills the first assessment days (22–25 Oct). Week 6 is small: only 24 Nov is still useful.</t>
  </si>
  <si>
    <t xml:space="preserve">W2</t>
  </si>
  <si>
    <t xml:space="preserve">Share of media spend in week 2</t>
  </si>
  <si>
    <t xml:space="preserve">W3</t>
  </si>
  <si>
    <t xml:space="preserve">Share of media spend in week 3</t>
  </si>
  <si>
    <t xml:space="preserve">W4</t>
  </si>
  <si>
    <t xml:space="preserve">Share of media spend in week 4</t>
  </si>
  <si>
    <t xml:space="preserve">W5</t>
  </si>
  <si>
    <t xml:space="preserve">Share of media spend in week 5</t>
  </si>
  <si>
    <t xml:space="preserve">W6</t>
  </si>
  <si>
    <t xml:space="preserve">Share of media spend in week 6</t>
  </si>
  <si>
    <t xml:space="preserve">W7</t>
  </si>
  <si>
    <t xml:space="preserve">Share of media spend in week 7</t>
  </si>
  <si>
    <t xml:space="preserve">No spend after the last useful application date.</t>
  </si>
  <si>
    <t xml:space="preserve">W8</t>
  </si>
  <si>
    <t xml:space="preserve">Share of media spend in week 8</t>
  </si>
  <si>
    <t xml:space="preserve">W9</t>
  </si>
  <si>
    <t xml:space="preserve">Share of media spend in week 9</t>
  </si>
  <si>
    <t xml:space="preserve">W10</t>
  </si>
  <si>
    <t xml:space="preserve">Share of media spend in week 10</t>
  </si>
  <si>
    <t xml:space="preserve">W11</t>
  </si>
  <si>
    <t xml:space="preserve">Share of media spend in week 11</t>
  </si>
  <si>
    <t xml:space="preserve">S1</t>
  </si>
  <si>
    <t xml:space="preserve">Stress size for sensitivity test</t>
  </si>
  <si>
    <t xml:space="preserve">5. Talent pool sanity check (Part 2.2)</t>
  </si>
  <si>
    <t xml:space="preserve">PSE</t>
  </si>
  <si>
    <t xml:space="preserve">Qualified people employed within 75 km (Berlin + ~60% of Brandenburg)</t>
  </si>
  <si>
    <t xml:space="preserve">people</t>
  </si>
  <si>
    <t xml:space="preserve">BA employment, KldB 2625 + 2622: Berlin 2,708 + 60% of Brandenburg 3,417 (own scaling: ~60% of Brandenburg lies within 75 km) ≈ 4,800.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</t>
  </si>
  <si>
    <t xml:space="preserve">PSM</t>
  </si>
  <si>
    <t xml:space="preserve">BA employment, KldB 2611 + 2510/2511/2513 (skilled level): Berlin 17,490 + 60% of Brandenburg 14,878 (own scaling: ~60% of Brandenburg lies within 75 km) ≈ 26,400.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</t>
  </si>
  <si>
    <t xml:space="preserve">PSA</t>
  </si>
  <si>
    <t xml:space="preserve">BA employment, KldB 2612: Berlin 1,254 + 60% of Brandenburg 1,206 (own scaling: ~60% of Brandenburg lies within 75 km) ≈ 2,000.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</t>
  </si>
  <si>
    <t xml:space="preserve">PSS</t>
  </si>
  <si>
    <t xml:space="preserve">BA employment, supervisor codes 2519 + 2619 + 2629 + 2639: Berlin 1,494 + 60% of Brandenburg 1,209 (own scaling: ~60% of Brandenburg lies within 75 km) ≈ 2,200.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</t>
  </si>
  <si>
    <t xml:space="preserve">PIE</t>
  </si>
  <si>
    <t xml:space="preserve">Share in-market or persuadable during the 6-week window</t>
  </si>
  <si>
    <t xml:space="preserve">Gallup 2024: active job search is 3% / 10% / 23% for high / low / no engagement; weighted by the 9% / 78% / 13% shares ≈ 11%. https://gallup.com/file/de/657716/Engagement-Index-Deutschland-Report-2024.pdf</t>
  </si>
  <si>
    <t xml:space="preserve">PIM</t>
  </si>
  <si>
    <t xml:space="preserve">PIA</t>
  </si>
  <si>
    <t xml:space="preserve">PIS</t>
  </si>
  <si>
    <t xml:space="preserve">PRE</t>
  </si>
  <si>
    <t xml:space="preserve">Qualified people elsewhere in Germany willing to relocate in the window</t>
  </si>
  <si>
    <t xml:space="preserve">Own sizing: few trades workers move across Germany for a job; national headcount × yearly move rate × share moving to Berlin-Brandenburg.</t>
  </si>
  <si>
    <t xml:space="preserve">PRM</t>
  </si>
  <si>
    <t xml:space="preserve">PRA</t>
  </si>
  <si>
    <t xml:space="preserve">PRS</t>
  </si>
  <si>
    <t xml:space="preserve">6. Week-by-week money rules (Part 4) — used by the Tracker tab</t>
  </si>
  <si>
    <t xml:space="preserve">R1</t>
  </si>
  <si>
    <t xml:space="preserve">Minimum spend before judging a cell</t>
  </si>
  <si>
    <t xml:space="preserve">Per cell</t>
  </si>
  <si>
    <t xml:space="preserve">Don't judge a channel on less than €500 or 30 applications; too little data.</t>
  </si>
  <si>
    <t xml:space="preserve">R2</t>
  </si>
  <si>
    <t xml:space="preserve">…or minimum applications before judging a cell</t>
  </si>
  <si>
    <t xml:space="preserve">apps</t>
  </si>
  <si>
    <t xml:space="preserve">R3</t>
  </si>
  <si>
    <t xml:space="preserve">Scale up when re-forecast cost per qualified ≤ this × plan</t>
  </si>
  <si>
    <t xml:space="preserve">× plan</t>
  </si>
  <si>
    <t xml:space="preserve">20% cheaper than plan and slots free → scale up.</t>
  </si>
  <si>
    <t xml:space="preserve">R4</t>
  </si>
  <si>
    <t xml:space="preserve">Cut budget 50% when re-forecast cost per qualified ≥ this × plan</t>
  </si>
  <si>
    <t xml:space="preserve">A common ad rule is 'reduce if cost is 1.2–2× target' (roaspig); I halve at 1.5×. https://roaspig.com/blog/automated-rules-manage-meta-budgets/</t>
  </si>
  <si>
    <t xml:space="preserve">R5</t>
  </si>
  <si>
    <t xml:space="preserve">Switch off when cost per qualified ≥ this × plan</t>
  </si>
  <si>
    <t xml:space="preserve">Twice the plan cost → switch off (common ad practice). https://roaspig.com/blog/automated-rules-manage-meta-budgets/</t>
  </si>
  <si>
    <t xml:space="preserve">R6</t>
  </si>
  <si>
    <t xml:space="preserve">…or switch off when spend reaches this and R2 applications brought zero qualified</t>
  </si>
  <si>
    <t xml:space="preserve">Test spent (€750) and 30+ applications with none qualified → off. By chance that happens &lt; 0.1% of the time for job boards (~22–25% qualify: 0.775^30) and ~4% for Meta (~10% qualify: 0.9^30).</t>
  </si>
  <si>
    <t xml:space="preserve">TP1</t>
  </si>
  <si>
    <t xml:space="preserve">Initiative test: PASS needs about this share of planned qualified in the window (rounded down)</t>
  </si>
  <si>
    <t xml:space="preserve">Initiatives</t>
  </si>
  <si>
    <t xml:space="preserve">Two-week test passes at about 60% of the planned qualified applicants (rounded down to a whole person, so 54–58% at the current plan).</t>
  </si>
  <si>
    <t xml:space="preserve">TP2</t>
  </si>
  <si>
    <t xml:space="preserve">Initiative test: PASS needs cost per qualified ≤ this × plan</t>
  </si>
  <si>
    <t xml:space="preserve">Same cost limit as the channel cut rule (1.5× plan).</t>
  </si>
  <si>
    <t xml:space="preserve">TK1</t>
  </si>
  <si>
    <t xml:space="preserve">Initiative test: KILL if qualified below this share of plan</t>
  </si>
  <si>
    <t xml:space="preserve">Kill the initiative if fewer than about 30% of the planned qualified arrive (rounded up to a whole person).</t>
  </si>
  <si>
    <t xml:space="preserve">TK2</t>
  </si>
  <si>
    <t xml:space="preserve">Initiative test: KILL if cost per qualified above this × plan</t>
  </si>
  <si>
    <t xml:space="preserve">Same cost limit as the channel switch-off rule (2× plan).</t>
  </si>
  <si>
    <t xml:space="preserve">I1W1</t>
  </si>
  <si>
    <t xml:space="preserve">I1a re-applications arriving in week 1 (waves on days 2 and 7)</t>
  </si>
  <si>
    <t xml:space="preserve">Rediscovery</t>
  </si>
  <si>
    <t xml:space="preserve">Most replies come within a day of each message (Pin 2026), so 60% arrive in week 1. https://www.pin.com/blog/recruiting-outreach-benchmark-report/</t>
  </si>
  <si>
    <t xml:space="preserve">I1W2</t>
  </si>
  <si>
    <t xml:space="preserve">I1a re-applications arriving in week 2</t>
  </si>
  <si>
    <t xml:space="preserve">I1W3</t>
  </si>
  <si>
    <t xml:space="preserve">I1a re-applications arriving in week 3</t>
  </si>
  <si>
    <t xml:space="preserve">R7</t>
  </si>
  <si>
    <t xml:space="preserve">Scale-up step per week</t>
  </si>
  <si>
    <t xml:space="preserve">Between the common +20% and +30% scale-up rules (roaspig). https://roaspig.com/blog/automated-rules-manage-meta-budgets/</t>
  </si>
  <si>
    <t xml:space="preserve">R9</t>
  </si>
  <si>
    <t xml:space="preserve">Minimum interviews done before using the actual pass rate</t>
  </si>
  <si>
    <t xml:space="preserve">Per role</t>
  </si>
  <si>
    <t xml:space="preserve">interviews</t>
  </si>
  <si>
    <t xml:space="preserve">Switch to the real pass rate after 10 interviews.</t>
  </si>
  <si>
    <t xml:space="preserve">R10</t>
  </si>
  <si>
    <t xml:space="preserve">Minimum offers before using the actual acceptance rate</t>
  </si>
  <si>
    <t xml:space="preserve">offers</t>
  </si>
  <si>
    <t xml:space="preserve">Switch to the real acceptance rate after 5 offers.</t>
  </si>
  <si>
    <t xml:space="preserve">F1</t>
  </si>
  <si>
    <t xml:space="preserve">Pool flag: 'very hard' when the plan needs more than this share of the reachable pool</t>
  </si>
  <si>
    <t xml:space="preserve">Funnel pool check</t>
  </si>
  <si>
    <t xml:space="preserve">Display flag only: the plan needs over a quarter of everyone reachable.</t>
  </si>
  <si>
    <t xml:space="preserve">F2</t>
  </si>
  <si>
    <t xml:space="preserve">Pool flag: 'tight' above this share</t>
  </si>
  <si>
    <t xml:space="preserve">Display flag only: the plan needs over 1 in 8 of everyone reachable.</t>
  </si>
  <si>
    <t xml:space="preserve">F3</t>
  </si>
  <si>
    <t xml:space="preserve">Capacity flag: 'tight' when slot use exceeds</t>
  </si>
  <si>
    <t xml:space="preserve">Funnel / Weekly</t>
  </si>
  <si>
    <t xml:space="preserve">Risk rises once capacity is more than 85% used (Bagust et al., BMJ 1999). https://pubmed.ncbi.nlm.nih.gov/10406748/</t>
  </si>
  <si>
    <t xml:space="preserve">F4</t>
  </si>
  <si>
    <t xml:space="preserve">Weekly flag: 'full' when a week's slot use exceeds</t>
  </si>
  <si>
    <t xml:space="preserve">Weekly</t>
  </si>
  <si>
    <t xml:space="preserve">Above 90% use, shortages become regular (same study), so the week counts as full. https://pubmed.ncbi.nlm.nih.gov/10406748/</t>
  </si>
  <si>
    <t xml:space="preserve">R13</t>
  </si>
  <si>
    <t xml:space="preserve">Pacing floor: release reserve to the cheapest cells with capacity when next week's forecast qualified falls below</t>
  </si>
  <si>
    <t xml:space="preserve">qualified/wk</t>
  </si>
  <si>
    <t xml:space="preserve">Next week below 90% of the 55 slots → release reserve to the cheapest working channel.</t>
  </si>
  <si>
    <t xml:space="preserve">6a. Facts behind channel quality and volumes (cells in black below are calculated from these)</t>
  </si>
  <si>
    <t xml:space="preserve">CXB</t>
  </si>
  <si>
    <t xml:space="preserve">Channel quality index: online job boards (programmatic, StepStone, LinkedIn)</t>
  </si>
  <si>
    <t xml:space="preserve">Channels</t>
  </si>
  <si>
    <t xml:space="preserve">×</t>
  </si>
  <si>
    <t xml:space="preserve">Derived from IAB 2025: decisive ÷ used for job boards (21% ÷ 57% = 0.37) ÷ 0.41 = 0.90. Average = mean of decisive ÷ used over the three channels IAB reports (homepage 20/70, job boards 21/57, personal contacts 27/48) = 0.41. https://iab-forum.de/online-medien-sind-bei-der-personalsuche-auf-dem-vormarsch/</t>
  </si>
  <si>
    <t xml:space="preserve">CXH</t>
  </si>
  <si>
    <t xml:space="preserve">Channel quality index: own careers page (organic, Google Search ads)</t>
  </si>
  <si>
    <t xml:space="preserve">Derived from IAB 2025: decisive ÷ used for the employer homepage (20% ÷ 70% = 0.29) ÷ 0.41 = 0.70. Average = mean of decisive ÷ used over the three channels IAB reports (homepage 20/70, job boards 21/57, personal contacts 27/48) = 0.41. https://iab-forum.de/online-medien-sind-bei-der-personalsuche-auf-dem-vormarsch/</t>
  </si>
  <si>
    <t xml:space="preserve">CXS</t>
  </si>
  <si>
    <t xml:space="preserve">Channel quality index: social media (Meta)</t>
  </si>
  <si>
    <t xml:space="preserve">Derived from IAB data (2022): social media was used for 42% of filled jobs but decisive for 1 in 14; (7.1% ÷ 42%) ÷ 0.41 ≈ 0.41. https://ohn.haendlerbund.de/themen/unternehmen-maerkte/139538-social-media-whatsapp-mitarbeitersuche-immer-wichtiger</t>
  </si>
  <si>
    <t xml:space="preserve">RXP</t>
  </si>
  <si>
    <t xml:space="preserve">Reach: share of skilled-worker job seekers using Indeed (programmatic cap)</t>
  </si>
  <si>
    <t xml:space="preserve">36% of skilled-worker job seekers use Indeed (Trendence 2023). https://www.personalwirtschaft.de/?p=157882</t>
  </si>
  <si>
    <t xml:space="preserve">RXL</t>
  </si>
  <si>
    <t xml:space="preserve">Reach: share of skilled-worker job seekers using LinkedIn</t>
  </si>
  <si>
    <t xml:space="preserve">15% of skilled-worker job seekers use LinkedIn (Trendence 2023). https://www.personalwirtschaft.de/?p=157882</t>
  </si>
  <si>
    <t xml:space="preserve">RXG</t>
  </si>
  <si>
    <t xml:space="preserve">Reach: share of job seekers starting their search on Google</t>
  </si>
  <si>
    <t xml:space="preserve">10.5% of job seekers start their search on Google (softgarden). https://www.personalwirtschaft.de/news/recruiting/jeder-zehnte-nutzt-google-zur-jobsuche-97400/</t>
  </si>
  <si>
    <t xml:space="preserve">APV</t>
  </si>
  <si>
    <t xml:space="preserve">Applications per vacancy, firms with 250+ staff</t>
  </si>
  <si>
    <t xml:space="preserve">Organic</t>
  </si>
  <si>
    <t xml:space="preserve">Firms with 250+ staff get ~27 applications per vacancy (IAB 2026). https://iab-forum.de/iab-stellenerhebung-2-2026-fast-drei-von-vier-bewerbungen-sind-aus-betrieblicher-sicht-ungeeignet/</t>
  </si>
  <si>
    <t xml:space="preserve">CPS</t>
  </si>
  <si>
    <t xml:space="preserve">Share of applications that come via the careers page</t>
  </si>
  <si>
    <t xml:space="preserve">13% of applications come through the careers page (CareerPlug 2025). https://www.careerplug.com/wp-content/uploads/2025/04/Recruiting-Metrics-Report.pdf</t>
  </si>
  <si>
    <t xml:space="preserve">RDE</t>
  </si>
  <si>
    <t xml:space="preserve">Qualified applications per Elektroniker social campaign (median)</t>
  </si>
  <si>
    <t xml:space="preserve">Meta electricians</t>
  </si>
  <si>
    <t xml:space="preserve">qualified</t>
  </si>
  <si>
    <t xml:space="preserve">Typical social campaign for electricians brings ~20 qualified applications (Redline, 181 campaigns). https://redline-grow.de/bewerbungen-pro-stelle</t>
  </si>
  <si>
    <t xml:space="preserve">RDM</t>
  </si>
  <si>
    <t xml:space="preserve">Qualified applications per Kfz-Mechatroniker social campaign (median)</t>
  </si>
  <si>
    <t xml:space="preserve">Meta mechatronics</t>
  </si>
  <si>
    <t xml:space="preserve">Typical social campaign for mechatronics brings ~23 qualified applications (Redline). https://redline-grow.de/bewerbungen-pro-stelle</t>
  </si>
  <si>
    <t xml:space="preserve">RD2</t>
  </si>
  <si>
    <t xml:space="preserve">Qualified applications per Elektroniker social campaign (mean, sizes I2)</t>
  </si>
  <si>
    <t xml:space="preserve">I2</t>
  </si>
  <si>
    <t xml:space="preserve">Redline 2024–26: mean 29.5 qualified applications per Elektroniker campaign (11 campaigns). https://redline-grow.de/bewerbungen-pro-stelle</t>
  </si>
  <si>
    <t xml:space="preserve">SSW</t>
  </si>
  <si>
    <t xml:space="preserve">Days one StepStone ad runs</t>
  </si>
  <si>
    <t xml:space="preserve">StepStone</t>
  </si>
  <si>
    <t xml:space="preserve">A StepStone ad runs 30 days. https://www.stepstone.de/e-recruiting/stellenanzeige-aufgeben/</t>
  </si>
  <si>
    <t xml:space="preserve">STAFF</t>
  </si>
  <si>
    <t xml:space="preserve">Plant headcount</t>
  </si>
  <si>
    <t xml:space="preserve">I1</t>
  </si>
  <si>
    <t xml:space="preserve">Plant headcount (Electrek, March 2026). https://electrek.co/2026/03/04/tesla-giga-berlin-ig-metall-union-vote-collapse/</t>
  </si>
  <si>
    <t xml:space="preserve">MSH</t>
  </si>
  <si>
    <t xml:space="preserve">Maintenance trades as share of production occupations</t>
  </si>
  <si>
    <t xml:space="preserve">BA employment, Germany: maintenance codes 2513 + 2625 + 2611 + 2612 + supervisors 2519 + 2619 + 2629 (536,520) ÷ production occupations 21–29 (6,850,263) = 7.8%. Also applied to Polish industry for the I3 supply check (my estimate; an upper bound). https://statistik.arbeitsagentur.de/Statistikdaten/Detail/202512/iiia6/beschaeftigung-sozbe-bo-heft/bo-heft-d-0-202512-xlsx.xlsx?__blob=publicationFile</t>
  </si>
  <si>
    <t xml:space="preserve">TURN</t>
  </si>
  <si>
    <t xml:space="preserve">Annual staff turnover, Brandenburg firms</t>
  </si>
  <si>
    <t xml:space="preserve">IAB-Betriebspanel Brandenburg: ~6% of jobs ended in the first half of 2024 → ~12% a year. https://mweke.brandenburg.de/media/bb1.a.3814.de/Betriebspanel%20Brandenburg%202024%20-%20final.pdf</t>
  </si>
  <si>
    <t xml:space="preserve">REFSH</t>
  </si>
  <si>
    <t xml:space="preserve">Share of hires that come from referrals</t>
  </si>
  <si>
    <t xml:space="preserve">Referrals bring ~11% of hires (CareerPlug 2025). https://www.careerplug.com/wp-content/uploads/2025/04/Recruiting-Metrics-Report.pdf</t>
  </si>
  <si>
    <t xml:space="preserve">PLI</t>
  </si>
  <si>
    <t xml:space="preserve">Industry workers (NACE B–E) in the Polish border regions Lubuskie + Zachodniopomorskie, 2025</t>
  </si>
  <si>
    <t xml:space="preserve">I3</t>
  </si>
  <si>
    <t xml:space="preserve">Eurostat lfst_r_lfe2en2, 2025: Lubuskie (PL43) 97.0k + Zachodniopomorskie (PL42) 140.5k employed in industry B–E (https://ec.europa.eu/eurostat/databrowser/view/lfst_r_lfe2en2/default/table).</t>
  </si>
  <si>
    <t xml:space="preserve">PLC</t>
  </si>
  <si>
    <t xml:space="preserve">Polish cross-border commuters working in Brandenburg (all jobs)</t>
  </si>
  <si>
    <t xml:space="preserve">IAB-Regional Berlin-Brandenburg 1/2020, table 3 (BA data, June 2019): 13,775 commuters from Poland to Brandenburg workplaces (https://doku.iab.de/regional/BB/2020/regional_bb_0120.pdf).</t>
  </si>
  <si>
    <t xml:space="preserve">PLT</t>
  </si>
  <si>
    <t xml:space="preserve">…of which in machine/vehicle, metalworking and building trades</t>
  </si>
  <si>
    <t xml:space="preserve">Same table: machine and vehicle technology 825 + metal 424 + building construction 429 = 1,678 (https://doku.iab.de/regional/BB/2020/regional_bb_0120.pdf).</t>
  </si>
  <si>
    <t xml:space="preserve">7. Channel × role inputs (Part 2.2). Basis: CPC → CPA = CPC ÷ click-to-apply rate; CPA = bought per application/lead; Slot = fixed-price 30-day ad → CPA = price ÷ apps per ad; Free = no media cost.</t>
  </si>
  <si>
    <t xml:space="preserve">Channel</t>
  </si>
  <si>
    <t xml:space="preserve">Role</t>
  </si>
  <si>
    <t xml:space="preserve">Basis</t>
  </si>
  <si>
    <t xml:space="preserve">Unit cost € (CPC / CPA / slot price)</t>
  </si>
  <si>
    <t xml:space="preserve">Click→apply % or apps per slot</t>
  </si>
  <si>
    <t xml:space="preserve">Share qualified</t>
  </si>
  <si>
    <t xml:space="preserve">Max applications over campaign (or no. of slots)</t>
  </si>
  <si>
    <t xml:space="preserve">Downstream adj. (× role conversion)</t>
  </si>
  <si>
    <t xml:space="preserve">Fixed cost €</t>
  </si>
  <si>
    <t xml:space="preserve">C01</t>
  </si>
  <si>
    <t xml:space="preserve">Organic (Tesla careers, BA Jobbörse, Google for Jobs)</t>
  </si>
  <si>
    <t xml:space="preserve">Free</t>
  </si>
  <si>
    <t xml:space="preserve">Free listings (careers site, BA Jobbörse, Google for Jobs). Volume: ~27 applications per vacancy, 13% via the careers page. https://www.arbeitsagentur.de/faktor-a/mitarbeiter-finden/so-funktioniert-deutschlands-groesste-jobboerse</t>
  </si>
  <si>
    <t xml:space="preserve">C02</t>
  </si>
  <si>
    <t xml:space="preserve">C03</t>
  </si>
  <si>
    <t xml:space="preserve">C04</t>
  </si>
  <si>
    <t xml:space="preserve">C05</t>
  </si>
  <si>
    <t xml:space="preserve">Programmatic job ads (Joveo: Indeed, Jooble, Talent.com, Kimeta, meinestadt…)</t>
  </si>
  <si>
    <t xml:space="preserve">CPA</t>
  </si>
  <si>
    <t xml:space="preserve">Indeed's CPA median is €161 in TalentBait's DACH 2024–26 dataset (2,549 channel-campaigns across all channels), used as the programmatic proxy. Volume capped by Indeed's reach. https://www.talentbait.de/recruiting-kanaele-uebersicht/</t>
  </si>
  <si>
    <t xml:space="preserve">C06</t>
  </si>
  <si>
    <t xml:space="preserve">C07</t>
  </si>
  <si>
    <t xml:space="preserve">C08</t>
  </si>
  <si>
    <t xml:space="preserve">C09</t>
  </si>
  <si>
    <t xml:space="preserve">StepStone (30-day single ad)</t>
  </si>
  <si>
    <t xml:space="preserve">Slot</t>
  </si>
  <si>
    <t xml:space="preserve">Own estimate: from €1,449 per 30-day ad (StepStone price list); StepStone says HR teams get ~12 applications per vacancy across all channels, used here as applications per ad. https://www.stepstone.de/e-recruiting/stellenanzeige-aufgeben/ https://www.stepstone.de/e-recruiting/hr-wissen/recruiting/bewerberqualitaet-steigern</t>
  </si>
  <si>
    <t xml:space="preserve">C10</t>
  </si>
  <si>
    <t xml:space="preserve">C11</t>
  </si>
  <si>
    <t xml:space="preserve">C12</t>
  </si>
  <si>
    <t xml:space="preserve">C13</t>
  </si>
  <si>
    <t xml:space="preserve">LinkedIn (promoted jobs + InMail)</t>
  </si>
  <si>
    <t xml:space="preserve">DACH median €96 per application (TalentBait). Used only for automation and supervisors. https://www.talentbait.de/recruiting-kanaele-uebersicht/</t>
  </si>
  <si>
    <t xml:space="preserve">C14</t>
  </si>
  <si>
    <t xml:space="preserve">C15</t>
  </si>
  <si>
    <t xml:space="preserve">Meta social (FB/IG lead ads, 75 km geo)</t>
  </si>
  <si>
    <t xml:space="preserve">Own estimate: TalentBait's example ad shows ~€84 per application for trades (its measured averages: €52 raw, €104 per qualified); volume from Redline campaign data. https://www.talentbait.de/social-media-recruiting</t>
  </si>
  <si>
    <t xml:space="preserve">C16</t>
  </si>
  <si>
    <t xml:space="preserve">C17</t>
  </si>
  <si>
    <t xml:space="preserve">Google Search ads (job-intent keywords)</t>
  </si>
  <si>
    <t xml:space="preserve">Google Search ads ~€179 per application, low volume (TalentBait). https://www.talentbait.de/recruiting-kanaele-uebersicht/</t>
  </si>
  <si>
    <t xml:space="preserve">C18</t>
  </si>
  <si>
    <t xml:space="preserve">C19</t>
  </si>
  <si>
    <t xml:space="preserve">C20</t>
  </si>
  <si>
    <t xml:space="preserve">8. New-initiative inputs (Part 3) — maths on the Initiatives tab</t>
  </si>
  <si>
    <t xml:space="preserve">I1RE</t>
  </si>
  <si>
    <t xml:space="preserve">I1: past applicants in client ATS who were qualified but not hired (last 12 months)</t>
  </si>
  <si>
    <t xml:space="preserve">records</t>
  </si>
  <si>
    <t xml:space="preserve">Calculated: last year's maintenance hires (STAFF × MSH × TURN × this role's share) × qualified runners-up per hire (1 ÷ qualified→signed − 1). Replaced by the real export on day 1.</t>
  </si>
  <si>
    <t xml:space="preserve">I1RM</t>
  </si>
  <si>
    <t xml:space="preserve">I1RA</t>
  </si>
  <si>
    <t xml:space="preserve">I1RS</t>
  </si>
  <si>
    <t xml:space="preserve">I1C</t>
  </si>
  <si>
    <t xml:space="preserve">I1: share of re-contacted past applicants who re-apply</t>
  </si>
  <si>
    <t xml:space="preserve">Cold outreach gets ~5% replies (Pin 2026); past applicants already know the employer, so I assume 12%. https://www.pin.com/blog/recruiting-outreach-benchmark-report/</t>
  </si>
  <si>
    <t xml:space="preserve">I1Q</t>
  </si>
  <si>
    <t xml:space="preserve">I1: share qualified among re-applicants</t>
  </si>
  <si>
    <t xml:space="preserve">They met the requirements once; I assume half still do (Forrester via SHRM: most remain a 70%+ match). https://www.shrm.org/mena/topics-tools/news/technology/talent-rediscovery-tools-help-address-labor-shortages</t>
  </si>
  <si>
    <t xml:space="preserve">I1FE</t>
  </si>
  <si>
    <t xml:space="preserve">I1: employee-referred applications over campaign</t>
  </si>
  <si>
    <t xml:space="preserve">Calculated: referrals give REFSH (11%) of this role's hires: REFSH × openings ÷ (I1FQ × qualified→signed × I1A).</t>
  </si>
  <si>
    <t xml:space="preserve">I1FM</t>
  </si>
  <si>
    <t xml:space="preserve">I1FA</t>
  </si>
  <si>
    <t xml:space="preserve">I1FS</t>
  </si>
  <si>
    <t xml:space="preserve">I1FQ</t>
  </si>
  <si>
    <t xml:space="preserve">I1: share qualified among referrals</t>
  </si>
  <si>
    <t xml:space="preserve">Referred applicants are better pre-filtered (IAB: referrals are the most decisive channel), so 45% qualify. https://iab-forum.de/online-medien-sind-bei-der-personalsuche-auf-dem-vormarsch/</t>
  </si>
  <si>
    <t xml:space="preserve">I1M</t>
  </si>
  <si>
    <t xml:space="preserve">I1: messaging cost per contacted past applicant (email + SMS tool)</t>
  </si>
  <si>
    <t xml:space="preserve">Three text messages at ~€0.075 each (seven.io price list, 2016 rates) plus email, rounded up to €0.30. https://www.seven.io/en/prices/</t>
  </si>
  <si>
    <t xml:space="preserve">I1B</t>
  </si>
  <si>
    <t xml:space="preserve">I1: referral bonus per signed referred hire (paid from this budget)</t>
  </si>
  <si>
    <t xml:space="preserve">Most firms pay €501–1,000 per successful referral (Radancy survey, 335 firms worldwide). https://www.personalwirtschaft.de/?p=166393</t>
  </si>
  <si>
    <t xml:space="preserve">I1A</t>
  </si>
  <si>
    <t xml:space="preserve">I1: downstream adjustment (pass/accept better than average)</t>
  </si>
  <si>
    <t xml:space="preserve">Referred and known candidates pass and accept a little more often (+15%). https://www.metaview.ai/resources/blog/do-referred-candidates-interview-better</t>
  </si>
  <si>
    <t xml:space="preserve">I2P</t>
  </si>
  <si>
    <t xml:space="preserve">I2: construction/Handwerk electricians (Elektroniker Energie- und Gebäudetechnik) within 75 km</t>
  </si>
  <si>
    <t xml:space="preserve">BA employment, KldB 2621 Bauelektrik: Berlin 6,204 + 60% of Brandenburg 5,905 (own scaling: ~60% of Brandenburg lies within 75 km) ≈ 10,000.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</t>
  </si>
  <si>
    <t xml:space="preserve">I2S</t>
  </si>
  <si>
    <t xml:space="preserve">I2: share who apply over the campaign (reachable × persuaded)</t>
  </si>
  <si>
    <t xml:space="preserve">Calculated: RD2 (Redline, ~30 qualified per electrician campaign) ÷ I2Q ÷ I2P.</t>
  </si>
  <si>
    <t xml:space="preserve">I2C</t>
  </si>
  <si>
    <t xml:space="preserve">I2: cost per application (Meta/Google + 6-question quiz funnel)</t>
  </si>
  <si>
    <t xml:space="preserve">Own estimate: TalentBait's example ad shows ~€84 per application for trades; its measured averages are €52 per raw application and €104 per qualified one. https://www.talentbait.de/social-media-recruiting</t>
  </si>
  <si>
    <t xml:space="preserve">I2Q</t>
  </si>
  <si>
    <t xml:space="preserve">I2: share qualified (only if client accepts EGT + Elektrofachkraft + 2 yrs, with in-house bridge)</t>
  </si>
  <si>
    <t xml:space="preserve">Calculated: same as electricians (25%), because the quiz admits only certified electricians.</t>
  </si>
  <si>
    <t xml:space="preserve">I2A</t>
  </si>
  <si>
    <t xml:space="preserve">I2: downstream adjustment (industrial skills gap)</t>
  </si>
  <si>
    <t xml:space="preserve">They lack PLC skills, so they pass like automation candidates: 45% ÷ 50% = 0.9.</t>
  </si>
  <si>
    <t xml:space="preserve">I2F</t>
  </si>
  <si>
    <t xml:space="preserve">I2: fixed set-up cost (German copywriter + quiz-funnel tool, 3 months)</t>
  </si>
  <si>
    <t xml:space="preserve">Copywriter (~11 hours at €65) plus a quiz tool for 3 months. https://www.freelancermap.de/freelancer/texterstellung</t>
  </si>
  <si>
    <t xml:space="preserve">I3C</t>
  </si>
  <si>
    <t xml:space="preserve">I3: blended cost per application, Pracuj.pl + OLX Praca + Polish-geo Meta</t>
  </si>
  <si>
    <t xml:space="preserve">Pracuj.pl ad price divided by expected applications, blended with OLX and Meta. https://dlafirm.pracuj.pl/cennik-uslug/pakiety-ogloszen</t>
  </si>
  <si>
    <t xml:space="preserve">I3Q</t>
  </si>
  <si>
    <t xml:space="preserve">I3: share qualified after Polish-language pre-screen call</t>
  </si>
  <si>
    <t xml:space="preserve">Own estimate: the Polish ads carry trade knock-out questions (certificate, shifts), so language is the binding filter. Eurostat AES 2022, Poland, ages 25–64, vocational upper-secondary: 58.7% know a foreign language (edat_aes_l23) × 23.6% of them good or proficient (edat_aes_l33) ≈ 14%. https://ec.europa.eu/eurostat/databrowser/view/edat_aes_l23/default/table https://ec.europa.eu/eurostat/databrowser/view/edat_aes_l33/default/table</t>
  </si>
  <si>
    <t xml:space="preserve">I3X</t>
  </si>
  <si>
    <t xml:space="preserve">I3: max applications over campaign</t>
  </si>
  <si>
    <t xml:space="preserve">Calculated: the applications needed to fill the 40% Polish cap.</t>
  </si>
  <si>
    <t xml:space="preserve">I3A</t>
  </si>
  <si>
    <t xml:space="preserve">I3: downstream adjustment (pre-screened)</t>
  </si>
  <si>
    <t xml:space="preserve">No pass-rate uplift assumed for the pre-screen; none has been measured.</t>
  </si>
  <si>
    <t xml:space="preserve">I3H</t>
  </si>
  <si>
    <t xml:space="preserve">I3: pre-screen call time per Polish applicant</t>
  </si>
  <si>
    <t xml:space="preserve">minutes</t>
  </si>
  <si>
    <t xml:space="preserve">Phone screens take 15–30 minutes (Indeed); a checklist call takes 15. https://www.indeed.com/hire/c/info/what-is-a-phone-screen</t>
  </si>
  <si>
    <t xml:space="preserve">I3W</t>
  </si>
  <si>
    <t xml:space="preserve">I3: pre-screener hourly rate</t>
  </si>
  <si>
    <t xml:space="preserve">Polish freelance recruiters charge ~€14–19 an hour. https://rocketjobs.pl/oferta-pracy/intent-tech-recruiter-freelance--warszawa-hr-recruitment-9e0cdcee</t>
  </si>
  <si>
    <t xml:space="preserve">I3T</t>
  </si>
  <si>
    <t xml:space="preserve">I3: Polish translation of job ads + landing page</t>
  </si>
  <si>
    <t xml:space="preserve">Translation at the German statutory rate per line (JVEG). https://www.gesetze-im-internet.de/jveg/__11.html</t>
  </si>
  <si>
    <t xml:space="preserve">I2W</t>
  </si>
  <si>
    <t xml:space="preserve">I2: bridge course after signing (weeks, run by the client's maintenance trainers)</t>
  </si>
  <si>
    <t xml:space="preserve">weeks</t>
  </si>
  <si>
    <t xml:space="preserve">2–4 weeks to cover the PLC/industrial gap; onboarding time paid as salary, so outside the campaign budget. Client names a trainer by 23 Oct.</t>
  </si>
  <si>
    <t xml:space="preserve">I2L</t>
  </si>
  <si>
    <t xml:space="preserve">I2: days from campaign start to go-live (ads, quiz, German copy)</t>
  </si>
  <si>
    <t xml:space="preserve">Setup plan: copy and quiz written in 2 days, client profile sign-off, live Fri 23 Oct.</t>
  </si>
  <si>
    <t xml:space="preserve">I3L</t>
  </si>
  <si>
    <t xml:space="preserve">I3: days from campaign start to go-live (translation, freelancer hired)</t>
  </si>
  <si>
    <t xml:space="preserve">Setup plan: Polish translation and hiring the freelancer take a week, live Tue 27 Oct.</t>
  </si>
  <si>
    <t xml:space="preserve">Part 1 — Funnel by role (work back from openings)</t>
  </si>
  <si>
    <t xml:space="preserve">How: qualified needed = openings ÷ (pass × offer × accept); applications needed = qualified ÷ share qualified. Rates from Assumptions §3. 'Qualified' = right trade qualification + English or German + accepts shifts (brief).</t>
  </si>
  <si>
    <t xml:space="preserve">App → qualified</t>
  </si>
  <si>
    <t xml:space="preserve">Qualified → passed</t>
  </si>
  <si>
    <t xml:space="preserve">Passed → offer</t>
  </si>
  <si>
    <t xml:space="preserve">Offer → signed</t>
  </si>
  <si>
    <t xml:space="preserve">Qualified → signed</t>
  </si>
  <si>
    <t xml:space="preserve">App → signed</t>
  </si>
  <si>
    <t xml:space="preserve">Offers needed</t>
  </si>
  <si>
    <t xml:space="preserve">Passed needed</t>
  </si>
  <si>
    <t xml:space="preserve">Qualified needed</t>
  </si>
  <si>
    <t xml:space="preserve">Applications needed (baseline Q)</t>
  </si>
  <si>
    <t xml:space="preserve">Applications in plan (channel mix)</t>
  </si>
  <si>
    <t xml:space="preserve">Blended Q in plan</t>
  </si>
  <si>
    <t xml:space="preserve">Qualified in plan</t>
  </si>
  <si>
    <t xml:space="preserve">Share of assessment slots</t>
  </si>
  <si>
    <t xml:space="preserve">Total</t>
  </si>
  <si>
    <t xml:space="preserve">Qualified needed (col K) uses role averages; 'Qualified in plan' (col O) reflects the actual channel mix incl. better/worse downstream conversion of initiatives. Capacity is checked on col O.</t>
  </si>
  <si>
    <t xml:space="preserve">Timeline and recruiter capacity (Part 1.3)</t>
  </si>
  <si>
    <t xml:space="preserve">First assessment date</t>
  </si>
  <si>
    <t xml:space="preserve">Last signing date</t>
  </si>
  <si>
    <t xml:space="preserve">Days assessment → signed (E/M/A)</t>
  </si>
  <si>
    <t xml:space="preserve">Days assessment → signed (Supervisors)</t>
  </si>
  <si>
    <t xml:space="preserve">Last assessment date (E/M/A)</t>
  </si>
  <si>
    <t xml:space="preserve">Last assessment date (Supervisors)</t>
  </si>
  <si>
    <t xml:space="preserve">Assessment window (days, E/M/A)</t>
  </si>
  <si>
    <t xml:space="preserve">Qualified applicants in plan</t>
  </si>
  <si>
    <t xml:space="preserve">Hires per qualified applicant (plan mix)</t>
  </si>
  <si>
    <t xml:space="preserve">Max hires the 55/week limit allows before 31 Dec</t>
  </si>
  <si>
    <t xml:space="preserve">If every slot is filled at the plan's conversion; above 100 = headroom.</t>
  </si>
  <si>
    <t xml:space="preserve">Which role is hardest to fill? (Part 1.3)</t>
  </si>
  <si>
    <t xml:space="preserve">Qualified needed (plan)</t>
  </si>
  <si>
    <t xml:space="preserve">Hire capacity of all channels at plan rates</t>
  </si>
  <si>
    <t xml:space="preserve">Coverage (capacity ÷ openings)</t>
  </si>
  <si>
    <t xml:space="preserve">Reachable qualified pool (pool check below)</t>
  </si>
  <si>
    <t xml:space="preserve">Qualified needed ÷ reachable pool (excl. I2, pool check below)</t>
  </si>
  <si>
    <t xml:space="preserve">Highest cost per hire we must buy (beyond tests)</t>
  </si>
  <si>
    <t xml:space="preserve">Polish route allowed?</t>
  </si>
  <si>
    <t xml:space="preserve">Foreign-trained route by 31 Dec?</t>
  </si>
  <si>
    <t xml:space="preserve">Coverage without the unproven I2 initiative</t>
  </si>
  <si>
    <t xml:space="preserve">Ranking helper (roles with openings)</t>
  </si>
  <si>
    <t xml:space="preserve">No</t>
  </si>
  <si>
    <t xml:space="preserve">No – recognition takes 2–4 months</t>
  </si>
  <si>
    <t xml:space="preserve">Yes (≤40%)</t>
  </si>
  <si>
    <t xml:space="preserve">Yes (no recognition gate in brief)</t>
  </si>
  <si>
    <t xml:space="preserve">Sensitivity: each assumption 30% worse (Part 1.4)</t>
  </si>
  <si>
    <t xml:space="preserve">Stress size:</t>
  </si>
  <si>
    <t xml:space="preserve">Assumption made 30% worse</t>
  </si>
  <si>
    <t xml:space="preserve">Qualified applicants needed</t>
  </si>
  <si>
    <t xml:space="preserve">Hires possible before 31 Dec</t>
  </si>
  <si>
    <t xml:space="preserve">Hires lost vs 100</t>
  </si>
  <si>
    <t xml:space="preserve">Spend needed (€, approx.: all variable spend scaled, channel caps ignored)</t>
  </si>
  <si>
    <t xml:space="preserve">Change in media</t>
  </si>
  <si>
    <t xml:space="preserve">Why</t>
  </si>
  <si>
    <t xml:space="preserve">Base case</t>
  </si>
  <si>
    <t xml:space="preserve">Plan as built.</t>
  </si>
  <si>
    <t xml:space="preserve">Qualified → signed (assessment pass rate) ×0.7</t>
  </si>
  <si>
    <t xml:space="preserve">Each qualified applicant yields 30% fewer hires → 43% more qualified needed, but slots are fixed at 55/week.</t>
  </si>
  <si>
    <t xml:space="preserve">Offer acceptance ×0.7</t>
  </si>
  <si>
    <t xml:space="preserve">Same arithmetic as pass rate: it also sits between the capacity limit and the hire.</t>
  </si>
  <si>
    <t xml:space="preserve">Application → qualified ×0.7</t>
  </si>
  <si>
    <t xml:space="preserve">Costs 43% more per qualified; slots unaffected; channels run out sooner (electricians first).</t>
  </si>
  <si>
    <t xml:space="preserve">Cost per application ×1.3</t>
  </si>
  <si>
    <t xml:space="preserve">Pure money: +30% media, no effect on hires if the money is there.</t>
  </si>
  <si>
    <t xml:space="preserve">Recruiter capacity ×0.7 (≈38/week), given in the brief, shown for context</t>
  </si>
  <si>
    <t xml:space="preserve">Fewer slots: hires capped by capacity. Not ranked: 55/week is given, not assumed.</t>
  </si>
  <si>
    <t xml:space="preserve">Most sensitive assumption (largest hire loss; capacity excluded as it is given):</t>
  </si>
  <si>
    <t xml:space="preserve">Talent-pool sanity check (Part 2.2): can the channels plausibly deliver the qualified applicants we plan?</t>
  </si>
  <si>
    <t xml:space="preserve">Employed within 75 km</t>
  </si>
  <si>
    <t xml:space="preserve">Share in market / persuadable</t>
  </si>
  <si>
    <t xml:space="preserve">Local reachable</t>
  </si>
  <si>
    <t xml:space="preserve">Relocators</t>
  </si>
  <si>
    <t xml:space="preserve">Reachable qualified pool</t>
  </si>
  <si>
    <t xml:space="preserve">Qualified applicants in plan from this pool (excl. I2)</t>
  </si>
  <si>
    <t xml:space="preserve">Plan ÷ pool</t>
  </si>
  <si>
    <t xml:space="preserve">Max qualified all channels could deliver (excl. I2)</t>
  </si>
  <si>
    <t xml:space="preserve">Channel max ÷ pool</t>
  </si>
  <si>
    <t xml:space="preserve">Read-out</t>
  </si>
  <si>
    <t xml:space="preserve">Channel max can exceed the pool because the same people apply via several channels. Construction electricians (I2) are a separate pool and excluded here.</t>
  </si>
  <si>
    <t xml:space="preserve">Part 3 — New sources beyond the usual paid channels (maths feeds the Channels tab)</t>
  </si>
  <si>
    <t xml:space="preserve">How: people reachable × share who apply = applications; × share qualified × qualified → signed = hires; cost ÷ hires = cost per hire.</t>
  </si>
  <si>
    <t xml:space="preserve">I1 · Talent rediscovery (past applicants in client ATS) + employee referral sprint — built for electricians, used for all roles</t>
  </si>
  <si>
    <t xml:space="preserve">Line</t>
  </si>
  <si>
    <t xml:space="preserve">I1a Past qualified applicants in ATS</t>
  </si>
  <si>
    <t xml:space="preserve">I1a Re-application rate</t>
  </si>
  <si>
    <t xml:space="preserve">I1a Re-applications (max)</t>
  </si>
  <si>
    <t xml:space="preserve">I1a Share qualified</t>
  </si>
  <si>
    <t xml:space="preserve">I1 Qualified → signed (role × adj.)</t>
  </si>
  <si>
    <t xml:space="preserve">I1a Messaging cost (records × €/contact)</t>
  </si>
  <si>
    <t xml:space="preserve">I1a Cost per application (→ Channels)</t>
  </si>
  <si>
    <t xml:space="preserve">I1a Hires if fully used</t>
  </si>
  <si>
    <t xml:space="preserve">I1b Referral applications (max)</t>
  </si>
  <si>
    <t xml:space="preserve">I1b Share qualified</t>
  </si>
  <si>
    <t xml:space="preserve">I1b Hires if fully used</t>
  </si>
  <si>
    <t xml:space="preserve">I1b Referral bonuses at full use (hires × bonus)</t>
  </si>
  <si>
    <t xml:space="preserve">I1b Expected bonus cost per application (→ Channels)</t>
  </si>
  <si>
    <t xml:space="preserve">Bonus is only paid when a referred hire signs; shown per application so it ranks against paid channels.</t>
  </si>
  <si>
    <t xml:space="preserve">I1 Total hires if fully used</t>
  </si>
  <si>
    <t xml:space="preserve">I1 Total cost if fully used</t>
  </si>
  <si>
    <t xml:space="preserve">I1 Cost per hire</t>
  </si>
  <si>
    <t xml:space="preserve">I2 · 'Vom Handwerk in die Industrie' — construction electricians → plant maintenance (electricians only)</t>
  </si>
  <si>
    <t xml:space="preserve">Construction/Handwerk electricians within 75 km</t>
  </si>
  <si>
    <t xml:space="preserve">Share who apply</t>
  </si>
  <si>
    <t xml:space="preserve">Max applications</t>
  </si>
  <si>
    <t xml:space="preserve">Cost per application</t>
  </si>
  <si>
    <t xml:space="preserve">Share qualified (client accepts profile)</t>
  </si>
  <si>
    <t xml:space="preserve">Qualified</t>
  </si>
  <si>
    <t xml:space="preserve">Qualified → signed (electrician rate × I2A adjustment)</t>
  </si>
  <si>
    <t xml:space="preserve">Expected hires if fully used</t>
  </si>
  <si>
    <t xml:space="preserve">Media at full use</t>
  </si>
  <si>
    <t xml:space="preserve">Fixed set-up</t>
  </si>
  <si>
    <t xml:space="preserve">Cost per hire at full use</t>
  </si>
  <si>
    <t xml:space="preserve">I3 · Polish border corridor with a remote Polish-speaking pre-screener (mechatronics only, ≤40% of those hires)</t>
  </si>
  <si>
    <t xml:space="preserve">All-in cost per application (ads + pre-screen call) (→ Channels)</t>
  </si>
  <si>
    <t xml:space="preserve">Share qualified after pre-screen</t>
  </si>
  <si>
    <t xml:space="preserve">Qualified → signed (mechatronics rate × I3A adjustment)</t>
  </si>
  <si>
    <t xml:space="preserve">Hire cap from the 40% rule</t>
  </si>
  <si>
    <t xml:space="preserve">Hires if fully used (capped)</t>
  </si>
  <si>
    <t xml:space="preserve">Ad cost per application (Pracuj.pl, OLX Praca, PL-geo Meta)</t>
  </si>
  <si>
    <t xml:space="preserve">Pre-screen cost per applicant (minutes ÷ 60 × hourly rate)</t>
  </si>
  <si>
    <t xml:space="preserve">Fixed cost: translation</t>
  </si>
  <si>
    <t xml:space="preserve">Applications needed to hit the cap</t>
  </si>
  <si>
    <t xml:space="preserve">Cost per hire at cap (incl. fixed)</t>
  </si>
  <si>
    <t xml:space="preserve">Two-week tests: bars are set from each initiative's planned volume in its own 14-day window (inputs TP1–TK2 on Assumptions)</t>
  </si>
  <si>
    <t xml:space="preserve">Initiative</t>
  </si>
  <si>
    <t xml:space="preserve">Test window (14 days from launch)</t>
  </si>
  <si>
    <t xml:space="preserve">Share of planned volume in window (days of each spend week inside the window)</t>
  </si>
  <si>
    <t xml:space="preserve">Test budget €</t>
  </si>
  <si>
    <t xml:space="preserve">Planned qualified in window</t>
  </si>
  <si>
    <t xml:space="preserve">Planned cost per qualified</t>
  </si>
  <si>
    <t xml:space="preserve">PASS if qualified ≥</t>
  </si>
  <si>
    <t xml:space="preserve">…and cost per qualified ≤</t>
  </si>
  <si>
    <t xml:space="preserve">KILL if qualified &lt;</t>
  </si>
  <si>
    <t xml:space="preserve">…or cost per qualified &gt;</t>
  </si>
  <si>
    <t xml:space="preserve">Other conditions</t>
  </si>
  <si>
    <t xml:space="preserve">I1 Rediscovery + referrals</t>
  </si>
  <si>
    <t xml:space="preserve">Wed 21 Oct – Tue 3 Nov (waves 1–3)</t>
  </si>
  <si>
    <t xml:space="preserve">n/a (≈€8)</t>
  </si>
  <si>
    <t xml:space="preserve">–</t>
  </si>
  <si>
    <t xml:space="preserve">A kill means no more re-contact waves; the referral bonus stays live (paid only on a signed hire).</t>
  </si>
  <si>
    <t xml:space="preserve">I2 Handwerk → Industrie</t>
  </si>
  <si>
    <t xml:space="preserve">Fri 23 Oct – Thu 5 Nov (read Mon 9 Nov)</t>
  </si>
  <si>
    <t xml:space="preserve">Also stop at once if the client rejects the profile; the money moves to programmatic electricians.</t>
  </si>
  <si>
    <t xml:space="preserve">I3 Polish corridor</t>
  </si>
  <si>
    <t xml:space="preserve">Tue 27 Oct – Mon 9 Nov (freelancer starts 27 Oct)</t>
  </si>
  <si>
    <t xml:space="preserve">Also stop if far fewer than planned pass the language call. The freelancer is paid hourly, so stopping costs little.</t>
  </si>
  <si>
    <t xml:space="preserve">Who does what is on deck slide 7. I2 and I3 are read on Mon 9 Nov, I1 on Mon 2 Nov.</t>
  </si>
  <si>
    <t xml:space="preserve">Part 2 — Channel × role economics and allocation (cheapest cost-per-hire first, until each role's openings are covered)</t>
  </si>
  <si>
    <t xml:space="preserve">How hires are bought: within each role, channels are used cheapest cost per hire first, each up to its volume cap, until openings are filled.</t>
  </si>
  <si>
    <t xml:space="preserve">Every paid channel first gets a €750 test in weeks 1–2; its hires count. Then only the remaining need is bought.</t>
  </si>
  <si>
    <t xml:space="preserve">Type</t>
  </si>
  <si>
    <t xml:space="preserve">Unit cost €</t>
  </si>
  <si>
    <t xml:space="preserve">Click→apply / apps per slot</t>
  </si>
  <si>
    <t xml:space="preserve">Qualified capacity</t>
  </si>
  <si>
    <t xml:space="preserve">Downstream adj.</t>
  </si>
  <si>
    <t xml:space="preserve">Hire capacity</t>
  </si>
  <si>
    <t xml:space="preserve">Cost per qualified</t>
  </si>
  <si>
    <t xml:space="preserve">Cost per hire at capacity (incl. fixed)</t>
  </si>
  <si>
    <t xml:space="preserve">Sort key</t>
  </si>
  <si>
    <t xml:space="preserve">Rank in role</t>
  </si>
  <si>
    <t xml:space="preserve">Remaining capacity of cheaper channels</t>
  </si>
  <si>
    <t xml:space="preserve">Need after all tests (openings – test hires)</t>
  </si>
  <si>
    <t xml:space="preserve">Hires (test + allocated)</t>
  </si>
  <si>
    <t xml:space="preserve">Qualified (total)</t>
  </si>
  <si>
    <t xml:space="preserve">Applications (total)</t>
  </si>
  <si>
    <t xml:space="preserve">Media € (incl. test tranche)</t>
  </si>
  <si>
    <t xml:space="preserve">Fixed €</t>
  </si>
  <si>
    <t xml:space="preserve">Test tranche wk 1–2 €</t>
  </si>
  <si>
    <t xml:space="preserve">Total €</t>
  </si>
  <si>
    <t xml:space="preserve">Planned cost per hire</t>
  </si>
  <si>
    <t xml:space="preserve">Rank overall</t>
  </si>
  <si>
    <t xml:space="preserve">Status</t>
  </si>
  <si>
    <t xml:space="preserve">Test applications</t>
  </si>
  <si>
    <t xml:space="preserve">Test qualified</t>
  </si>
  <si>
    <t xml:space="preserve">Test hires</t>
  </si>
  <si>
    <t xml:space="preserve">Hire capacity left after test</t>
  </si>
  <si>
    <t xml:space="preserve">Hires allocated beyond test</t>
  </si>
  <si>
    <t xml:space="preserve">I1a-E</t>
  </si>
  <si>
    <t xml:space="preserve">I1a Talent rediscovery (past applicants in ATS)</t>
  </si>
  <si>
    <t xml:space="preserve">I1a-M</t>
  </si>
  <si>
    <t xml:space="preserve">I1a-A</t>
  </si>
  <si>
    <t xml:space="preserve">I1a-S</t>
  </si>
  <si>
    <t xml:space="preserve">I1b-E</t>
  </si>
  <si>
    <t xml:space="preserve">I1b Employee referral sprint (bonus on hire)</t>
  </si>
  <si>
    <t xml:space="preserve">I1b-M</t>
  </si>
  <si>
    <t xml:space="preserve">I1b-A</t>
  </si>
  <si>
    <t xml:space="preserve">I1b-S</t>
  </si>
  <si>
    <t xml:space="preserve">I2-E</t>
  </si>
  <si>
    <t xml:space="preserve">I2 Handwerk → Industrie (construction electricians)</t>
  </si>
  <si>
    <t xml:space="preserve">I3-M</t>
  </si>
  <si>
    <t xml:space="preserve">I3 Polish border corridor + PL pre-screener</t>
  </si>
  <si>
    <t xml:space="preserve">Role coverage check</t>
  </si>
  <si>
    <t xml:space="preserve">Hires planned (test + allocated)</t>
  </si>
  <si>
    <t xml:space="preserve">Shortfall</t>
  </si>
  <si>
    <t xml:space="preserve">Part 2.4 — Recommended budget and allocation</t>
  </si>
  <si>
    <t xml:space="preserve">Paid channels: media (incl. test tranches)</t>
  </si>
  <si>
    <t xml:space="preserve">New initiatives: media + referral bonuses</t>
  </si>
  <si>
    <t xml:space="preserve">New initiatives: fixed set-up costs (Polish translation, German creative + quiz tool)</t>
  </si>
  <si>
    <t xml:space="preserve">Media + initiatives to hit plan</t>
  </si>
  <si>
    <t xml:space="preserve">…of which test tranches in weeks 1–2 (info)</t>
  </si>
  <si>
    <t xml:space="preserve">Planned spend (allocated to channels × weeks)</t>
  </si>
  <si>
    <t xml:space="preserve">Reserve (unallocated; released from wk 3 by Tracker rules)</t>
  </si>
  <si>
    <t xml:space="preserve">Total budget (calculated)</t>
  </si>
  <si>
    <t xml:space="preserve">RECOMMENDED BUDGET (rounded up, step B5)</t>
  </si>
  <si>
    <t xml:space="preserve">Expected signed hires (capped by assessment slots, Funnel B26)</t>
  </si>
  <si>
    <t xml:space="preserve">Media cost per hire (planned spend ÷ hires)</t>
  </si>
  <si>
    <t xml:space="preserve">All-in cost per hire if reserve is spent</t>
  </si>
  <si>
    <t xml:space="preserve">Share of recommended budget spent in weeks 1–2</t>
  </si>
  <si>
    <t xml:space="preserve">By role</t>
  </si>
  <si>
    <t xml:space="preserve">Media €</t>
  </si>
  <si>
    <t xml:space="preserve">…of which tests €</t>
  </si>
  <si>
    <t xml:space="preserve">Hires</t>
  </si>
  <si>
    <t xml:space="preserve">Cost per hire</t>
  </si>
  <si>
    <t xml:space="preserve">Qualified applicants</t>
  </si>
  <si>
    <t xml:space="preserve">By channel</t>
  </si>
  <si>
    <t xml:space="preserve">Share of planned spend</t>
  </si>
  <si>
    <t xml:space="preserve">Part 2.5 — What 30% less budget buys</t>
  </si>
  <si>
    <t xml:space="preserve">Budget level</t>
  </si>
  <si>
    <t xml:space="preserve">Total budget €</t>
  </si>
  <si>
    <t xml:space="preserve">Total hires</t>
  </si>
  <si>
    <t xml:space="preserve">Budget scenarios: cut the most expensive cost-per-hire cells first</t>
  </si>
  <si>
    <t xml:space="preserve">Cells are cut in order of planned cost per hire (most expensive first). A cut removes media first; a cell's set-up cost is only saved once its media is fully cut, so partially cut cells keep their set-up.</t>
  </si>
  <si>
    <t xml:space="preserve">Budget level →</t>
  </si>
  <si>
    <t xml:space="preserve">Spend available (after reserve) €</t>
  </si>
  <si>
    <t xml:space="preserve">Savings needed €</t>
  </si>
  <si>
    <t xml:space="preserve">ID (+ to expand)</t>
  </si>
  <si>
    <t xml:space="preserve">Total € (media + fixed)</t>
  </si>
  <si>
    <t xml:space="preserve">Sort key (planned cost per hire)</t>
  </si>
  <si>
    <t xml:space="preserve">Hires @ recommended</t>
  </si>
  <si>
    <t xml:space="preserve">Hires @ cut</t>
  </si>
  <si>
    <t xml:space="preserve">Cut € @ recommended</t>
  </si>
  <si>
    <t xml:space="preserve">Cut € @ cut</t>
  </si>
  <si>
    <t xml:space="preserve">Qualified @ recommended</t>
  </si>
  <si>
    <t xml:space="preserve">Qualified @ cut</t>
  </si>
  <si>
    <t xml:space="preserve">Hires by role</t>
  </si>
  <si>
    <t xml:space="preserve">Qualified applicants (before capacity cap)</t>
  </si>
  <si>
    <t xml:space="preserve">Capacity factor (assessment slots ÷ qualified, max 1)</t>
  </si>
  <si>
    <t xml:space="preserve">Hires by role are scaled by the capacity factor: if a scenario's qualified applicants exceed the assessment slots, only the share that can be assessed turns into hires (same rule as Budget C13).</t>
  </si>
  <si>
    <t xml:space="preserve">Week-by-week plan: cash out, qualified flow vs 55/week, signatures</t>
  </si>
  <si>
    <t xml:space="preserve">Cash by week: tests in weeks 1–2, StepStone ads and set-up in week 1, media by the weekly shares, referral bonuses when people sign (signatures land ~24 days after application, rounded to whole weeks).</t>
  </si>
  <si>
    <t xml:space="preserve">Week</t>
  </si>
  <si>
    <t xml:space="preserve">Start (Tue)</t>
  </si>
  <si>
    <t xml:space="preserve">End</t>
  </si>
  <si>
    <t xml:space="preserve">Spend share E/M/A</t>
  </si>
  <si>
    <t xml:space="preserve">Spend share Supervisors</t>
  </si>
  <si>
    <t xml:space="preserve">Signing share E/M/A</t>
  </si>
  <si>
    <t xml:space="preserve">Signing share Supervisors</t>
  </si>
  <si>
    <t xml:space="preserve">CPC/CPA media after tests €</t>
  </si>
  <si>
    <t xml:space="preserve">StepStone ads €</t>
  </si>
  <si>
    <t xml:space="preserve">Referral bonuses €</t>
  </si>
  <si>
    <t xml:space="preserve">Set-up costs €</t>
  </si>
  <si>
    <t xml:space="preserve">Test tranches €</t>
  </si>
  <si>
    <t xml:space="preserve">Cash out €</t>
  </si>
  <si>
    <t xml:space="preserve">Cumulative €</t>
  </si>
  <si>
    <t xml:space="preserve">Applications</t>
  </si>
  <si>
    <t xml:space="preserve">Qualified arriving</t>
  </si>
  <si>
    <t xml:space="preserve">Assessment slots</t>
  </si>
  <si>
    <t xml:space="preserve">Slot use</t>
  </si>
  <si>
    <t xml:space="preserve">Flag</t>
  </si>
  <si>
    <t xml:space="preserve">Signed (E/M/A)</t>
  </si>
  <si>
    <t xml:space="preserve">Signed (Supervisors)</t>
  </si>
  <si>
    <t xml:space="preserve">Signed total</t>
  </si>
  <si>
    <t xml:space="preserve">Cum. signed</t>
  </si>
  <si>
    <t xml:space="preserve">Test share</t>
  </si>
  <si>
    <t xml:space="preserve">Rediscovery share</t>
  </si>
  <si>
    <t xml:space="preserve">Input share (Assumptions W1–W11)</t>
  </si>
  <si>
    <t xml:space="preserve">Supervisor share before re-scaling (useful days only)</t>
  </si>
  <si>
    <t xml:space="preserve">I2 share (from go-live)</t>
  </si>
  <si>
    <t xml:space="preserve">I3 share (from go-live)</t>
  </si>
  <si>
    <t xml:space="preserve">I2 share before re-scaling</t>
  </si>
  <si>
    <t xml:space="preserve">I3 share before re-scaling</t>
  </si>
  <si>
    <t xml:space="preserve">I2 live days (fallback)</t>
  </si>
  <si>
    <t xml:space="preserve">I3 live days (fallback)</t>
  </si>
  <si>
    <t xml:space="preserve">Weak channels are cut from Mon 2 Nov; tests are judged by Mon 9 Nov; the reserve is released only from week 3, on the Tracker rules.</t>
  </si>
  <si>
    <t xml:space="preserve">Helper totals</t>
  </si>
  <si>
    <t xml:space="preserve">Late launches (paced from their go-live dates, cols AB–AE)</t>
  </si>
  <si>
    <t xml:space="preserve">Spreadable media E/M/A (after tests, excl. rediscovery)</t>
  </si>
  <si>
    <t xml:space="preserve">I2 media €</t>
  </si>
  <si>
    <t xml:space="preserve">Spreadable media Supervisors (after tests, excl. rediscovery)</t>
  </si>
  <si>
    <t xml:space="preserve">I2 applications</t>
  </si>
  <si>
    <t xml:space="preserve">StepStone ads (all roles)</t>
  </si>
  <si>
    <t xml:space="preserve">I2 qualified</t>
  </si>
  <si>
    <t xml:space="preserve">Referral bonuses E/M/A</t>
  </si>
  <si>
    <t xml:space="preserve">I2 hires</t>
  </si>
  <si>
    <t xml:space="preserve">Referral bonuses Supervisors</t>
  </si>
  <si>
    <t xml:space="preserve">I3 media €</t>
  </si>
  <si>
    <t xml:space="preserve">Test tranches (all roles)</t>
  </si>
  <si>
    <t xml:space="preserve">I3 applications</t>
  </si>
  <si>
    <t xml:space="preserve">Test qualified E/M/A</t>
  </si>
  <si>
    <t xml:space="preserve">I3 qualified</t>
  </si>
  <si>
    <t xml:space="preserve">Test qualified Supervisors</t>
  </si>
  <si>
    <t xml:space="preserve">I3 hires</t>
  </si>
  <si>
    <t xml:space="preserve">Test applications E/M/A</t>
  </si>
  <si>
    <t xml:space="preserve">Test applications Supervisors</t>
  </si>
  <si>
    <t xml:space="preserve">Test hires E/M/A</t>
  </si>
  <si>
    <t xml:space="preserve">Test hires Supervisors</t>
  </si>
  <si>
    <t xml:space="preserve">Rediscovery spend (all roles)</t>
  </si>
  <si>
    <t xml:space="preserve">Rediscovery qualified E/M/A</t>
  </si>
  <si>
    <t xml:space="preserve">Rediscovery qualified Supervisors</t>
  </si>
  <si>
    <t xml:space="preserve">Rediscovery applications E/M/A</t>
  </si>
  <si>
    <t xml:space="preserve">Rediscovery applications Supervisors</t>
  </si>
  <si>
    <t xml:space="preserve">Rediscovery hires E/M/A</t>
  </si>
  <si>
    <t xml:space="preserve">Rediscovery hires Supervisors</t>
  </si>
  <si>
    <t xml:space="preserve">Capacity factor (share of planned qualified that can be assessed)</t>
  </si>
  <si>
    <t xml:space="preserve">Cash out by channel × week (€)</t>
  </si>
  <si>
    <t xml:space="preserve">Wk 1</t>
  </si>
  <si>
    <t xml:space="preserve">Wk 2</t>
  </si>
  <si>
    <t xml:space="preserve">Wk 3</t>
  </si>
  <si>
    <t xml:space="preserve">Wk 4</t>
  </si>
  <si>
    <t xml:space="preserve">Wk 5</t>
  </si>
  <si>
    <t xml:space="preserve">Wk 6</t>
  </si>
  <si>
    <t xml:space="preserve">Wk 7</t>
  </si>
  <si>
    <t xml:space="preserve">Wk 8</t>
  </si>
  <si>
    <t xml:space="preserve">Wk 9</t>
  </si>
  <si>
    <t xml:space="preserve">Wk 10</t>
  </si>
  <si>
    <t xml:space="preserve">Wk 11</t>
  </si>
  <si>
    <t xml:space="preserve">Weekly tracker — type actuals in the yellow cells; decisions and re-forecast update live</t>
  </si>
  <si>
    <t xml:space="preserve">Source: client ATS export by source tag (utm_source/utm_campaign → ATS 'source' field) + Joveo platform spend/clicks/applies. Updated every Monday for the prior week.</t>
  </si>
  <si>
    <t xml:space="preserve">Plan CPA</t>
  </si>
  <si>
    <t xml:space="preserve">Plan Q</t>
  </si>
  <si>
    <t xml:space="preserve">Plan cost per qual.</t>
  </si>
  <si>
    <t xml:space="preserve">W1 spend</t>
  </si>
  <si>
    <t xml:space="preserve">W1 apps</t>
  </si>
  <si>
    <t xml:space="preserve">W1 qual.</t>
  </si>
  <si>
    <t xml:space="preserve">W2 spend</t>
  </si>
  <si>
    <t xml:space="preserve">W2 apps</t>
  </si>
  <si>
    <t xml:space="preserve">W2 qual.</t>
  </si>
  <si>
    <t xml:space="preserve">W3 spend</t>
  </si>
  <si>
    <t xml:space="preserve">W3 apps</t>
  </si>
  <si>
    <t xml:space="preserve">W3 qual.</t>
  </si>
  <si>
    <t xml:space="preserve">Cum. spend</t>
  </si>
  <si>
    <t xml:space="preserve">Cum. apps</t>
  </si>
  <si>
    <t xml:space="preserve">Cum. qual.</t>
  </si>
  <si>
    <t xml:space="preserve">Actual CPA</t>
  </si>
  <si>
    <t xml:space="preserve">Actual Q</t>
  </si>
  <si>
    <t xml:space="preserve">Q used</t>
  </si>
  <si>
    <t xml:space="preserve">Re-forecast cost per qual.</t>
  </si>
  <si>
    <t xml:space="preserve">vs plan</t>
  </si>
  <si>
    <t xml:space="preserve">Decision</t>
  </si>
  <si>
    <t xml:space="preserve">Signed to date (ATS source tag)</t>
  </si>
  <si>
    <t xml:space="preserve">Cost per hire to date</t>
  </si>
  <si>
    <t xml:space="preserve">Plan hires</t>
  </si>
  <si>
    <t xml:space="preserve">Role-level funnel actuals (cumulative) → re-forecast hires</t>
  </si>
  <si>
    <t xml:space="preserve">Qualified assessed</t>
  </si>
  <si>
    <t xml:space="preserve">Interviewed (result known)</t>
  </si>
  <si>
    <t xml:space="preserve">Passed</t>
  </si>
  <si>
    <t xml:space="preserve">Offers</t>
  </si>
  <si>
    <t xml:space="preserve">Signed</t>
  </si>
  <si>
    <t xml:space="preserve">Plan pass</t>
  </si>
  <si>
    <t xml:space="preserve">Actual pass</t>
  </si>
  <si>
    <t xml:space="preserve">Plan offer→signed</t>
  </si>
  <si>
    <t xml:space="preserve">Actual offer→signed</t>
  </si>
  <si>
    <t xml:space="preserve">Updated qual.→signed (plan mix)</t>
  </si>
  <si>
    <t xml:space="preserve">Remaining planned qualified</t>
  </si>
  <si>
    <t xml:space="preserve">Re-forecast hires</t>
  </si>
  <si>
    <t xml:space="preserve">Gap</t>
  </si>
  <si>
    <t xml:space="preserve">Each Monday: type last week's actuals above. Where a channel has enough data, copy its actual cost per application and updated qualified share into Assumptions §7 (real pass and acceptance rates into §3). The plan then re-ranks itself.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</si>
</sst>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"/>
    <numFmt numFmtId="166" formatCode="\€#,##0;&quot;-€&quot;#,##0;\–"/>
    <numFmt numFmtId="167" formatCode="#,##0.0"/>
    <numFmt numFmtId="168" formatCode="0%"/>
    <numFmt numFmtId="169" formatCode="ddd\ dd\ mmm\ yyyy"/>
    <numFmt numFmtId="170" formatCode="0.00\×"/>
    <numFmt numFmtId="171" formatCode="0.00"/>
    <numFmt numFmtId="172" formatCode="0.0%"/>
    <numFmt numFmtId="173" formatCode="0.0"/>
    <numFmt numFmtId="174" formatCode="\€#,##0.00"/>
    <numFmt numFmtId="175" formatCode="0.0\×"/>
    <numFmt numFmtId="176" formatCode="0.000"/>
    <numFmt numFmtId="177" formatCode="dd\ mmm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CC"/>
      <name val="Arial"/>
      <family val="0"/>
      <charset val="1"/>
    </font>
    <font>
      <u val="single"/>
      <sz val="10"/>
      <color rgb="FF1F4E79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E2EFDA"/>
        <bgColor rgb="FFE7E6E6"/>
      </patternFill>
    </fill>
    <fill>
      <patternFill patternType="solid">
        <fgColor rgb="FFD9E1F2"/>
        <bgColor rgb="FFE7E6E6"/>
      </patternFill>
    </fill>
    <fill>
      <patternFill patternType="solid">
        <fgColor rgb="FF1F3864"/>
        <bgColor rgb="FF1F4E79"/>
      </patternFill>
    </fill>
    <fill>
      <patternFill patternType="solid">
        <fgColor rgb="FFFFF6D5"/>
        <bgColor rgb="FFFFFFFF"/>
      </patternFill>
    </fill>
    <fill>
      <patternFill patternType="solid">
        <fgColor rgb="FFE7E6E6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CC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8EA9DB"/>
      <rgbColor rgb="FF993366"/>
      <rgbColor rgb="FFFFF6D5"/>
      <rgbColor rgb="FFE7E6E6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70AD47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www.make-it-in-germany.com/en/working-in-germany/information-eu-citizens/print" TargetMode="External"/><Relationship Id="rId2" Type="http://schemas.openxmlformats.org/officeDocument/2006/relationships/hyperlink" Target="https://www.anerkennung-in-deutschland.de/en/interest/finder/profession/62/profile" TargetMode="External"/><Relationship Id="rId3" Type="http://schemas.openxmlformats.org/officeDocument/2006/relationships/hyperlink" Target="https://hiringlab.indeed.com/de/blog/2025/02/17/der-stellenmarkt-startet-unausgewogen-in-das-neue-jahr/" TargetMode="External"/><Relationship Id="rId4" Type="http://schemas.openxmlformats.org/officeDocument/2006/relationships/hyperlink" Target="https://ta.smartrecruiters.com/rs/664-NIC-529/images/Germany%20Recruiting%20Benchmarks%202025%20Report%20DE.pdf" TargetMode="External"/><Relationship Id="rId5" Type="http://schemas.openxmlformats.org/officeDocument/2006/relationships/hyperlink" Target="https://ta.smartrecruiters.com/rs/664-NIC-529/images/Germany%20Recruiting%20Benchmarks%202025%20Report%20DE.pdf" TargetMode="External"/><Relationship Id="rId6" Type="http://schemas.openxmlformats.org/officeDocument/2006/relationships/hyperlink" Target="https://www.naceweb.org/talent-acquisition/trends-and-predictions/employers-make-more-offers-as-student-acceptance-rate-rises-response-time-shortens" TargetMode="External"/><Relationship Id="rId7" Type="http://schemas.openxmlformats.org/officeDocument/2006/relationships/hyperlink" Target="https://iab-forum.de/iab-stellenerhebung-2-2026-fast-drei-von-vier-bewerbungen-sind-aus-betrieblicher-sicht-ungeeignet/" TargetMode="External"/><Relationship Id="rId8" Type="http://schemas.openxmlformats.org/officeDocument/2006/relationships/hyperlink" Target="https://iab-forum.de/iab-stellenerhebung-2-2026-fast-drei-von-vier-bewerbungen-sind-aus-betrieblicher-sicht-ungeeignet/" TargetMode="External"/><Relationship Id="rId9" Type="http://schemas.openxmlformats.org/officeDocument/2006/relationships/hyperlink" Target="https://iab-forum.de/iab-stellenerhebung-2-2026-fast-drei-von-vier-bewerbungen-sind-aus-betrieblicher-sicht-ungeeignet/" TargetMode="External"/><Relationship Id="rId10" Type="http://schemas.openxmlformats.org/officeDocument/2006/relationships/hyperlink" Target="https://iab-forum.de/iab-stellenerhebung-2-2026-fast-drei-von-vier-bewerbungen-sind-aus-betrieblicher-sicht-ungeeignet/" TargetMode="External"/><Relationship Id="rId11" Type="http://schemas.openxmlformats.org/officeDocument/2006/relationships/hyperlink" Target="https://lp.gem.com/rs/972-IVV-330/images/2025%20Recruiting%20Benchmarks%20-%20Gem.pdf" TargetMode="External"/><Relationship Id="rId12" Type="http://schemas.openxmlformats.org/officeDocument/2006/relationships/hyperlink" Target="https://lp.gem.com/rs/972-IVV-330/images/2025%20Recruiting%20Benchmarks%20-%20Gem.pdf" TargetMode="External"/><Relationship Id="rId13" Type="http://schemas.openxmlformats.org/officeDocument/2006/relationships/hyperlink" Target="https://lp.gem.com/rs/972-IVV-330/images/2025%20Recruiting%20Benchmarks%20-%20Gem.pdf" TargetMode="External"/><Relationship Id="rId14" Type="http://schemas.openxmlformats.org/officeDocument/2006/relationships/hyperlink" Target="https://lp.gem.com/rs/972-IVV-330/images/2025%20Recruiting%20Benchmarks%20-%20Gem.pdf" TargetMode="External"/><Relationship Id="rId15" Type="http://schemas.openxmlformats.org/officeDocument/2006/relationships/hyperlink" Target="https://www.lebensmittelzeitung.net/handel/karriere/rekrutierung-bewerber-sagen-haeufiger-ab-166449" TargetMode="External"/><Relationship Id="rId16" Type="http://schemas.openxmlformats.org/officeDocument/2006/relationships/hyperlink" Target="https://www.lebensmittelzeitung.net/handel/karriere/rekrutierung-bewerber-sagen-haeufiger-ab-166449" TargetMode="External"/><Relationship Id="rId17" Type="http://schemas.openxmlformats.org/officeDocument/2006/relationships/hyperlink" Target="https://www.lebensmittelzeitung.net/handel/karriere/rekrutierung-bewerber-sagen-haeufiger-ab-166449" TargetMode="External"/><Relationship Id="rId18" Type="http://schemas.openxmlformats.org/officeDocument/2006/relationships/hyperlink" Target="https://www.lebensmittelzeitung.net/handel/karriere/rekrutierung-bewerber-sagen-haeufiger-ab-166449" TargetMode="External"/><Relationship Id="rId19" Type="http://schemas.openxmlformats.org/officeDocument/2006/relationships/hyperlink" Target="https://mastt.com/blogs/construction-contingency" TargetMode="External"/><Relationship Id="rId20" Type="http://schemas.openxmlformats.org/officeDocument/2006/relationships/hyperlink" Target="https://statistik.arbeitsagentur.de/Statistikdaten/Detail/202512/iiia6/beschaeftigung-sozbe-bo-heft/bo-heft-11-0-202512-xlsx.xlsx?__blob=publicationFile" TargetMode="External"/><Relationship Id="rId21" Type="http://schemas.openxmlformats.org/officeDocument/2006/relationships/hyperlink" Target="https://statistik.arbeitsagentur.de/Statistikdaten/Detail/202512/iiia6/beschaeftigung-sozbe-bo-heft/bo-heft-11-0-202512-xlsx.xlsx?__blob=publicationFile" TargetMode="External"/><Relationship Id="rId22" Type="http://schemas.openxmlformats.org/officeDocument/2006/relationships/hyperlink" Target="https://statistik.arbeitsagentur.de/Statistikdaten/Detail/202512/iiia6/beschaeftigung-sozbe-bo-heft/bo-heft-11-0-202512-xlsx.xlsx?__blob=publicationFile" TargetMode="External"/><Relationship Id="rId23" Type="http://schemas.openxmlformats.org/officeDocument/2006/relationships/hyperlink" Target="https://statistik.arbeitsagentur.de/Statistikdaten/Detail/202512/iiia6/beschaeftigung-sozbe-bo-heft/bo-heft-11-0-202512-xlsx.xlsx?__blob=publicationFile" TargetMode="External"/><Relationship Id="rId24" Type="http://schemas.openxmlformats.org/officeDocument/2006/relationships/hyperlink" Target="https://gallup.com/file/de/657716/Engagement-Index-Deutschland-Report-2024.pdf" TargetMode="External"/><Relationship Id="rId25" Type="http://schemas.openxmlformats.org/officeDocument/2006/relationships/hyperlink" Target="https://gallup.com/file/de/657716/Engagement-Index-Deutschland-Report-2024.pdf" TargetMode="External"/><Relationship Id="rId26" Type="http://schemas.openxmlformats.org/officeDocument/2006/relationships/hyperlink" Target="https://gallup.com/file/de/657716/Engagement-Index-Deutschland-Report-2024.pdf" TargetMode="External"/><Relationship Id="rId27" Type="http://schemas.openxmlformats.org/officeDocument/2006/relationships/hyperlink" Target="https://gallup.com/file/de/657716/Engagement-Index-Deutschland-Report-2024.pdf" TargetMode="External"/><Relationship Id="rId28" Type="http://schemas.openxmlformats.org/officeDocument/2006/relationships/hyperlink" Target="https://roaspig.com/blog/automated-rules-manage-meta-budgets/" TargetMode="External"/><Relationship Id="rId29" Type="http://schemas.openxmlformats.org/officeDocument/2006/relationships/hyperlink" Target="https://roaspig.com/blog/automated-rules-manage-meta-budgets/" TargetMode="External"/><Relationship Id="rId30" Type="http://schemas.openxmlformats.org/officeDocument/2006/relationships/hyperlink" Target="https://www.pin.com/blog/recruiting-outreach-benchmark-report/" TargetMode="External"/><Relationship Id="rId31" Type="http://schemas.openxmlformats.org/officeDocument/2006/relationships/hyperlink" Target="https://www.pin.com/blog/recruiting-outreach-benchmark-report/" TargetMode="External"/><Relationship Id="rId32" Type="http://schemas.openxmlformats.org/officeDocument/2006/relationships/hyperlink" Target="https://www.pin.com/blog/recruiting-outreach-benchmark-report/" TargetMode="External"/><Relationship Id="rId33" Type="http://schemas.openxmlformats.org/officeDocument/2006/relationships/hyperlink" Target="https://roaspig.com/blog/automated-rules-manage-meta-budgets/" TargetMode="External"/><Relationship Id="rId34" Type="http://schemas.openxmlformats.org/officeDocument/2006/relationships/hyperlink" Target="https://pubmed.ncbi.nlm.nih.gov/10406748/" TargetMode="External"/><Relationship Id="rId35" Type="http://schemas.openxmlformats.org/officeDocument/2006/relationships/hyperlink" Target="https://pubmed.ncbi.nlm.nih.gov/10406748/" TargetMode="External"/><Relationship Id="rId36" Type="http://schemas.openxmlformats.org/officeDocument/2006/relationships/hyperlink" Target="https://iab-forum.de/online-medien-sind-bei-der-personalsuche-auf-dem-vormarsch/" TargetMode="External"/><Relationship Id="rId37" Type="http://schemas.openxmlformats.org/officeDocument/2006/relationships/hyperlink" Target="https://iab-forum.de/online-medien-sind-bei-der-personalsuche-auf-dem-vormarsch/" TargetMode="External"/><Relationship Id="rId38" Type="http://schemas.openxmlformats.org/officeDocument/2006/relationships/hyperlink" Target="https://ohn.haendlerbund.de/themen/unternehmen-maerkte/139538-social-media-whatsapp-mitarbeitersuche-immer-wichtiger" TargetMode="External"/><Relationship Id="rId39" Type="http://schemas.openxmlformats.org/officeDocument/2006/relationships/hyperlink" Target="https://www.personalwirtschaft.de/?p=157882" TargetMode="External"/><Relationship Id="rId40" Type="http://schemas.openxmlformats.org/officeDocument/2006/relationships/hyperlink" Target="https://www.personalwirtschaft.de/?p=157882" TargetMode="External"/><Relationship Id="rId41" Type="http://schemas.openxmlformats.org/officeDocument/2006/relationships/hyperlink" Target="https://www.personalwirtschaft.de/news/recruiting/jeder-zehnte-nutzt-google-zur-jobsuche-97400/" TargetMode="External"/><Relationship Id="rId42" Type="http://schemas.openxmlformats.org/officeDocument/2006/relationships/hyperlink" Target="https://iab-forum.de/iab-stellenerhebung-2-2026-fast-drei-von-vier-bewerbungen-sind-aus-betrieblicher-sicht-ungeeignet/" TargetMode="External"/><Relationship Id="rId43" Type="http://schemas.openxmlformats.org/officeDocument/2006/relationships/hyperlink" Target="https://www.careerplug.com/wp-content/uploads/2025/04/Recruiting-Metrics-Report.pdf" TargetMode="External"/><Relationship Id="rId44" Type="http://schemas.openxmlformats.org/officeDocument/2006/relationships/hyperlink" Target="https://redline-grow.de/bewerbungen-pro-stelle" TargetMode="External"/><Relationship Id="rId45" Type="http://schemas.openxmlformats.org/officeDocument/2006/relationships/hyperlink" Target="https://redline-grow.de/bewerbungen-pro-stelle" TargetMode="External"/><Relationship Id="rId46" Type="http://schemas.openxmlformats.org/officeDocument/2006/relationships/hyperlink" Target="https://redline-grow.de/bewerbungen-pro-stelle" TargetMode="External"/><Relationship Id="rId47" Type="http://schemas.openxmlformats.org/officeDocument/2006/relationships/hyperlink" Target="https://www.stepstone.de/e-recruiting/stellenanzeige-aufgeben/" TargetMode="External"/><Relationship Id="rId48" Type="http://schemas.openxmlformats.org/officeDocument/2006/relationships/hyperlink" Target="https://electrek.co/2026/03/04/tesla-giga-berlin-ig-metall-union-vote-collapse/" TargetMode="External"/><Relationship Id="rId49" Type="http://schemas.openxmlformats.org/officeDocument/2006/relationships/hyperlink" Target="https://statistik.arbeitsagentur.de/Statistikdaten/Detail/202512/iiia6/beschaeftigung-sozbe-bo-heft/bo-heft-d-0-202512-xlsx.xlsx?__blob=publicationFile" TargetMode="External"/><Relationship Id="rId50" Type="http://schemas.openxmlformats.org/officeDocument/2006/relationships/hyperlink" Target="https://mweke.brandenburg.de/media/bb1.a.3814.de/Betriebspanel%20Brandenburg%202024%20-%20final.pdf" TargetMode="External"/><Relationship Id="rId51" Type="http://schemas.openxmlformats.org/officeDocument/2006/relationships/hyperlink" Target="https://www.careerplug.com/wp-content/uploads/2025/04/Recruiting-Metrics-Report.pdf" TargetMode="External"/><Relationship Id="rId52" Type="http://schemas.openxmlformats.org/officeDocument/2006/relationships/hyperlink" Target="https://ec.europa.eu/eurostat/databrowser/view/lfst_r_lfe2en2/default/table" TargetMode="External"/><Relationship Id="rId53" Type="http://schemas.openxmlformats.org/officeDocument/2006/relationships/hyperlink" Target="https://doku.iab.de/regional/BB/2020/regional_bb_0120.pdf" TargetMode="External"/><Relationship Id="rId54" Type="http://schemas.openxmlformats.org/officeDocument/2006/relationships/hyperlink" Target="https://doku.iab.de/regional/BB/2020/regional_bb_0120.pdf" TargetMode="External"/><Relationship Id="rId55" Type="http://schemas.openxmlformats.org/officeDocument/2006/relationships/hyperlink" Target="https://www.arbeitsagentur.de/faktor-a/mitarbeiter-finden/so-funktioniert-deutschlands-groesste-jobboerse" TargetMode="External"/><Relationship Id="rId56" Type="http://schemas.openxmlformats.org/officeDocument/2006/relationships/hyperlink" Target="https://www.arbeitsagentur.de/faktor-a/mitarbeiter-finden/so-funktioniert-deutschlands-groesste-jobboerse" TargetMode="External"/><Relationship Id="rId57" Type="http://schemas.openxmlformats.org/officeDocument/2006/relationships/hyperlink" Target="https://www.arbeitsagentur.de/faktor-a/mitarbeiter-finden/so-funktioniert-deutschlands-groesste-jobboerse" TargetMode="External"/><Relationship Id="rId58" Type="http://schemas.openxmlformats.org/officeDocument/2006/relationships/hyperlink" Target="https://www.arbeitsagentur.de/faktor-a/mitarbeiter-finden/so-funktioniert-deutschlands-groesste-jobboerse" TargetMode="External"/><Relationship Id="rId59" Type="http://schemas.openxmlformats.org/officeDocument/2006/relationships/hyperlink" Target="https://www.talentbait.de/recruiting-kanaele-uebersicht/" TargetMode="External"/><Relationship Id="rId60" Type="http://schemas.openxmlformats.org/officeDocument/2006/relationships/hyperlink" Target="https://www.talentbait.de/recruiting-kanaele-uebersicht/" TargetMode="External"/><Relationship Id="rId61" Type="http://schemas.openxmlformats.org/officeDocument/2006/relationships/hyperlink" Target="https://www.talentbait.de/recruiting-kanaele-uebersicht/" TargetMode="External"/><Relationship Id="rId62" Type="http://schemas.openxmlformats.org/officeDocument/2006/relationships/hyperlink" Target="https://www.talentbait.de/recruiting-kanaele-uebersicht/" TargetMode="External"/><Relationship Id="rId63" Type="http://schemas.openxmlformats.org/officeDocument/2006/relationships/hyperlink" Target="https://www.stepstone.de/e-recruiting/stellenanzeige-aufgeben/" TargetMode="External"/><Relationship Id="rId64" Type="http://schemas.openxmlformats.org/officeDocument/2006/relationships/hyperlink" Target="https://www.stepstone.de/e-recruiting/stellenanzeige-aufgeben/" TargetMode="External"/><Relationship Id="rId65" Type="http://schemas.openxmlformats.org/officeDocument/2006/relationships/hyperlink" Target="https://www.stepstone.de/e-recruiting/stellenanzeige-aufgeben/" TargetMode="External"/><Relationship Id="rId66" Type="http://schemas.openxmlformats.org/officeDocument/2006/relationships/hyperlink" Target="https://www.stepstone.de/e-recruiting/stellenanzeige-aufgeben/" TargetMode="External"/><Relationship Id="rId67" Type="http://schemas.openxmlformats.org/officeDocument/2006/relationships/hyperlink" Target="https://www.talentbait.de/recruiting-kanaele-uebersicht/" TargetMode="External"/><Relationship Id="rId68" Type="http://schemas.openxmlformats.org/officeDocument/2006/relationships/hyperlink" Target="https://www.talentbait.de/recruiting-kanaele-uebersicht/" TargetMode="External"/><Relationship Id="rId69" Type="http://schemas.openxmlformats.org/officeDocument/2006/relationships/hyperlink" Target="https://www.talentbait.de/social-media-recruiting" TargetMode="External"/><Relationship Id="rId70" Type="http://schemas.openxmlformats.org/officeDocument/2006/relationships/hyperlink" Target="https://www.talentbait.de/social-media-recruiting" TargetMode="External"/><Relationship Id="rId71" Type="http://schemas.openxmlformats.org/officeDocument/2006/relationships/hyperlink" Target="https://www.talentbait.de/recruiting-kanaele-uebersicht/" TargetMode="External"/><Relationship Id="rId72" Type="http://schemas.openxmlformats.org/officeDocument/2006/relationships/hyperlink" Target="https://www.talentbait.de/recruiting-kanaele-uebersicht/" TargetMode="External"/><Relationship Id="rId73" Type="http://schemas.openxmlformats.org/officeDocument/2006/relationships/hyperlink" Target="https://www.talentbait.de/recruiting-kanaele-uebersicht/" TargetMode="External"/><Relationship Id="rId74" Type="http://schemas.openxmlformats.org/officeDocument/2006/relationships/hyperlink" Target="https://www.talentbait.de/recruiting-kanaele-uebersicht/" TargetMode="External"/><Relationship Id="rId75" Type="http://schemas.openxmlformats.org/officeDocument/2006/relationships/hyperlink" Target="https://www.pin.com/blog/recruiting-outreach-benchmark-report/" TargetMode="External"/><Relationship Id="rId76" Type="http://schemas.openxmlformats.org/officeDocument/2006/relationships/hyperlink" Target="https://www.shrm.org/mena/topics-tools/news/technology/talent-rediscovery-tools-help-address-labor-shortages" TargetMode="External"/><Relationship Id="rId77" Type="http://schemas.openxmlformats.org/officeDocument/2006/relationships/hyperlink" Target="https://iab-forum.de/online-medien-sind-bei-der-personalsuche-auf-dem-vormarsch/" TargetMode="External"/><Relationship Id="rId78" Type="http://schemas.openxmlformats.org/officeDocument/2006/relationships/hyperlink" Target="https://www.seven.io/en/prices/" TargetMode="External"/><Relationship Id="rId79" Type="http://schemas.openxmlformats.org/officeDocument/2006/relationships/hyperlink" Target="https://www.personalwirtschaft.de/?p=166393" TargetMode="External"/><Relationship Id="rId80" Type="http://schemas.openxmlformats.org/officeDocument/2006/relationships/hyperlink" Target="https://www.metaview.ai/resources/blog/do-referred-candidates-interview-better" TargetMode="External"/><Relationship Id="rId81" Type="http://schemas.openxmlformats.org/officeDocument/2006/relationships/hyperlink" Target="https://statistik.arbeitsagentur.de/Statistikdaten/Detail/202512/iiia6/beschaeftigung-sozbe-bo-heft/bo-heft-11-0-202512-xlsx.xlsx?__blob=publicationFile" TargetMode="External"/><Relationship Id="rId82" Type="http://schemas.openxmlformats.org/officeDocument/2006/relationships/hyperlink" Target="https://www.talentbait.de/social-media-recruiting" TargetMode="External"/><Relationship Id="rId83" Type="http://schemas.openxmlformats.org/officeDocument/2006/relationships/hyperlink" Target="https://www.freelancermap.de/freelancer/texterstellung" TargetMode="External"/><Relationship Id="rId84" Type="http://schemas.openxmlformats.org/officeDocument/2006/relationships/hyperlink" Target="https://dlafirm.pracuj.pl/cennik-uslug/pakiety-ogloszen" TargetMode="External"/><Relationship Id="rId85" Type="http://schemas.openxmlformats.org/officeDocument/2006/relationships/hyperlink" Target="https://ec.europa.eu/eurostat/databrowser/view/edat_aes_l23/default/table" TargetMode="External"/><Relationship Id="rId86" Type="http://schemas.openxmlformats.org/officeDocument/2006/relationships/hyperlink" Target="https://www.indeed.com/hire/c/info/what-is-a-phone-screen" TargetMode="External"/><Relationship Id="rId87" Type="http://schemas.openxmlformats.org/officeDocument/2006/relationships/hyperlink" Target="https://rocketjobs.pl/oferta-pracy/intent-tech-recruiter-freelance--warszawa-hr-recruitment-9e0cdcee" TargetMode="External"/><Relationship Id="rId88" Type="http://schemas.openxmlformats.org/officeDocument/2006/relationships/hyperlink" Target="https://www.gesetze-im-internet.de/jveg/__11.html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B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52"/>
    <col collapsed="false" customWidth="true" hidden="false" outlineLevel="0" max="7" min="3" style="0" width="18"/>
  </cols>
  <sheetData>
    <row r="1" customFormat="false" ht="17.35" hidden="false" customHeight="false" outlineLevel="0" collapsed="false">
      <c r="B1" s="1" t="s">
        <v>0</v>
      </c>
    </row>
    <row r="2" customFormat="false" ht="15" hidden="false" customHeight="false" outlineLevel="0" collapsed="false">
      <c r="B2" s="2" t="s">
        <v>1</v>
      </c>
    </row>
    <row r="4" customFormat="false" ht="15" hidden="false" customHeight="false" outlineLevel="0" collapsed="false">
      <c r="B4" s="2" t="s">
        <v>2</v>
      </c>
      <c r="C4" s="3" t="n">
        <f aca="false">Funnel!B9</f>
        <v>100</v>
      </c>
    </row>
    <row r="5" customFormat="false" ht="15" hidden="false" customHeight="false" outlineLevel="0" collapsed="false">
      <c r="B5" s="2" t="s">
        <v>3</v>
      </c>
      <c r="C5" s="4" t="n">
        <f aca="false">Budget!C12</f>
        <v>122500</v>
      </c>
    </row>
    <row r="6" customFormat="false" ht="15" hidden="false" customHeight="false" outlineLevel="0" collapsed="false">
      <c r="B6" s="2" t="s">
        <v>4</v>
      </c>
      <c r="C6" s="4" t="n">
        <f aca="false">Budget!C9</f>
        <v>102255.847555873</v>
      </c>
    </row>
    <row r="7" customFormat="false" ht="15" hidden="false" customHeight="false" outlineLevel="0" collapsed="false">
      <c r="B7" s="2" t="s">
        <v>5</v>
      </c>
      <c r="C7" s="4" t="n">
        <f aca="false">Budget!C12-Budget!C9</f>
        <v>20244.1524441265</v>
      </c>
    </row>
    <row r="8" customFormat="false" ht="15" hidden="false" customHeight="false" outlineLevel="0" collapsed="false">
      <c r="B8" s="2" t="s">
        <v>6</v>
      </c>
      <c r="C8" s="5" t="n">
        <f aca="false">Budget!C13</f>
        <v>100</v>
      </c>
    </row>
    <row r="9" customFormat="false" ht="15" hidden="false" customHeight="false" outlineLevel="0" collapsed="false">
      <c r="B9" s="2" t="str">
        <f aca="false">"Hires actually possible (≤ "&amp;Assumptions!$D$9&amp;" assessments/week)"</f>
        <v>Hires actually possible (≤ 55 assessments/week)</v>
      </c>
      <c r="C9" s="5" t="n">
        <f aca="false">MIN(Budget!C13,Funnel!B26)</f>
        <v>100</v>
      </c>
    </row>
    <row r="10" customFormat="false" ht="15" hidden="false" customHeight="false" outlineLevel="0" collapsed="false">
      <c r="B10" s="2" t="s">
        <v>7</v>
      </c>
      <c r="C10" s="4" t="n">
        <f aca="false">Budget!C14</f>
        <v>1022.55847555873</v>
      </c>
    </row>
    <row r="11" customFormat="false" ht="15" hidden="false" customHeight="false" outlineLevel="0" collapsed="false">
      <c r="B11" s="2" t="s">
        <v>8</v>
      </c>
      <c r="C11" s="3" t="n">
        <f aca="false">Funnel!B23</f>
        <v>307.973076082958</v>
      </c>
    </row>
    <row r="12" customFormat="false" ht="15" hidden="false" customHeight="false" outlineLevel="0" collapsed="false">
      <c r="B12" s="2" t="s">
        <v>9</v>
      </c>
      <c r="C12" s="3" t="n">
        <f aca="false">Funnel!B22</f>
        <v>314.285714285714</v>
      </c>
    </row>
    <row r="13" customFormat="false" ht="15" hidden="false" customHeight="false" outlineLevel="0" collapsed="false">
      <c r="B13" s="2" t="s">
        <v>10</v>
      </c>
      <c r="C13" s="6" t="n">
        <f aca="false">Funnel!B24</f>
        <v>0.979914332991232</v>
      </c>
    </row>
    <row r="14" customFormat="false" ht="15" hidden="false" customHeight="false" outlineLevel="0" collapsed="false">
      <c r="B14" s="2" t="s">
        <v>11</v>
      </c>
      <c r="C14" s="7" t="n">
        <f aca="false">Funnel!B19</f>
        <v>46350</v>
      </c>
    </row>
    <row r="15" customFormat="false" ht="15" hidden="false" customHeight="false" outlineLevel="0" collapsed="false">
      <c r="B15" s="2" t="s">
        <v>12</v>
      </c>
      <c r="C15" s="7" t="n">
        <f aca="false">Funnel!B20</f>
        <v>46343</v>
      </c>
    </row>
    <row r="16" customFormat="false" ht="15" hidden="false" customHeight="false" outlineLevel="0" collapsed="false">
      <c r="B16" s="2" t="s">
        <v>13</v>
      </c>
      <c r="C16" s="8" t="str">
        <f aca="false">IF(MAX(Funnel!H30:H33)&lt;=0,"–",INDEX(Funnel!A30:A33,MATCH(MAX(Funnel!H30:H33),Funnel!H30:H33,0))&amp;" (last hire costs €"&amp;TEXT(MAX(Funnel!H30:H33),"#,##0")&amp;")")</f>
        <v>Electricians (last hire costs €2,272)</v>
      </c>
    </row>
    <row r="17" customFormat="false" ht="15" hidden="false" customHeight="false" outlineLevel="0" collapsed="false">
      <c r="B17" s="2" t="s">
        <v>14</v>
      </c>
      <c r="C17" s="8" t="str">
        <f aca="false">Funnel!D49</f>
        <v>Qualified → signed (assessment pass rate) ×0.7</v>
      </c>
    </row>
    <row r="18" customFormat="false" ht="15" hidden="false" customHeight="false" outlineLevel="0" collapsed="false">
      <c r="B18" s="2" t="s">
        <v>15</v>
      </c>
      <c r="C18" s="5" t="n">
        <f aca="false">Budget!H46</f>
        <v>87.0578063312124</v>
      </c>
    </row>
    <row r="19" customFormat="false" ht="15" hidden="false" customHeight="false" outlineLevel="0" collapsed="false">
      <c r="B19" s="2" t="s">
        <v>16</v>
      </c>
      <c r="C19" s="8" t="str">
        <f aca="false">IF(((Assumptions!$D$10&lt;0)+(Assumptions!$D$10&gt;1)+(Assumptions!$D$52&lt;0)+(Assumptions!$D$52&gt;1)+(Assumptions!$D$50&lt;0)+(Assumptions!$D$50&gt;1)+(Assumptions!$D$64&lt;0)+(Assumptions!$D$64&gt;1)+(Assumptions!$D$157&lt;0)+(Assumptions!$D$157&gt;1)+(Assumptions!$D$158&lt;0)+(Assumptions!$D$158&gt;1)+(Assumptions!$D$163&lt;0)+(Assumptions!$D$163&gt;1)+(Assumptions!$D$168&lt;0)+(Assumptions!$D$168&gt;1)+(Assumptions!$D$170&lt;0)+(Assumptions!$D$170&gt;1)+(Assumptions!$D$174&lt;0)+(Assumptions!$D$174&gt;1)+(Assumptions!$D$93&lt;0)+(Assumptions!$D$93&gt;1)+(Assumptions!$D$94&lt;0)+(Assumptions!$D$94&gt;1)+(Assumptions!$D$95&lt;0)+(Assumptions!$D$95&gt;1)+(Assumptions!$D$89&lt;0)+(Assumptions!$D$89&gt;1)+(Assumptions!$D$91&lt;0)+(Assumptions!$D$91&gt;1)+(Assumptions!$D$29&lt;0)+(Assumptions!$D$29&gt;1)+(Assumptions!$D$30&lt;0)+(Assumptions!$D$30&gt;1)+(Assumptions!$D$31&lt;0)+(Assumptions!$D$31&gt;1)+(Assumptions!$D$32&lt;0)+(Assumptions!$D$32&gt;1)+(Assumptions!$D$33&lt;0)+(Assumptions!$D$33&gt;1)+(Assumptions!$D$34&lt;0)+(Assumptions!$D$34&gt;1)+(Assumptions!$D$35&lt;0)+(Assumptions!$D$35&gt;1)+(Assumptions!$D$36&lt;0)+(Assumptions!$D$36&gt;1)+(Assumptions!$D$37&lt;0)+(Assumptions!$D$37&gt;1)+(Assumptions!$D$38&lt;0)+(Assumptions!$D$38&gt;1)+(Assumptions!$D$39&lt;0)+(Assumptions!$D$39&gt;1)+(Assumptions!$D$40&lt;0)+(Assumptions!$D$40&gt;1)+(Assumptions!$D$41&lt;0)+(Assumptions!$D$41&gt;1)+(Assumptions!$D$42&lt;0)+(Assumptions!$D$42&gt;1)+(Assumptions!$D$43&lt;0)+(Assumptions!$D$43&gt;1)+(Assumptions!$D$44&lt;0)+(Assumptions!$D$44&gt;1)+(Assumptions!$D$53&lt;0)+(Assumptions!$D$53&gt;1)+(Assumptions!$D$54&lt;0)+(Assumptions!$D$54&gt;1)+(Assumptions!$D$55&lt;0)+(Assumptions!$D$55&gt;1)+(Assumptions!$D$56&lt;0)+(Assumptions!$D$56&gt;1)+(Assumptions!$D$57&lt;0)+(Assumptions!$D$57&gt;1)+(Assumptions!$D$58&lt;0)+(Assumptions!$D$58&gt;1)+(Assumptions!$D$59&lt;0)+(Assumptions!$D$59&gt;1)+(Assumptions!$D$60&lt;0)+(Assumptions!$D$60&gt;1)+(Assumptions!$D$61&lt;0)+(Assumptions!$D$61&gt;1)+(Assumptions!$D$62&lt;0)+(Assumptions!$D$62&gt;1)+(Assumptions!$D$63&lt;0)+(Assumptions!$D$63&gt;1)+(Assumptions!$D$72&lt;0)+(Assumptions!$D$72&gt;1)+(Assumptions!$D$73&lt;0)+(Assumptions!$D$73&gt;1)+(Assumptions!$D$74&lt;0)+(Assumptions!$D$74&gt;1)+(Assumptions!$D$75&lt;0)+(Assumptions!$D$75&gt;1)+(Assumptions!$D$96&lt;0)+(Assumptions!$D$96&gt;1)+(Assumptions!$D$99&lt;0)+(Assumptions!$D$99&gt;1)+(Assumptions!$D$100&lt;0)+(Assumptions!$D$100&gt;1)+(Assumptions!$D$101&lt;0)+(Assumptions!$D$101&gt;1)+(Assumptions!$D$102&lt;0)+(Assumptions!$D$102&gt;1)+(Assumptions!$D$108&lt;0)+(Assumptions!$D$108&gt;1)+(Assumptions!$D$109&lt;0)+(Assumptions!$D$109&gt;1)+(Assumptions!$D$110&lt;0)+(Assumptions!$D$110&gt;1)+(Assumptions!$D$111&lt;0)+(Assumptions!$D$111&gt;1)+(Assumptions!$D$112&lt;0)+(Assumptions!$D$112&gt;1)+(Assumptions!$D$113&lt;0)+(Assumptions!$D$113&gt;1)+(Assumptions!$D$115&lt;0)+(Assumptions!$D$115&gt;1)+(Assumptions!$D$121&lt;0)+(Assumptions!$D$121&gt;1)+(Assumptions!$D$122&lt;0)+(Assumptions!$D$122&gt;1)+(Assumptions!$D$123&lt;0)+(Assumptions!$D$123&gt;1))+((Assumptions!$D$9&lt;0)+(Assumptions!$D$11&lt;0)+(Assumptions!$D$12&lt;0)+(Assumptions!$D$13&lt;0)+(Assumptions!$D$14&lt;0)+(Assumptions!$D$15&lt;0)+(Assumptions!$D$19&lt;0)+(Assumptions!$D$21&lt;0)+(Assumptions!$D$22&lt;0)+(Assumptions!$D$23&lt;0)+(Assumptions!$D$24&lt;0)+(Assumptions!$D$25&lt;0)+(Assumptions!$D$49&lt;0)+(Assumptions!$D$51&lt;0)+(Assumptions!$D$68&lt;0)+(Assumptions!$D$69&lt;0)+(Assumptions!$D$70&lt;0)+(Assumptions!$D$71&lt;0)+(Assumptions!$D$76&lt;0)+(Assumptions!$D$77&lt;0)+(Assumptions!$D$78&lt;0)+(Assumptions!$D$79&lt;0)+(Assumptions!$D$83&lt;0)+(Assumptions!$D$84&lt;0)+(Assumptions!$D$85&lt;0)+(Assumptions!$D$86&lt;0)+(Assumptions!$D$87&lt;0)+(Assumptions!$D$88&lt;0)+(Assumptions!$D$90&lt;0)+(Assumptions!$D$92&lt;0)+(Assumptions!$D$97&lt;0)+(Assumptions!$D$98&lt;0)+(Assumptions!$D$103&lt;0)+(Assumptions!$D$114&lt;0)+(Assumptions!$D$116&lt;0)+(Assumptions!$D$117&lt;0)+(Assumptions!$D$118&lt;0)+(Assumptions!$D$119&lt;0)+(Assumptions!$D$120&lt;0)+(Assumptions!$D$124&lt;0)+(Assumptions!$D$125&lt;0)+(Assumptions!$D$126&lt;0)+(Assumptions!$D$153&lt;0)+(Assumptions!$D$154&lt;0)+(Assumptions!$D$155&lt;0)+(Assumptions!$D$156&lt;0)+(Assumptions!$D$159&lt;0)+(Assumptions!$D$160&lt;0)+(Assumptions!$D$161&lt;0)+(Assumptions!$D$162&lt;0)+(Assumptions!$D$164&lt;0)+(Assumptions!$D$165&lt;0)+(Assumptions!$D$166&lt;0)+(Assumptions!$D$167&lt;0)+(Assumptions!$D$169&lt;0)+(Assumptions!$D$171&lt;0)+(Assumptions!$D$172&lt;0)+(Assumptions!$D$173&lt;0)+(Assumptions!$D$175&lt;0)+(Assumptions!$D$176&lt;0)+(Assumptions!$D$177&lt;0)+(Assumptions!$D$178&lt;0)+(Assumptions!$D$179&lt;0)+(Assumptions!$D$180&lt;0)+(Assumptions!$D$181&lt;0)+(Assumptions!$D$182&lt;0))+((INT(Assumptions!$D$19)&lt;&gt;Assumptions!$D$19)+(INT(Assumptions!$D$21)&lt;&gt;Assumptions!$D$21)+(INT(Assumptions!$D$22)&lt;&gt;Assumptions!$D$22)+(INT(Assumptions!$D$23)&lt;&gt;Assumptions!$D$23)+(INT(Assumptions!$D$24)&lt;&gt;Assumptions!$D$24)+(INT(Assumptions!$D$25)&lt;&gt;Assumptions!$D$25))+SUMPRODUCT((Assumptions!$E$130:$E$149&lt;0)+(Assumptions!$G$130:$G$149&lt;0)+(Assumptions!$G$130:$G$149&gt;1)+(Assumptions!$H$130:$H$149&lt;0)+(Assumptions!$I$130:$I$149&lt;0)+(Assumptions!$J$130:$J$149&lt;0)+(Assumptions!$F$130:$F$149&lt;0)+((Assumptions!$D$130:$D$149="CPC")*(Assumptions!$F$130:$F$149&gt;1)))+(Assumptions!$D$48&lt;0)+(Assumptions!$D$48&gt;=1)+(Assumptions!$D$20&lt;Assumptions!$D$7)+(Assumptions!$D$20&gt;Assumptions!$D$8)+(Assumptions!$D$8&lt;=Assumptions!$D$7)+(Assumptions!$D$91&gt;=Assumptions!$D$89)+(Assumptions!$D$92&lt;Assumptions!$D$90)=0,"✓ all inputs valid","✗ invalid input: "&amp;IF(((Assumptions!$D$10&lt;0)+(Assumptions!$D$10&gt;1)+(Assumptions!$D$52&lt;0)+(Assumptions!$D$52&gt;1)+(Assumptions!$D$50&lt;0)+(Assumptions!$D$50&gt;1)+(Assumptions!$D$64&lt;0)+(Assumptions!$D$64&gt;1)+(Assumptions!$D$157&lt;0)+(Assumptions!$D$157&gt;1)+(Assumptions!$D$158&lt;0)+(Assumptions!$D$158&gt;1)+(Assumptions!$D$163&lt;0)+(Assumptions!$D$163&gt;1)+(Assumptions!$D$168&lt;0)+(Assumptions!$D$168&gt;1)+(Assumptions!$D$170&lt;0)+(Assumptions!$D$170&gt;1)+(Assumptions!$D$174&lt;0)+(Assumptions!$D$174&gt;1)+(Assumptions!$D$93&lt;0)+(Assumptions!$D$93&gt;1)+(Assumptions!$D$94&lt;0)+(Assumptions!$D$94&gt;1)+(Assumptions!$D$95&lt;0)+(Assumptions!$D$95&gt;1)+(Assumptions!$D$89&lt;0)+(Assumptions!$D$89&gt;1)+(Assumptions!$D$91&lt;0)+(Assumptions!$D$91&gt;1)+(Assumptions!$D$29&lt;0)+(Assumptions!$D$29&gt;1)+(Assumptions!$D$30&lt;0)+(Assumptions!$D$30&gt;1)+(Assumptions!$D$31&lt;0)+(Assumptions!$D$31&gt;1)+(Assumptions!$D$32&lt;0)+(Assumptions!$D$32&gt;1)+(Assumptions!$D$33&lt;0)+(Assumptions!$D$33&gt;1)+(Assumptions!$D$34&lt;0)+(Assumptions!$D$34&gt;1)+(Assumptions!$D$35&lt;0)+(Assumptions!$D$35&gt;1)+(Assumptions!$D$36&lt;0)+(Assumptions!$D$36&gt;1)+(Assumptions!$D$37&lt;0)+(Assumptions!$D$37&gt;1)+(Assumptions!$D$38&lt;0)+(Assumptions!$D$38&gt;1)+(Assumptions!$D$39&lt;0)+(Assumptions!$D$39&gt;1)+(Assumptions!$D$40&lt;0)+(Assumptions!$D$40&gt;1)+(Assumptions!$D$41&lt;0)+(Assumptions!$D$41&gt;1)+(Assumptions!$D$42&lt;0)+(Assumptions!$D$42&gt;1)+(Assumptions!$D$43&lt;0)+(Assumptions!$D$43&gt;1)+(Assumptions!$D$44&lt;0)+(Assumptions!$D$44&gt;1)+(Assumptions!$D$53&lt;0)+(Assumptions!$D$53&gt;1)+(Assumptions!$D$54&lt;0)+(Assumptions!$D$54&gt;1)+(Assumptions!$D$55&lt;0)+(Assumptions!$D$55&gt;1)+(Assumptions!$D$56&lt;0)+(Assumptions!$D$56&gt;1)+(Assumptions!$D$57&lt;0)+(Assumptions!$D$57&gt;1)+(Assumptions!$D$58&lt;0)+(Assumptions!$D$58&gt;1)+(Assumptions!$D$59&lt;0)+(Assumptions!$D$59&gt;1)+(Assumptions!$D$60&lt;0)+(Assumptions!$D$60&gt;1)+(Assumptions!$D$61&lt;0)+(Assumptions!$D$61&gt;1)+(Assumptions!$D$62&lt;0)+(Assumptions!$D$62&gt;1)+(Assumptions!$D$63&lt;0)+(Assumptions!$D$63&gt;1)+(Assumptions!$D$72&lt;0)+(Assumptions!$D$72&gt;1)+(Assumptions!$D$73&lt;0)+(Assumptions!$D$73&gt;1)+(Assumptions!$D$74&lt;0)+(Assumptions!$D$74&gt;1)+(Assumptions!$D$75&lt;0)+(Assumptions!$D$75&gt;1)+(Assumptions!$D$96&lt;0)+(Assumptions!$D$96&gt;1)+(Assumptions!$D$99&lt;0)+(Assumptions!$D$99&gt;1)+(Assumptions!$D$100&lt;0)+(Assumptions!$D$100&gt;1)+(Assumptions!$D$101&lt;0)+(Assumptions!$D$101&gt;1)+(Assumptions!$D$102&lt;0)+(Assumptions!$D$102&gt;1)+(Assumptions!$D$108&lt;0)+(Assumptions!$D$108&gt;1)+(Assumptions!$D$109&lt;0)+(Assumptions!$D$109&gt;1)+(Assumptions!$D$110&lt;0)+(Assumptions!$D$110&gt;1)+(Assumptions!$D$111&lt;0)+(Assumptions!$D$111&gt;1)+(Assumptions!$D$112&lt;0)+(Assumptions!$D$112&gt;1)+(Assumptions!$D$113&lt;0)+(Assumptions!$D$113&gt;1)+(Assumptions!$D$115&lt;0)+(Assumptions!$D$115&gt;1)+(Assumptions!$D$121&lt;0)+(Assumptions!$D$121&gt;1)+(Assumptions!$D$122&lt;0)+(Assumptions!$D$122&gt;1)+(Assumptions!$D$123&lt;0)+(Assumptions!$D$123&gt;1))&gt;0,"a share/rate is outside 0–100%; ","")&amp;IF(((Assumptions!$D$9&lt;0)+(Assumptions!$D$11&lt;0)+(Assumptions!$D$12&lt;0)+(Assumptions!$D$13&lt;0)+(Assumptions!$D$14&lt;0)+(Assumptions!$D$15&lt;0)+(Assumptions!$D$19&lt;0)+(Assumptions!$D$21&lt;0)+(Assumptions!$D$22&lt;0)+(Assumptions!$D$23&lt;0)+(Assumptions!$D$24&lt;0)+(Assumptions!$D$25&lt;0)+(Assumptions!$D$49&lt;0)+(Assumptions!$D$51&lt;0)+(Assumptions!$D$68&lt;0)+(Assumptions!$D$69&lt;0)+(Assumptions!$D$70&lt;0)+(Assumptions!$D$71&lt;0)+(Assumptions!$D$76&lt;0)+(Assumptions!$D$77&lt;0)+(Assumptions!$D$78&lt;0)+(Assumptions!$D$79&lt;0)+(Assumptions!$D$83&lt;0)+(Assumptions!$D$84&lt;0)+(Assumptions!$D$85&lt;0)+(Assumptions!$D$86&lt;0)+(Assumptions!$D$87&lt;0)+(Assumptions!$D$88&lt;0)+(Assumptions!$D$90&lt;0)+(Assumptions!$D$92&lt;0)+(Assumptions!$D$97&lt;0)+(Assumptions!$D$98&lt;0)+(Assumptions!$D$103&lt;0)+(Assumptions!$D$114&lt;0)+(Assumptions!$D$116&lt;0)+(Assumptions!$D$117&lt;0)+(Assumptions!$D$118&lt;0)+(Assumptions!$D$119&lt;0)+(Assumptions!$D$120&lt;0)+(Assumptions!$D$124&lt;0)+(Assumptions!$D$125&lt;0)+(Assumptions!$D$126&lt;0)+(Assumptions!$D$153&lt;0)+(Assumptions!$D$154&lt;0)+(Assumptions!$D$155&lt;0)+(Assumptions!$D$156&lt;0)+(Assumptions!$D$159&lt;0)+(Assumptions!$D$160&lt;0)+(Assumptions!$D$161&lt;0)+(Assumptions!$D$162&lt;0)+(Assumptions!$D$164&lt;0)+(Assumptions!$D$165&lt;0)+(Assumptions!$D$166&lt;0)+(Assumptions!$D$167&lt;0)+(Assumptions!$D$169&lt;0)+(Assumptions!$D$171&lt;0)+(Assumptions!$D$172&lt;0)+(Assumptions!$D$173&lt;0)+(Assumptions!$D$175&lt;0)+(Assumptions!$D$176&lt;0)+(Assumptions!$D$177&lt;0)+(Assumptions!$D$178&lt;0)+(Assumptions!$D$179&lt;0)+(Assumptions!$D$180&lt;0)+(Assumptions!$D$181&lt;0)+(Assumptions!$D$182&lt;0))&gt;0,"a count, cost or day value is negative; ","")&amp;IF(((INT(Assumptions!$D$19)&lt;&gt;Assumptions!$D$19)+(INT(Assumptions!$D$21)&lt;&gt;Assumptions!$D$21)+(INT(Assumptions!$D$22)&lt;&gt;Assumptions!$D$22)+(INT(Assumptions!$D$23)&lt;&gt;Assumptions!$D$23)+(INT(Assumptions!$D$24)&lt;&gt;Assumptions!$D$24)+(INT(Assumptions!$D$25)&lt;&gt;Assumptions!$D$25))&gt;0,"day inputs (T0, T2–T6) must be whole days; ","")&amp;IF(SUMPRODUCT((Assumptions!$E$130:$E$149&lt;0)+(Assumptions!$G$130:$G$149&lt;0)+(Assumptions!$G$130:$G$149&gt;1)+(Assumptions!$H$130:$H$149&lt;0)+(Assumptions!$I$130:$I$149&lt;0)+(Assumptions!$J$130:$J$149&lt;0)+(Assumptions!$F$130:$F$149&lt;0)+((Assumptions!$D$130:$D$149="CPC")*(Assumptions!$F$130:$F$149&gt;1)))&gt;0,"a channel input (Assumptions §7) is out of range; ","")&amp;IF(OR(Assumptions!$D$48&lt;0,Assumptions!$D$48&gt;=1),"reserve share must be 0–99%; ","")&amp;IF(OR(Assumptions!$D$20&lt;Assumptions!$D$7,Assumptions!$D$20&gt;Assumptions!$D$8),"last signing date must fall inside the campaign; ","")&amp;IF(Assumptions!$D$8&lt;=Assumptions!$D$7,"campaign end must be after its start; ","")&amp;IF(OR(Assumptions!$D$91&gt;=Assumptions!$D$89,Assumptions!$D$92&lt;Assumptions!$D$90),"initiative kill thresholds must sit below pass thresholds (TK1 &lt; TP1, TK2 ≥ TP2); ",""))</f>
        <v>✓ all inputs valid</v>
      </c>
    </row>
    <row r="20" customFormat="false" ht="15" hidden="false" customHeight="false" outlineLevel="0" collapsed="false">
      <c r="B20" s="2" t="s">
        <v>17</v>
      </c>
      <c r="C20" s="8" t="str">
        <f aca="false">Weekly!S15</f>
        <v>✓ ties to plan</v>
      </c>
    </row>
    <row r="22" customFormat="false" ht="15" hidden="false" customHeight="true" outlineLevel="0" collapsed="false">
      <c r="B22" s="9" t="s">
        <v>18</v>
      </c>
      <c r="C22" s="9"/>
      <c r="D22" s="9"/>
      <c r="E22" s="9"/>
      <c r="F22" s="9"/>
      <c r="G22" s="9"/>
    </row>
    <row r="23" customFormat="false" ht="15" hidden="false" customHeight="false" outlineLevel="0" collapsed="false">
      <c r="B23" s="9"/>
      <c r="C23" s="9"/>
      <c r="D23" s="9"/>
      <c r="E23" s="9"/>
      <c r="F23" s="9"/>
      <c r="G23" s="9"/>
    </row>
  </sheetData>
  <mergeCells count="1">
    <mergeCell ref="B22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C000"/>
    <pageSetUpPr fitToPage="false"/>
  </sheetPr>
  <dimension ref="A1:L18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4" min="3" style="0" width="14"/>
    <col collapsed="false" customWidth="true" hidden="false" outlineLevel="0" max="5" min="5" style="0" width="12"/>
    <col collapsed="false" customWidth="true" hidden="false" outlineLevel="0" max="6" min="6" style="0" width="15"/>
    <col collapsed="false" customWidth="true" hidden="false" outlineLevel="0" max="7" min="7" style="0" width="95"/>
    <col collapsed="false" customWidth="true" hidden="false" outlineLevel="0" max="8" min="8" style="0" width="16"/>
    <col collapsed="false" customWidth="true" hidden="false" outlineLevel="0" max="9" min="9" style="0" width="14"/>
    <col collapsed="false" customWidth="true" hidden="false" outlineLevel="0" max="10" min="10" style="0" width="12"/>
    <col collapsed="false" customWidth="true" hidden="false" outlineLevel="0" max="11" min="11" style="0" width="14"/>
    <col collapsed="false" customWidth="true" hidden="false" outlineLevel="0" max="12" min="12" style="0" width="95"/>
  </cols>
  <sheetData>
    <row r="1" customFormat="false" ht="17.35" hidden="false" customHeight="false" outlineLevel="0" collapsed="false">
      <c r="A1" s="1" t="s">
        <v>19</v>
      </c>
    </row>
    <row r="2" customFormat="false" ht="15" hidden="false" customHeight="false" outlineLevel="0" collapsed="false">
      <c r="A2" s="2" t="s">
        <v>20</v>
      </c>
    </row>
    <row r="5" customFormat="false" ht="15" hidden="false" customHeight="false" outlineLevel="0" collapsed="false">
      <c r="A5" s="10" t="s">
        <v>21</v>
      </c>
      <c r="B5" s="11"/>
      <c r="C5" s="11"/>
      <c r="D5" s="11"/>
      <c r="E5" s="11"/>
      <c r="F5" s="11"/>
      <c r="G5" s="11"/>
    </row>
    <row r="6" customFormat="false" ht="15" hidden="false" customHeight="false" outlineLevel="0" collapsed="false">
      <c r="A6" s="12" t="s">
        <v>22</v>
      </c>
      <c r="B6" s="12" t="s">
        <v>23</v>
      </c>
      <c r="C6" s="12" t="s">
        <v>24</v>
      </c>
      <c r="D6" s="12" t="s">
        <v>25</v>
      </c>
      <c r="E6" s="12" t="s">
        <v>26</v>
      </c>
      <c r="F6" s="12" t="s">
        <v>27</v>
      </c>
      <c r="G6" s="12" t="s">
        <v>28</v>
      </c>
    </row>
    <row r="7" customFormat="false" ht="15" hidden="false" customHeight="false" outlineLevel="0" collapsed="false">
      <c r="A7" s="2" t="s">
        <v>29</v>
      </c>
      <c r="B7" s="13" t="s">
        <v>30</v>
      </c>
      <c r="C7" s="2" t="s">
        <v>31</v>
      </c>
      <c r="D7" s="14" t="n">
        <v>46315</v>
      </c>
      <c r="E7" s="2" t="s">
        <v>32</v>
      </c>
      <c r="F7" s="2" t="s">
        <v>33</v>
      </c>
      <c r="G7" s="13" t="s">
        <v>34</v>
      </c>
    </row>
    <row r="8" customFormat="false" ht="15" hidden="false" customHeight="false" outlineLevel="0" collapsed="false">
      <c r="A8" s="2" t="s">
        <v>35</v>
      </c>
      <c r="B8" s="13" t="s">
        <v>36</v>
      </c>
      <c r="C8" s="2" t="s">
        <v>31</v>
      </c>
      <c r="D8" s="14" t="n">
        <v>46387</v>
      </c>
      <c r="E8" s="2" t="s">
        <v>32</v>
      </c>
      <c r="F8" s="2" t="s">
        <v>33</v>
      </c>
      <c r="G8" s="13" t="s">
        <v>34</v>
      </c>
    </row>
    <row r="9" customFormat="false" ht="26.85" hidden="false" customHeight="false" outlineLevel="0" collapsed="false">
      <c r="A9" s="2" t="s">
        <v>37</v>
      </c>
      <c r="B9" s="13" t="s">
        <v>38</v>
      </c>
      <c r="C9" s="2" t="s">
        <v>39</v>
      </c>
      <c r="D9" s="15" t="n">
        <v>55</v>
      </c>
      <c r="E9" s="2" t="s">
        <v>40</v>
      </c>
      <c r="F9" s="2" t="s">
        <v>33</v>
      </c>
      <c r="G9" s="13" t="s">
        <v>34</v>
      </c>
    </row>
    <row r="10" customFormat="false" ht="26.85" hidden="false" customHeight="false" outlineLevel="0" collapsed="false">
      <c r="A10" s="2" t="s">
        <v>41</v>
      </c>
      <c r="B10" s="13" t="s">
        <v>42</v>
      </c>
      <c r="C10" s="2" t="s">
        <v>43</v>
      </c>
      <c r="D10" s="16" t="n">
        <v>0.4</v>
      </c>
      <c r="E10" s="2" t="s">
        <v>44</v>
      </c>
      <c r="F10" s="2" t="s">
        <v>33</v>
      </c>
      <c r="G10" s="17" t="s">
        <v>45</v>
      </c>
    </row>
    <row r="11" customFormat="false" ht="15" hidden="false" customHeight="false" outlineLevel="0" collapsed="false">
      <c r="A11" s="2" t="s">
        <v>46</v>
      </c>
      <c r="B11" s="13" t="s">
        <v>47</v>
      </c>
      <c r="C11" s="2" t="s">
        <v>48</v>
      </c>
      <c r="D11" s="15" t="n">
        <v>30</v>
      </c>
      <c r="E11" s="2" t="s">
        <v>49</v>
      </c>
      <c r="F11" s="2" t="s">
        <v>33</v>
      </c>
      <c r="G11" s="13" t="s">
        <v>34</v>
      </c>
    </row>
    <row r="12" customFormat="false" ht="15" hidden="false" customHeight="false" outlineLevel="0" collapsed="false">
      <c r="A12" s="2" t="s">
        <v>50</v>
      </c>
      <c r="B12" s="13" t="s">
        <v>47</v>
      </c>
      <c r="C12" s="2" t="s">
        <v>43</v>
      </c>
      <c r="D12" s="15" t="n">
        <v>45</v>
      </c>
      <c r="E12" s="2" t="s">
        <v>49</v>
      </c>
      <c r="F12" s="2" t="s">
        <v>33</v>
      </c>
      <c r="G12" s="13" t="s">
        <v>34</v>
      </c>
    </row>
    <row r="13" customFormat="false" ht="15" hidden="false" customHeight="false" outlineLevel="0" collapsed="false">
      <c r="A13" s="2" t="s">
        <v>51</v>
      </c>
      <c r="B13" s="13" t="s">
        <v>47</v>
      </c>
      <c r="C13" s="2" t="s">
        <v>52</v>
      </c>
      <c r="D13" s="15" t="n">
        <v>15</v>
      </c>
      <c r="E13" s="2" t="s">
        <v>49</v>
      </c>
      <c r="F13" s="2" t="s">
        <v>33</v>
      </c>
      <c r="G13" s="13" t="s">
        <v>34</v>
      </c>
    </row>
    <row r="14" customFormat="false" ht="15" hidden="false" customHeight="false" outlineLevel="0" collapsed="false">
      <c r="A14" s="2" t="s">
        <v>53</v>
      </c>
      <c r="B14" s="13" t="s">
        <v>47</v>
      </c>
      <c r="C14" s="2" t="s">
        <v>54</v>
      </c>
      <c r="D14" s="15" t="n">
        <v>10</v>
      </c>
      <c r="E14" s="2" t="s">
        <v>49</v>
      </c>
      <c r="F14" s="2" t="s">
        <v>33</v>
      </c>
      <c r="G14" s="13" t="s">
        <v>34</v>
      </c>
    </row>
    <row r="15" customFormat="false" ht="39.55" hidden="false" customHeight="false" outlineLevel="0" collapsed="false">
      <c r="A15" s="2" t="s">
        <v>55</v>
      </c>
      <c r="B15" s="13" t="s">
        <v>56</v>
      </c>
      <c r="C15" s="2" t="s">
        <v>48</v>
      </c>
      <c r="D15" s="15" t="n">
        <v>2</v>
      </c>
      <c r="E15" s="2" t="s">
        <v>57</v>
      </c>
      <c r="F15" s="2" t="s">
        <v>33</v>
      </c>
      <c r="G15" s="17" t="s">
        <v>58</v>
      </c>
    </row>
    <row r="17" customFormat="false" ht="15" hidden="false" customHeight="false" outlineLevel="0" collapsed="false">
      <c r="A17" s="10" t="s">
        <v>59</v>
      </c>
      <c r="B17" s="11"/>
      <c r="C17" s="11"/>
      <c r="D17" s="11"/>
      <c r="E17" s="11"/>
      <c r="F17" s="11"/>
      <c r="G17" s="11"/>
    </row>
    <row r="18" customFormat="false" ht="15" hidden="false" customHeight="false" outlineLevel="0" collapsed="false">
      <c r="A18" s="12" t="s">
        <v>22</v>
      </c>
      <c r="B18" s="12" t="s">
        <v>23</v>
      </c>
      <c r="C18" s="12" t="s">
        <v>24</v>
      </c>
      <c r="D18" s="12" t="s">
        <v>25</v>
      </c>
      <c r="E18" s="12" t="s">
        <v>26</v>
      </c>
      <c r="F18" s="12" t="s">
        <v>27</v>
      </c>
      <c r="G18" s="12" t="s">
        <v>28</v>
      </c>
    </row>
    <row r="19" customFormat="false" ht="52.2" hidden="false" customHeight="false" outlineLevel="0" collapsed="false">
      <c r="A19" s="2" t="s">
        <v>60</v>
      </c>
      <c r="B19" s="13" t="s">
        <v>61</v>
      </c>
      <c r="C19" s="2" t="s">
        <v>31</v>
      </c>
      <c r="D19" s="15" t="n">
        <v>2</v>
      </c>
      <c r="E19" s="2" t="s">
        <v>62</v>
      </c>
      <c r="F19" s="2" t="s">
        <v>63</v>
      </c>
      <c r="G19" s="13" t="s">
        <v>64</v>
      </c>
    </row>
    <row r="20" customFormat="false" ht="15" hidden="false" customHeight="false" outlineLevel="0" collapsed="false">
      <c r="A20" s="2" t="s">
        <v>65</v>
      </c>
      <c r="B20" s="13" t="s">
        <v>66</v>
      </c>
      <c r="C20" s="2" t="s">
        <v>31</v>
      </c>
      <c r="D20" s="14" t="n">
        <v>46374</v>
      </c>
      <c r="E20" s="2" t="s">
        <v>32</v>
      </c>
      <c r="F20" s="2" t="s">
        <v>63</v>
      </c>
      <c r="G20" s="17" t="s">
        <v>67</v>
      </c>
    </row>
    <row r="21" customFormat="false" ht="26.85" hidden="false" customHeight="false" outlineLevel="0" collapsed="false">
      <c r="A21" s="2" t="s">
        <v>68</v>
      </c>
      <c r="B21" s="13" t="s">
        <v>69</v>
      </c>
      <c r="C21" s="2" t="s">
        <v>31</v>
      </c>
      <c r="D21" s="15" t="n">
        <v>6</v>
      </c>
      <c r="E21" s="2" t="s">
        <v>62</v>
      </c>
      <c r="F21" s="2" t="s">
        <v>70</v>
      </c>
      <c r="G21" s="17" t="s">
        <v>71</v>
      </c>
    </row>
    <row r="22" customFormat="false" ht="26.85" hidden="false" customHeight="false" outlineLevel="0" collapsed="false">
      <c r="A22" s="2" t="s">
        <v>72</v>
      </c>
      <c r="B22" s="13" t="s">
        <v>73</v>
      </c>
      <c r="C22" s="2" t="s">
        <v>31</v>
      </c>
      <c r="D22" s="15" t="n">
        <v>8</v>
      </c>
      <c r="E22" s="2" t="s">
        <v>62</v>
      </c>
      <c r="F22" s="2" t="s">
        <v>63</v>
      </c>
      <c r="G22" s="17" t="s">
        <v>74</v>
      </c>
    </row>
    <row r="23" customFormat="false" ht="15" hidden="false" customHeight="false" outlineLevel="0" collapsed="false">
      <c r="A23" s="2" t="s">
        <v>75</v>
      </c>
      <c r="B23" s="13" t="s">
        <v>76</v>
      </c>
      <c r="C23" s="2" t="s">
        <v>31</v>
      </c>
      <c r="D23" s="15" t="n">
        <v>3</v>
      </c>
      <c r="E23" s="2" t="s">
        <v>62</v>
      </c>
      <c r="F23" s="2" t="s">
        <v>63</v>
      </c>
      <c r="G23" s="13" t="s">
        <v>77</v>
      </c>
    </row>
    <row r="24" customFormat="false" ht="15" hidden="false" customHeight="false" outlineLevel="0" collapsed="false">
      <c r="A24" s="2" t="s">
        <v>78</v>
      </c>
      <c r="B24" s="13" t="s">
        <v>79</v>
      </c>
      <c r="C24" s="2" t="s">
        <v>31</v>
      </c>
      <c r="D24" s="15" t="n">
        <v>7</v>
      </c>
      <c r="E24" s="2" t="s">
        <v>62</v>
      </c>
      <c r="F24" s="2" t="s">
        <v>63</v>
      </c>
      <c r="G24" s="17" t="s">
        <v>80</v>
      </c>
    </row>
    <row r="25" customFormat="false" ht="26.85" hidden="false" customHeight="false" outlineLevel="0" collapsed="false">
      <c r="A25" s="2" t="s">
        <v>81</v>
      </c>
      <c r="B25" s="13" t="s">
        <v>82</v>
      </c>
      <c r="C25" s="2" t="s">
        <v>54</v>
      </c>
      <c r="D25" s="15" t="n">
        <v>7</v>
      </c>
      <c r="E25" s="2" t="s">
        <v>62</v>
      </c>
      <c r="F25" s="2" t="s">
        <v>63</v>
      </c>
      <c r="G25" s="13" t="s">
        <v>83</v>
      </c>
    </row>
    <row r="27" customFormat="false" ht="15" hidden="false" customHeight="false" outlineLevel="0" collapsed="false">
      <c r="A27" s="10" t="s">
        <v>84</v>
      </c>
      <c r="B27" s="11"/>
      <c r="C27" s="11"/>
      <c r="D27" s="11"/>
      <c r="E27" s="11"/>
      <c r="F27" s="11"/>
      <c r="G27" s="11"/>
    </row>
    <row r="28" customFormat="false" ht="15" hidden="false" customHeight="false" outlineLevel="0" collapsed="false">
      <c r="A28" s="12" t="s">
        <v>22</v>
      </c>
      <c r="B28" s="12" t="s">
        <v>23</v>
      </c>
      <c r="C28" s="12" t="s">
        <v>24</v>
      </c>
      <c r="D28" s="12" t="s">
        <v>25</v>
      </c>
      <c r="E28" s="12" t="s">
        <v>26</v>
      </c>
      <c r="F28" s="12" t="s">
        <v>27</v>
      </c>
      <c r="G28" s="12" t="s">
        <v>28</v>
      </c>
    </row>
    <row r="29" customFormat="false" ht="15" hidden="false" customHeight="false" outlineLevel="0" collapsed="false">
      <c r="A29" s="2" t="s">
        <v>85</v>
      </c>
      <c r="B29" s="13" t="s">
        <v>86</v>
      </c>
      <c r="C29" s="2" t="s">
        <v>48</v>
      </c>
      <c r="D29" s="16" t="n">
        <v>0.25</v>
      </c>
      <c r="E29" s="2" t="s">
        <v>44</v>
      </c>
      <c r="F29" s="2" t="s">
        <v>70</v>
      </c>
      <c r="G29" s="17" t="s">
        <v>87</v>
      </c>
    </row>
    <row r="30" customFormat="false" ht="15" hidden="false" customHeight="false" outlineLevel="0" collapsed="false">
      <c r="A30" s="2" t="s">
        <v>88</v>
      </c>
      <c r="B30" s="13" t="s">
        <v>86</v>
      </c>
      <c r="C30" s="2" t="s">
        <v>43</v>
      </c>
      <c r="D30" s="16" t="n">
        <v>0.25</v>
      </c>
      <c r="E30" s="2" t="s">
        <v>44</v>
      </c>
      <c r="F30" s="2" t="s">
        <v>70</v>
      </c>
      <c r="G30" s="17" t="s">
        <v>87</v>
      </c>
    </row>
    <row r="31" customFormat="false" ht="15" hidden="false" customHeight="false" outlineLevel="0" collapsed="false">
      <c r="A31" s="2" t="s">
        <v>89</v>
      </c>
      <c r="B31" s="13" t="s">
        <v>86</v>
      </c>
      <c r="C31" s="2" t="s">
        <v>52</v>
      </c>
      <c r="D31" s="16" t="n">
        <v>0.25</v>
      </c>
      <c r="E31" s="2" t="s">
        <v>44</v>
      </c>
      <c r="F31" s="2" t="s">
        <v>70</v>
      </c>
      <c r="G31" s="17" t="s">
        <v>87</v>
      </c>
    </row>
    <row r="32" customFormat="false" ht="15" hidden="false" customHeight="false" outlineLevel="0" collapsed="false">
      <c r="A32" s="2" t="s">
        <v>90</v>
      </c>
      <c r="B32" s="13" t="s">
        <v>86</v>
      </c>
      <c r="C32" s="2" t="s">
        <v>54</v>
      </c>
      <c r="D32" s="16" t="n">
        <v>0.23</v>
      </c>
      <c r="E32" s="2" t="s">
        <v>44</v>
      </c>
      <c r="F32" s="2" t="s">
        <v>70</v>
      </c>
      <c r="G32" s="17" t="s">
        <v>87</v>
      </c>
    </row>
    <row r="33" customFormat="false" ht="15" hidden="false" customHeight="false" outlineLevel="0" collapsed="false">
      <c r="A33" s="2" t="s">
        <v>91</v>
      </c>
      <c r="B33" s="13" t="s">
        <v>92</v>
      </c>
      <c r="C33" s="2" t="s">
        <v>48</v>
      </c>
      <c r="D33" s="16" t="n">
        <v>0.5</v>
      </c>
      <c r="E33" s="2" t="s">
        <v>44</v>
      </c>
      <c r="F33" s="2" t="s">
        <v>63</v>
      </c>
      <c r="G33" s="17" t="s">
        <v>93</v>
      </c>
    </row>
    <row r="34" customFormat="false" ht="15" hidden="false" customHeight="false" outlineLevel="0" collapsed="false">
      <c r="A34" s="2" t="s">
        <v>94</v>
      </c>
      <c r="B34" s="13" t="s">
        <v>92</v>
      </c>
      <c r="C34" s="2" t="s">
        <v>43</v>
      </c>
      <c r="D34" s="16" t="n">
        <v>0.55</v>
      </c>
      <c r="E34" s="2" t="s">
        <v>44</v>
      </c>
      <c r="F34" s="2" t="s">
        <v>63</v>
      </c>
      <c r="G34" s="17" t="s">
        <v>95</v>
      </c>
    </row>
    <row r="35" customFormat="false" ht="15" hidden="false" customHeight="false" outlineLevel="0" collapsed="false">
      <c r="A35" s="2" t="s">
        <v>96</v>
      </c>
      <c r="B35" s="13" t="s">
        <v>92</v>
      </c>
      <c r="C35" s="2" t="s">
        <v>52</v>
      </c>
      <c r="D35" s="16" t="n">
        <v>0.45</v>
      </c>
      <c r="E35" s="2" t="s">
        <v>44</v>
      </c>
      <c r="F35" s="2" t="s">
        <v>63</v>
      </c>
      <c r="G35" s="17" t="s">
        <v>97</v>
      </c>
    </row>
    <row r="36" customFormat="false" ht="15" hidden="false" customHeight="false" outlineLevel="0" collapsed="false">
      <c r="A36" s="2" t="s">
        <v>98</v>
      </c>
      <c r="B36" s="13" t="s">
        <v>92</v>
      </c>
      <c r="C36" s="2" t="s">
        <v>54</v>
      </c>
      <c r="D36" s="16" t="n">
        <v>0.4</v>
      </c>
      <c r="E36" s="2" t="s">
        <v>44</v>
      </c>
      <c r="F36" s="2" t="s">
        <v>63</v>
      </c>
      <c r="G36" s="17" t="s">
        <v>99</v>
      </c>
    </row>
    <row r="37" customFormat="false" ht="26.85" hidden="false" customHeight="false" outlineLevel="0" collapsed="false">
      <c r="A37" s="2" t="s">
        <v>100</v>
      </c>
      <c r="B37" s="13" t="s">
        <v>101</v>
      </c>
      <c r="C37" s="2" t="s">
        <v>48</v>
      </c>
      <c r="D37" s="16" t="n">
        <v>0.9</v>
      </c>
      <c r="E37" s="2" t="s">
        <v>44</v>
      </c>
      <c r="F37" s="2" t="s">
        <v>63</v>
      </c>
      <c r="G37" s="13" t="s">
        <v>102</v>
      </c>
    </row>
    <row r="38" customFormat="false" ht="26.85" hidden="false" customHeight="false" outlineLevel="0" collapsed="false">
      <c r="A38" s="2" t="s">
        <v>103</v>
      </c>
      <c r="B38" s="13" t="s">
        <v>101</v>
      </c>
      <c r="C38" s="2" t="s">
        <v>43</v>
      </c>
      <c r="D38" s="16" t="n">
        <v>0.9</v>
      </c>
      <c r="E38" s="2" t="s">
        <v>44</v>
      </c>
      <c r="F38" s="2" t="s">
        <v>63</v>
      </c>
      <c r="G38" s="13" t="s">
        <v>102</v>
      </c>
    </row>
    <row r="39" customFormat="false" ht="26.85" hidden="false" customHeight="false" outlineLevel="0" collapsed="false">
      <c r="A39" s="2" t="s">
        <v>104</v>
      </c>
      <c r="B39" s="13" t="s">
        <v>101</v>
      </c>
      <c r="C39" s="2" t="s">
        <v>52</v>
      </c>
      <c r="D39" s="16" t="n">
        <v>0.9</v>
      </c>
      <c r="E39" s="2" t="s">
        <v>44</v>
      </c>
      <c r="F39" s="2" t="s">
        <v>63</v>
      </c>
      <c r="G39" s="13" t="s">
        <v>102</v>
      </c>
    </row>
    <row r="40" customFormat="false" ht="26.85" hidden="false" customHeight="false" outlineLevel="0" collapsed="false">
      <c r="A40" s="2" t="s">
        <v>105</v>
      </c>
      <c r="B40" s="13" t="s">
        <v>101</v>
      </c>
      <c r="C40" s="2" t="s">
        <v>54</v>
      </c>
      <c r="D40" s="16" t="n">
        <v>0.85</v>
      </c>
      <c r="E40" s="2" t="s">
        <v>44</v>
      </c>
      <c r="F40" s="2" t="s">
        <v>63</v>
      </c>
      <c r="G40" s="13" t="s">
        <v>102</v>
      </c>
    </row>
    <row r="41" customFormat="false" ht="15" hidden="false" customHeight="false" outlineLevel="0" collapsed="false">
      <c r="A41" s="2" t="s">
        <v>106</v>
      </c>
      <c r="B41" s="13" t="s">
        <v>107</v>
      </c>
      <c r="C41" s="2" t="s">
        <v>48</v>
      </c>
      <c r="D41" s="16" t="n">
        <v>0.7</v>
      </c>
      <c r="E41" s="2" t="s">
        <v>44</v>
      </c>
      <c r="F41" s="2" t="s">
        <v>63</v>
      </c>
      <c r="G41" s="17" t="s">
        <v>108</v>
      </c>
    </row>
    <row r="42" customFormat="false" ht="15" hidden="false" customHeight="false" outlineLevel="0" collapsed="false">
      <c r="A42" s="2" t="s">
        <v>109</v>
      </c>
      <c r="B42" s="13" t="s">
        <v>107</v>
      </c>
      <c r="C42" s="2" t="s">
        <v>43</v>
      </c>
      <c r="D42" s="16" t="n">
        <v>0.75</v>
      </c>
      <c r="E42" s="2" t="s">
        <v>44</v>
      </c>
      <c r="F42" s="2" t="s">
        <v>63</v>
      </c>
      <c r="G42" s="17" t="s">
        <v>108</v>
      </c>
    </row>
    <row r="43" customFormat="false" ht="15" hidden="false" customHeight="false" outlineLevel="0" collapsed="false">
      <c r="A43" s="2" t="s">
        <v>110</v>
      </c>
      <c r="B43" s="13" t="s">
        <v>107</v>
      </c>
      <c r="C43" s="2" t="s">
        <v>52</v>
      </c>
      <c r="D43" s="16" t="n">
        <v>0.7</v>
      </c>
      <c r="E43" s="2" t="s">
        <v>44</v>
      </c>
      <c r="F43" s="2" t="s">
        <v>63</v>
      </c>
      <c r="G43" s="17" t="s">
        <v>108</v>
      </c>
    </row>
    <row r="44" customFormat="false" ht="15" hidden="false" customHeight="false" outlineLevel="0" collapsed="false">
      <c r="A44" s="2" t="s">
        <v>111</v>
      </c>
      <c r="B44" s="13" t="s">
        <v>107</v>
      </c>
      <c r="C44" s="2" t="s">
        <v>54</v>
      </c>
      <c r="D44" s="16" t="n">
        <v>0.7</v>
      </c>
      <c r="E44" s="2" t="s">
        <v>44</v>
      </c>
      <c r="F44" s="2" t="s">
        <v>63</v>
      </c>
      <c r="G44" s="17" t="s">
        <v>108</v>
      </c>
    </row>
    <row r="46" customFormat="false" ht="15" hidden="false" customHeight="false" outlineLevel="0" collapsed="false">
      <c r="A46" s="10" t="s">
        <v>112</v>
      </c>
      <c r="B46" s="11"/>
      <c r="C46" s="11"/>
      <c r="D46" s="11"/>
      <c r="E46" s="11"/>
      <c r="F46" s="11"/>
      <c r="G46" s="11"/>
    </row>
    <row r="47" customFormat="false" ht="15" hidden="false" customHeight="false" outlineLevel="0" collapsed="false">
      <c r="A47" s="12" t="s">
        <v>22</v>
      </c>
      <c r="B47" s="12" t="s">
        <v>23</v>
      </c>
      <c r="C47" s="12" t="s">
        <v>24</v>
      </c>
      <c r="D47" s="12" t="s">
        <v>25</v>
      </c>
      <c r="E47" s="12" t="s">
        <v>26</v>
      </c>
      <c r="F47" s="12" t="s">
        <v>27</v>
      </c>
      <c r="G47" s="12" t="s">
        <v>28</v>
      </c>
    </row>
    <row r="48" customFormat="false" ht="15" hidden="false" customHeight="false" outlineLevel="0" collapsed="false">
      <c r="A48" s="2" t="s">
        <v>113</v>
      </c>
      <c r="B48" s="13" t="s">
        <v>114</v>
      </c>
      <c r="C48" s="2" t="s">
        <v>31</v>
      </c>
      <c r="D48" s="16" t="n">
        <v>0.15</v>
      </c>
      <c r="E48" s="2" t="s">
        <v>44</v>
      </c>
      <c r="F48" s="2" t="s">
        <v>63</v>
      </c>
      <c r="G48" s="17" t="s">
        <v>115</v>
      </c>
    </row>
    <row r="49" customFormat="false" ht="26.85" hidden="false" customHeight="false" outlineLevel="0" collapsed="false">
      <c r="A49" s="2" t="s">
        <v>116</v>
      </c>
      <c r="B49" s="13" t="s">
        <v>117</v>
      </c>
      <c r="C49" s="2" t="s">
        <v>118</v>
      </c>
      <c r="D49" s="18" t="n">
        <v>750</v>
      </c>
      <c r="E49" s="2" t="s">
        <v>119</v>
      </c>
      <c r="F49" s="2" t="s">
        <v>63</v>
      </c>
      <c r="G49" s="13" t="s">
        <v>120</v>
      </c>
    </row>
    <row r="50" customFormat="false" ht="26.85" hidden="false" customHeight="false" outlineLevel="0" collapsed="false">
      <c r="A50" s="2" t="s">
        <v>121</v>
      </c>
      <c r="B50" s="13" t="s">
        <v>122</v>
      </c>
      <c r="C50" s="2" t="s">
        <v>118</v>
      </c>
      <c r="D50" s="16" t="n">
        <v>0.4</v>
      </c>
      <c r="E50" s="2" t="s">
        <v>44</v>
      </c>
      <c r="F50" s="2" t="s">
        <v>63</v>
      </c>
      <c r="G50" s="13" t="s">
        <v>123</v>
      </c>
    </row>
    <row r="51" customFormat="false" ht="15" hidden="false" customHeight="false" outlineLevel="0" collapsed="false">
      <c r="A51" s="2" t="s">
        <v>124</v>
      </c>
      <c r="B51" s="13" t="s">
        <v>125</v>
      </c>
      <c r="C51" s="2" t="s">
        <v>31</v>
      </c>
      <c r="D51" s="18" t="n">
        <v>2500</v>
      </c>
      <c r="E51" s="2" t="s">
        <v>119</v>
      </c>
      <c r="F51" s="2" t="s">
        <v>63</v>
      </c>
      <c r="G51" s="13" t="s">
        <v>126</v>
      </c>
    </row>
    <row r="52" customFormat="false" ht="15" hidden="false" customHeight="false" outlineLevel="0" collapsed="false">
      <c r="A52" s="2" t="s">
        <v>127</v>
      </c>
      <c r="B52" s="13" t="s">
        <v>128</v>
      </c>
      <c r="C52" s="2" t="s">
        <v>31</v>
      </c>
      <c r="D52" s="16" t="n">
        <v>0.3</v>
      </c>
      <c r="E52" s="2" t="s">
        <v>44</v>
      </c>
      <c r="F52" s="2" t="s">
        <v>33</v>
      </c>
      <c r="G52" s="13" t="s">
        <v>34</v>
      </c>
    </row>
    <row r="53" customFormat="false" ht="39.55" hidden="false" customHeight="false" outlineLevel="0" collapsed="false">
      <c r="A53" s="2" t="s">
        <v>129</v>
      </c>
      <c r="B53" s="13" t="s">
        <v>130</v>
      </c>
      <c r="C53" s="2" t="s">
        <v>131</v>
      </c>
      <c r="D53" s="16" t="n">
        <v>0.316</v>
      </c>
      <c r="E53" s="2" t="s">
        <v>44</v>
      </c>
      <c r="F53" s="2" t="s">
        <v>63</v>
      </c>
      <c r="G53" s="13" t="s">
        <v>132</v>
      </c>
    </row>
    <row r="54" customFormat="false" ht="39.55" hidden="false" customHeight="false" outlineLevel="0" collapsed="false">
      <c r="A54" s="2" t="s">
        <v>133</v>
      </c>
      <c r="B54" s="13" t="s">
        <v>134</v>
      </c>
      <c r="C54" s="2" t="s">
        <v>131</v>
      </c>
      <c r="D54" s="16" t="n">
        <v>0.131</v>
      </c>
      <c r="E54" s="2" t="s">
        <v>44</v>
      </c>
      <c r="F54" s="2" t="s">
        <v>63</v>
      </c>
      <c r="G54" s="13" t="s">
        <v>132</v>
      </c>
    </row>
    <row r="55" customFormat="false" ht="39.55" hidden="false" customHeight="false" outlineLevel="0" collapsed="false">
      <c r="A55" s="2" t="s">
        <v>135</v>
      </c>
      <c r="B55" s="13" t="s">
        <v>136</v>
      </c>
      <c r="C55" s="2" t="s">
        <v>131</v>
      </c>
      <c r="D55" s="16" t="n">
        <v>0.161</v>
      </c>
      <c r="E55" s="2" t="s">
        <v>44</v>
      </c>
      <c r="F55" s="2" t="s">
        <v>63</v>
      </c>
      <c r="G55" s="13" t="s">
        <v>132</v>
      </c>
    </row>
    <row r="56" customFormat="false" ht="39.55" hidden="false" customHeight="false" outlineLevel="0" collapsed="false">
      <c r="A56" s="2" t="s">
        <v>137</v>
      </c>
      <c r="B56" s="13" t="s">
        <v>138</v>
      </c>
      <c r="C56" s="2" t="s">
        <v>131</v>
      </c>
      <c r="D56" s="16" t="n">
        <v>0.17</v>
      </c>
      <c r="E56" s="2" t="s">
        <v>44</v>
      </c>
      <c r="F56" s="2" t="s">
        <v>63</v>
      </c>
      <c r="G56" s="13" t="s">
        <v>132</v>
      </c>
    </row>
    <row r="57" customFormat="false" ht="39.55" hidden="false" customHeight="false" outlineLevel="0" collapsed="false">
      <c r="A57" s="2" t="s">
        <v>139</v>
      </c>
      <c r="B57" s="13" t="s">
        <v>140</v>
      </c>
      <c r="C57" s="2" t="s">
        <v>131</v>
      </c>
      <c r="D57" s="16" t="n">
        <v>0.195</v>
      </c>
      <c r="E57" s="2" t="s">
        <v>44</v>
      </c>
      <c r="F57" s="2" t="s">
        <v>63</v>
      </c>
      <c r="G57" s="13" t="s">
        <v>132</v>
      </c>
    </row>
    <row r="58" customFormat="false" ht="39.55" hidden="false" customHeight="false" outlineLevel="0" collapsed="false">
      <c r="A58" s="2" t="s">
        <v>141</v>
      </c>
      <c r="B58" s="13" t="s">
        <v>142</v>
      </c>
      <c r="C58" s="2" t="s">
        <v>131</v>
      </c>
      <c r="D58" s="16" t="n">
        <v>0.027</v>
      </c>
      <c r="E58" s="2" t="s">
        <v>44</v>
      </c>
      <c r="F58" s="2" t="s">
        <v>63</v>
      </c>
      <c r="G58" s="13" t="s">
        <v>132</v>
      </c>
    </row>
    <row r="59" customFormat="false" ht="15" hidden="false" customHeight="false" outlineLevel="0" collapsed="false">
      <c r="A59" s="2" t="s">
        <v>143</v>
      </c>
      <c r="B59" s="13" t="s">
        <v>144</v>
      </c>
      <c r="C59" s="2" t="s">
        <v>131</v>
      </c>
      <c r="D59" s="16" t="n">
        <v>0</v>
      </c>
      <c r="E59" s="2" t="s">
        <v>44</v>
      </c>
      <c r="F59" s="2" t="s">
        <v>63</v>
      </c>
      <c r="G59" s="13" t="s">
        <v>145</v>
      </c>
    </row>
    <row r="60" customFormat="false" ht="15" hidden="false" customHeight="false" outlineLevel="0" collapsed="false">
      <c r="A60" s="2" t="s">
        <v>146</v>
      </c>
      <c r="B60" s="13" t="s">
        <v>147</v>
      </c>
      <c r="C60" s="2" t="s">
        <v>131</v>
      </c>
      <c r="D60" s="16" t="n">
        <v>0</v>
      </c>
      <c r="E60" s="2" t="s">
        <v>44</v>
      </c>
      <c r="F60" s="2" t="s">
        <v>63</v>
      </c>
      <c r="G60" s="13" t="s">
        <v>145</v>
      </c>
    </row>
    <row r="61" customFormat="false" ht="15" hidden="false" customHeight="false" outlineLevel="0" collapsed="false">
      <c r="A61" s="2" t="s">
        <v>148</v>
      </c>
      <c r="B61" s="13" t="s">
        <v>149</v>
      </c>
      <c r="C61" s="2" t="s">
        <v>131</v>
      </c>
      <c r="D61" s="16" t="n">
        <v>0</v>
      </c>
      <c r="E61" s="2" t="s">
        <v>44</v>
      </c>
      <c r="F61" s="2" t="s">
        <v>63</v>
      </c>
      <c r="G61" s="13" t="s">
        <v>145</v>
      </c>
    </row>
    <row r="62" customFormat="false" ht="15" hidden="false" customHeight="false" outlineLevel="0" collapsed="false">
      <c r="A62" s="2" t="s">
        <v>150</v>
      </c>
      <c r="B62" s="13" t="s">
        <v>151</v>
      </c>
      <c r="C62" s="2" t="s">
        <v>131</v>
      </c>
      <c r="D62" s="16" t="n">
        <v>0</v>
      </c>
      <c r="E62" s="2" t="s">
        <v>44</v>
      </c>
      <c r="F62" s="2" t="s">
        <v>63</v>
      </c>
      <c r="G62" s="13" t="s">
        <v>145</v>
      </c>
    </row>
    <row r="63" customFormat="false" ht="15" hidden="false" customHeight="false" outlineLevel="0" collapsed="false">
      <c r="A63" s="2" t="s">
        <v>152</v>
      </c>
      <c r="B63" s="13" t="s">
        <v>153</v>
      </c>
      <c r="C63" s="2" t="s">
        <v>131</v>
      </c>
      <c r="D63" s="16" t="n">
        <v>0</v>
      </c>
      <c r="E63" s="2" t="s">
        <v>44</v>
      </c>
      <c r="F63" s="2" t="s">
        <v>63</v>
      </c>
      <c r="G63" s="13" t="s">
        <v>145</v>
      </c>
    </row>
    <row r="64" customFormat="false" ht="15" hidden="false" customHeight="false" outlineLevel="0" collapsed="false">
      <c r="A64" s="2" t="s">
        <v>154</v>
      </c>
      <c r="B64" s="13" t="s">
        <v>155</v>
      </c>
      <c r="C64" s="2" t="s">
        <v>31</v>
      </c>
      <c r="D64" s="16" t="n">
        <v>0.3</v>
      </c>
      <c r="E64" s="2" t="s">
        <v>44</v>
      </c>
      <c r="F64" s="2" t="s">
        <v>33</v>
      </c>
      <c r="G64" s="13" t="s">
        <v>34</v>
      </c>
    </row>
    <row r="66" customFormat="false" ht="15" hidden="false" customHeight="false" outlineLevel="0" collapsed="false">
      <c r="A66" s="10" t="s">
        <v>156</v>
      </c>
      <c r="B66" s="11"/>
      <c r="C66" s="11"/>
      <c r="D66" s="11"/>
      <c r="E66" s="11"/>
      <c r="F66" s="11"/>
      <c r="G66" s="11"/>
    </row>
    <row r="67" customFormat="false" ht="15" hidden="false" customHeight="false" outlineLevel="0" collapsed="false">
      <c r="A67" s="12" t="s">
        <v>22</v>
      </c>
      <c r="B67" s="12" t="s">
        <v>23</v>
      </c>
      <c r="C67" s="12" t="s">
        <v>24</v>
      </c>
      <c r="D67" s="12" t="s">
        <v>25</v>
      </c>
      <c r="E67" s="12" t="s">
        <v>26</v>
      </c>
      <c r="F67" s="12" t="s">
        <v>27</v>
      </c>
      <c r="G67" s="12" t="s">
        <v>28</v>
      </c>
    </row>
    <row r="68" customFormat="false" ht="26.85" hidden="false" customHeight="false" outlineLevel="0" collapsed="false">
      <c r="A68" s="2" t="s">
        <v>157</v>
      </c>
      <c r="B68" s="13" t="s">
        <v>158</v>
      </c>
      <c r="C68" s="2" t="s">
        <v>48</v>
      </c>
      <c r="D68" s="15" t="n">
        <v>4800</v>
      </c>
      <c r="E68" s="2" t="s">
        <v>159</v>
      </c>
      <c r="F68" s="2" t="s">
        <v>63</v>
      </c>
      <c r="G68" s="17" t="s">
        <v>160</v>
      </c>
    </row>
    <row r="69" customFormat="false" ht="26.85" hidden="false" customHeight="false" outlineLevel="0" collapsed="false">
      <c r="A69" s="2" t="s">
        <v>161</v>
      </c>
      <c r="B69" s="13" t="s">
        <v>158</v>
      </c>
      <c r="C69" s="2" t="s">
        <v>43</v>
      </c>
      <c r="D69" s="15" t="n">
        <v>26400</v>
      </c>
      <c r="E69" s="2" t="s">
        <v>159</v>
      </c>
      <c r="F69" s="2" t="s">
        <v>63</v>
      </c>
      <c r="G69" s="17" t="s">
        <v>162</v>
      </c>
    </row>
    <row r="70" customFormat="false" ht="26.85" hidden="false" customHeight="false" outlineLevel="0" collapsed="false">
      <c r="A70" s="2" t="s">
        <v>163</v>
      </c>
      <c r="B70" s="13" t="s">
        <v>158</v>
      </c>
      <c r="C70" s="2" t="s">
        <v>52</v>
      </c>
      <c r="D70" s="15" t="n">
        <v>2000</v>
      </c>
      <c r="E70" s="2" t="s">
        <v>159</v>
      </c>
      <c r="F70" s="2" t="s">
        <v>63</v>
      </c>
      <c r="G70" s="17" t="s">
        <v>164</v>
      </c>
    </row>
    <row r="71" customFormat="false" ht="26.85" hidden="false" customHeight="false" outlineLevel="0" collapsed="false">
      <c r="A71" s="2" t="s">
        <v>165</v>
      </c>
      <c r="B71" s="13" t="s">
        <v>158</v>
      </c>
      <c r="C71" s="2" t="s">
        <v>54</v>
      </c>
      <c r="D71" s="15" t="n">
        <v>2200</v>
      </c>
      <c r="E71" s="2" t="s">
        <v>159</v>
      </c>
      <c r="F71" s="2" t="s">
        <v>63</v>
      </c>
      <c r="G71" s="17" t="s">
        <v>166</v>
      </c>
    </row>
    <row r="72" customFormat="false" ht="26.85" hidden="false" customHeight="false" outlineLevel="0" collapsed="false">
      <c r="A72" s="2" t="s">
        <v>167</v>
      </c>
      <c r="B72" s="13" t="s">
        <v>168</v>
      </c>
      <c r="C72" s="2" t="s">
        <v>48</v>
      </c>
      <c r="D72" s="16" t="n">
        <v>0.11</v>
      </c>
      <c r="E72" s="2" t="s">
        <v>44</v>
      </c>
      <c r="F72" s="2" t="s">
        <v>70</v>
      </c>
      <c r="G72" s="17" t="s">
        <v>169</v>
      </c>
    </row>
    <row r="73" customFormat="false" ht="26.85" hidden="false" customHeight="false" outlineLevel="0" collapsed="false">
      <c r="A73" s="2" t="s">
        <v>170</v>
      </c>
      <c r="B73" s="13" t="s">
        <v>168</v>
      </c>
      <c r="C73" s="2" t="s">
        <v>43</v>
      </c>
      <c r="D73" s="16" t="n">
        <v>0.11</v>
      </c>
      <c r="E73" s="2" t="s">
        <v>44</v>
      </c>
      <c r="F73" s="2" t="s">
        <v>70</v>
      </c>
      <c r="G73" s="17" t="s">
        <v>169</v>
      </c>
    </row>
    <row r="74" customFormat="false" ht="26.85" hidden="false" customHeight="false" outlineLevel="0" collapsed="false">
      <c r="A74" s="2" t="s">
        <v>171</v>
      </c>
      <c r="B74" s="13" t="s">
        <v>168</v>
      </c>
      <c r="C74" s="2" t="s">
        <v>52</v>
      </c>
      <c r="D74" s="16" t="n">
        <v>0.11</v>
      </c>
      <c r="E74" s="2" t="s">
        <v>44</v>
      </c>
      <c r="F74" s="2" t="s">
        <v>70</v>
      </c>
      <c r="G74" s="17" t="s">
        <v>169</v>
      </c>
    </row>
    <row r="75" customFormat="false" ht="26.85" hidden="false" customHeight="false" outlineLevel="0" collapsed="false">
      <c r="A75" s="2" t="s">
        <v>172</v>
      </c>
      <c r="B75" s="13" t="s">
        <v>168</v>
      </c>
      <c r="C75" s="2" t="s">
        <v>54</v>
      </c>
      <c r="D75" s="16" t="n">
        <v>0.11</v>
      </c>
      <c r="E75" s="2" t="s">
        <v>44</v>
      </c>
      <c r="F75" s="2" t="s">
        <v>70</v>
      </c>
      <c r="G75" s="17" t="s">
        <v>169</v>
      </c>
    </row>
    <row r="76" customFormat="false" ht="26.85" hidden="false" customHeight="false" outlineLevel="0" collapsed="false">
      <c r="A76" s="2" t="s">
        <v>173</v>
      </c>
      <c r="B76" s="13" t="s">
        <v>174</v>
      </c>
      <c r="C76" s="2" t="s">
        <v>48</v>
      </c>
      <c r="D76" s="15" t="n">
        <v>41</v>
      </c>
      <c r="E76" s="2" t="s">
        <v>159</v>
      </c>
      <c r="F76" s="2" t="s">
        <v>63</v>
      </c>
      <c r="G76" s="13" t="s">
        <v>175</v>
      </c>
    </row>
    <row r="77" customFormat="false" ht="26.85" hidden="false" customHeight="false" outlineLevel="0" collapsed="false">
      <c r="A77" s="2" t="s">
        <v>176</v>
      </c>
      <c r="B77" s="13" t="s">
        <v>174</v>
      </c>
      <c r="C77" s="2" t="s">
        <v>43</v>
      </c>
      <c r="D77" s="15" t="n">
        <v>28</v>
      </c>
      <c r="E77" s="2" t="s">
        <v>159</v>
      </c>
      <c r="F77" s="2" t="s">
        <v>63</v>
      </c>
      <c r="G77" s="13" t="s">
        <v>175</v>
      </c>
    </row>
    <row r="78" customFormat="false" ht="26.85" hidden="false" customHeight="false" outlineLevel="0" collapsed="false">
      <c r="A78" s="2" t="s">
        <v>177</v>
      </c>
      <c r="B78" s="13" t="s">
        <v>174</v>
      </c>
      <c r="C78" s="2" t="s">
        <v>52</v>
      </c>
      <c r="D78" s="15" t="n">
        <v>16</v>
      </c>
      <c r="E78" s="2" t="s">
        <v>159</v>
      </c>
      <c r="F78" s="2" t="s">
        <v>63</v>
      </c>
      <c r="G78" s="13" t="s">
        <v>175</v>
      </c>
    </row>
    <row r="79" customFormat="false" ht="26.85" hidden="false" customHeight="false" outlineLevel="0" collapsed="false">
      <c r="A79" s="2" t="s">
        <v>178</v>
      </c>
      <c r="B79" s="13" t="s">
        <v>174</v>
      </c>
      <c r="C79" s="2" t="s">
        <v>54</v>
      </c>
      <c r="D79" s="15" t="n">
        <v>4</v>
      </c>
      <c r="E79" s="2" t="s">
        <v>159</v>
      </c>
      <c r="F79" s="2" t="s">
        <v>63</v>
      </c>
      <c r="G79" s="13" t="s">
        <v>175</v>
      </c>
    </row>
    <row r="81" customFormat="false" ht="15" hidden="false" customHeight="false" outlineLevel="0" collapsed="false">
      <c r="A81" s="10" t="s">
        <v>179</v>
      </c>
      <c r="B81" s="11"/>
      <c r="C81" s="11"/>
      <c r="D81" s="11"/>
      <c r="E81" s="11"/>
      <c r="F81" s="11"/>
      <c r="G81" s="11"/>
    </row>
    <row r="82" customFormat="false" ht="15" hidden="false" customHeight="false" outlineLevel="0" collapsed="false">
      <c r="A82" s="12" t="s">
        <v>22</v>
      </c>
      <c r="B82" s="12" t="s">
        <v>23</v>
      </c>
      <c r="C82" s="12" t="s">
        <v>24</v>
      </c>
      <c r="D82" s="12" t="s">
        <v>25</v>
      </c>
      <c r="E82" s="12" t="s">
        <v>26</v>
      </c>
      <c r="F82" s="12" t="s">
        <v>27</v>
      </c>
      <c r="G82" s="12" t="s">
        <v>28</v>
      </c>
    </row>
    <row r="83" customFormat="false" ht="15" hidden="false" customHeight="false" outlineLevel="0" collapsed="false">
      <c r="A83" s="2" t="s">
        <v>180</v>
      </c>
      <c r="B83" s="13" t="s">
        <v>181</v>
      </c>
      <c r="C83" s="2" t="s">
        <v>182</v>
      </c>
      <c r="D83" s="18" t="n">
        <v>500</v>
      </c>
      <c r="E83" s="2" t="s">
        <v>119</v>
      </c>
      <c r="F83" s="2" t="s">
        <v>63</v>
      </c>
      <c r="G83" s="13" t="s">
        <v>183</v>
      </c>
    </row>
    <row r="84" customFormat="false" ht="15" hidden="false" customHeight="false" outlineLevel="0" collapsed="false">
      <c r="A84" s="2" t="s">
        <v>184</v>
      </c>
      <c r="B84" s="13" t="s">
        <v>185</v>
      </c>
      <c r="C84" s="2" t="s">
        <v>182</v>
      </c>
      <c r="D84" s="15" t="n">
        <v>30</v>
      </c>
      <c r="E84" s="2" t="s">
        <v>186</v>
      </c>
      <c r="F84" s="2" t="s">
        <v>63</v>
      </c>
      <c r="G84" s="13" t="s">
        <v>183</v>
      </c>
    </row>
    <row r="85" customFormat="false" ht="26.85" hidden="false" customHeight="false" outlineLevel="0" collapsed="false">
      <c r="A85" s="2" t="s">
        <v>187</v>
      </c>
      <c r="B85" s="13" t="s">
        <v>188</v>
      </c>
      <c r="C85" s="2" t="s">
        <v>182</v>
      </c>
      <c r="D85" s="19" t="n">
        <v>0.8</v>
      </c>
      <c r="E85" s="2" t="s">
        <v>189</v>
      </c>
      <c r="F85" s="2" t="s">
        <v>63</v>
      </c>
      <c r="G85" s="13" t="s">
        <v>190</v>
      </c>
    </row>
    <row r="86" customFormat="false" ht="26.85" hidden="false" customHeight="false" outlineLevel="0" collapsed="false">
      <c r="A86" s="2" t="s">
        <v>191</v>
      </c>
      <c r="B86" s="13" t="s">
        <v>192</v>
      </c>
      <c r="C86" s="2" t="s">
        <v>182</v>
      </c>
      <c r="D86" s="19" t="n">
        <v>1.5</v>
      </c>
      <c r="E86" s="2" t="s">
        <v>189</v>
      </c>
      <c r="F86" s="2" t="s">
        <v>63</v>
      </c>
      <c r="G86" s="17" t="s">
        <v>193</v>
      </c>
    </row>
    <row r="87" customFormat="false" ht="15" hidden="false" customHeight="false" outlineLevel="0" collapsed="false">
      <c r="A87" s="2" t="s">
        <v>194</v>
      </c>
      <c r="B87" s="13" t="s">
        <v>195</v>
      </c>
      <c r="C87" s="2" t="s">
        <v>182</v>
      </c>
      <c r="D87" s="19" t="n">
        <v>2</v>
      </c>
      <c r="E87" s="2" t="s">
        <v>189</v>
      </c>
      <c r="F87" s="2" t="s">
        <v>63</v>
      </c>
      <c r="G87" s="17" t="s">
        <v>196</v>
      </c>
    </row>
    <row r="88" customFormat="false" ht="26.85" hidden="false" customHeight="false" outlineLevel="0" collapsed="false">
      <c r="A88" s="2" t="s">
        <v>197</v>
      </c>
      <c r="B88" s="13" t="s">
        <v>198</v>
      </c>
      <c r="C88" s="2" t="s">
        <v>182</v>
      </c>
      <c r="D88" s="18" t="n">
        <v>750</v>
      </c>
      <c r="E88" s="2" t="s">
        <v>119</v>
      </c>
      <c r="F88" s="2" t="s">
        <v>63</v>
      </c>
      <c r="G88" s="13" t="s">
        <v>199</v>
      </c>
    </row>
    <row r="89" customFormat="false" ht="26.85" hidden="false" customHeight="false" outlineLevel="0" collapsed="false">
      <c r="A89" s="2" t="s">
        <v>200</v>
      </c>
      <c r="B89" s="13" t="s">
        <v>201</v>
      </c>
      <c r="C89" s="2" t="s">
        <v>202</v>
      </c>
      <c r="D89" s="16" t="n">
        <v>0.6</v>
      </c>
      <c r="E89" s="2" t="s">
        <v>44</v>
      </c>
      <c r="F89" s="2" t="s">
        <v>63</v>
      </c>
      <c r="G89" s="13" t="s">
        <v>203</v>
      </c>
    </row>
    <row r="90" customFormat="false" ht="26.85" hidden="false" customHeight="false" outlineLevel="0" collapsed="false">
      <c r="A90" s="2" t="s">
        <v>204</v>
      </c>
      <c r="B90" s="13" t="s">
        <v>205</v>
      </c>
      <c r="C90" s="2" t="s">
        <v>202</v>
      </c>
      <c r="D90" s="19" t="n">
        <v>1.5</v>
      </c>
      <c r="E90" s="2" t="s">
        <v>189</v>
      </c>
      <c r="F90" s="2" t="s">
        <v>63</v>
      </c>
      <c r="G90" s="13" t="s">
        <v>206</v>
      </c>
    </row>
    <row r="91" customFormat="false" ht="26.85" hidden="false" customHeight="false" outlineLevel="0" collapsed="false">
      <c r="A91" s="2" t="s">
        <v>207</v>
      </c>
      <c r="B91" s="13" t="s">
        <v>208</v>
      </c>
      <c r="C91" s="2" t="s">
        <v>202</v>
      </c>
      <c r="D91" s="16" t="n">
        <v>0.3</v>
      </c>
      <c r="E91" s="2" t="s">
        <v>44</v>
      </c>
      <c r="F91" s="2" t="s">
        <v>63</v>
      </c>
      <c r="G91" s="13" t="s">
        <v>209</v>
      </c>
    </row>
    <row r="92" customFormat="false" ht="26.85" hidden="false" customHeight="false" outlineLevel="0" collapsed="false">
      <c r="A92" s="2" t="s">
        <v>210</v>
      </c>
      <c r="B92" s="13" t="s">
        <v>211</v>
      </c>
      <c r="C92" s="2" t="s">
        <v>202</v>
      </c>
      <c r="D92" s="19" t="n">
        <v>2</v>
      </c>
      <c r="E92" s="2" t="s">
        <v>189</v>
      </c>
      <c r="F92" s="2" t="s">
        <v>63</v>
      </c>
      <c r="G92" s="13" t="s">
        <v>212</v>
      </c>
    </row>
    <row r="93" customFormat="false" ht="26.85" hidden="false" customHeight="false" outlineLevel="0" collapsed="false">
      <c r="A93" s="2" t="s">
        <v>213</v>
      </c>
      <c r="B93" s="13" t="s">
        <v>214</v>
      </c>
      <c r="C93" s="2" t="s">
        <v>215</v>
      </c>
      <c r="D93" s="16" t="n">
        <v>0.6</v>
      </c>
      <c r="E93" s="2" t="s">
        <v>44</v>
      </c>
      <c r="F93" s="2" t="s">
        <v>63</v>
      </c>
      <c r="G93" s="17" t="s">
        <v>216</v>
      </c>
    </row>
    <row r="94" customFormat="false" ht="15" hidden="false" customHeight="false" outlineLevel="0" collapsed="false">
      <c r="A94" s="2" t="s">
        <v>217</v>
      </c>
      <c r="B94" s="13" t="s">
        <v>218</v>
      </c>
      <c r="C94" s="2" t="s">
        <v>215</v>
      </c>
      <c r="D94" s="16" t="n">
        <v>0.29</v>
      </c>
      <c r="E94" s="2" t="s">
        <v>44</v>
      </c>
      <c r="F94" s="2" t="s">
        <v>63</v>
      </c>
      <c r="G94" s="17" t="s">
        <v>216</v>
      </c>
    </row>
    <row r="95" customFormat="false" ht="15" hidden="false" customHeight="false" outlineLevel="0" collapsed="false">
      <c r="A95" s="2" t="s">
        <v>219</v>
      </c>
      <c r="B95" s="13" t="s">
        <v>220</v>
      </c>
      <c r="C95" s="2" t="s">
        <v>215</v>
      </c>
      <c r="D95" s="16" t="n">
        <v>0.11</v>
      </c>
      <c r="E95" s="2" t="s">
        <v>44</v>
      </c>
      <c r="F95" s="2" t="s">
        <v>63</v>
      </c>
      <c r="G95" s="17" t="s">
        <v>216</v>
      </c>
    </row>
    <row r="96" customFormat="false" ht="15" hidden="false" customHeight="false" outlineLevel="0" collapsed="false">
      <c r="A96" s="2" t="s">
        <v>221</v>
      </c>
      <c r="B96" s="13" t="s">
        <v>222</v>
      </c>
      <c r="C96" s="2" t="s">
        <v>182</v>
      </c>
      <c r="D96" s="16" t="n">
        <v>0.25</v>
      </c>
      <c r="E96" s="2" t="s">
        <v>44</v>
      </c>
      <c r="F96" s="2" t="s">
        <v>63</v>
      </c>
      <c r="G96" s="17" t="s">
        <v>223</v>
      </c>
    </row>
    <row r="97" customFormat="false" ht="26.85" hidden="false" customHeight="false" outlineLevel="0" collapsed="false">
      <c r="A97" s="2" t="s">
        <v>224</v>
      </c>
      <c r="B97" s="13" t="s">
        <v>225</v>
      </c>
      <c r="C97" s="2" t="s">
        <v>226</v>
      </c>
      <c r="D97" s="15" t="n">
        <v>10</v>
      </c>
      <c r="E97" s="2" t="s">
        <v>227</v>
      </c>
      <c r="F97" s="2" t="s">
        <v>63</v>
      </c>
      <c r="G97" s="13" t="s">
        <v>228</v>
      </c>
    </row>
    <row r="98" customFormat="false" ht="26.85" hidden="false" customHeight="false" outlineLevel="0" collapsed="false">
      <c r="A98" s="2" t="s">
        <v>229</v>
      </c>
      <c r="B98" s="13" t="s">
        <v>230</v>
      </c>
      <c r="C98" s="2" t="s">
        <v>226</v>
      </c>
      <c r="D98" s="15" t="n">
        <v>5</v>
      </c>
      <c r="E98" s="2" t="s">
        <v>231</v>
      </c>
      <c r="F98" s="2" t="s">
        <v>63</v>
      </c>
      <c r="G98" s="13" t="s">
        <v>232</v>
      </c>
    </row>
    <row r="99" customFormat="false" ht="26.85" hidden="false" customHeight="false" outlineLevel="0" collapsed="false">
      <c r="A99" s="2" t="s">
        <v>233</v>
      </c>
      <c r="B99" s="13" t="s">
        <v>234</v>
      </c>
      <c r="C99" s="2" t="s">
        <v>235</v>
      </c>
      <c r="D99" s="16" t="n">
        <v>0.25</v>
      </c>
      <c r="E99" s="2" t="s">
        <v>44</v>
      </c>
      <c r="F99" s="2" t="s">
        <v>63</v>
      </c>
      <c r="G99" s="13" t="s">
        <v>236</v>
      </c>
    </row>
    <row r="100" customFormat="false" ht="15" hidden="false" customHeight="false" outlineLevel="0" collapsed="false">
      <c r="A100" s="2" t="s">
        <v>237</v>
      </c>
      <c r="B100" s="13" t="s">
        <v>238</v>
      </c>
      <c r="C100" s="2" t="s">
        <v>235</v>
      </c>
      <c r="D100" s="16" t="n">
        <v>0.12</v>
      </c>
      <c r="E100" s="2" t="s">
        <v>44</v>
      </c>
      <c r="F100" s="2" t="s">
        <v>63</v>
      </c>
      <c r="G100" s="13" t="s">
        <v>239</v>
      </c>
    </row>
    <row r="101" customFormat="false" ht="15" hidden="false" customHeight="false" outlineLevel="0" collapsed="false">
      <c r="A101" s="2" t="s">
        <v>240</v>
      </c>
      <c r="B101" s="13" t="s">
        <v>241</v>
      </c>
      <c r="C101" s="2" t="s">
        <v>242</v>
      </c>
      <c r="D101" s="16" t="n">
        <v>0.85</v>
      </c>
      <c r="E101" s="2" t="s">
        <v>44</v>
      </c>
      <c r="F101" s="2" t="s">
        <v>63</v>
      </c>
      <c r="G101" s="17" t="s">
        <v>243</v>
      </c>
    </row>
    <row r="102" customFormat="false" ht="26.85" hidden="false" customHeight="false" outlineLevel="0" collapsed="false">
      <c r="A102" s="2" t="s">
        <v>244</v>
      </c>
      <c r="B102" s="13" t="s">
        <v>245</v>
      </c>
      <c r="C102" s="2" t="s">
        <v>246</v>
      </c>
      <c r="D102" s="16" t="n">
        <v>0.9</v>
      </c>
      <c r="E102" s="2" t="s">
        <v>44</v>
      </c>
      <c r="F102" s="2" t="s">
        <v>63</v>
      </c>
      <c r="G102" s="17" t="s">
        <v>247</v>
      </c>
    </row>
    <row r="103" customFormat="false" ht="39.55" hidden="false" customHeight="false" outlineLevel="0" collapsed="false">
      <c r="A103" s="2" t="s">
        <v>248</v>
      </c>
      <c r="B103" s="13" t="s">
        <v>249</v>
      </c>
      <c r="C103" s="2" t="s">
        <v>39</v>
      </c>
      <c r="D103" s="15" t="n">
        <v>50</v>
      </c>
      <c r="E103" s="2" t="s">
        <v>250</v>
      </c>
      <c r="F103" s="2" t="s">
        <v>63</v>
      </c>
      <c r="G103" s="13" t="s">
        <v>251</v>
      </c>
    </row>
    <row r="106" customFormat="false" ht="15" hidden="false" customHeight="false" outlineLevel="0" collapsed="false">
      <c r="A106" s="10" t="s">
        <v>252</v>
      </c>
      <c r="B106" s="11"/>
      <c r="C106" s="11"/>
      <c r="D106" s="11"/>
      <c r="E106" s="11"/>
      <c r="F106" s="11"/>
      <c r="G106" s="11"/>
    </row>
    <row r="107" customFormat="false" ht="15" hidden="false" customHeight="false" outlineLevel="0" collapsed="false">
      <c r="A107" s="12" t="s">
        <v>22</v>
      </c>
      <c r="B107" s="12" t="s">
        <v>23</v>
      </c>
      <c r="C107" s="12" t="s">
        <v>24</v>
      </c>
      <c r="D107" s="12" t="s">
        <v>25</v>
      </c>
      <c r="E107" s="12" t="s">
        <v>26</v>
      </c>
      <c r="F107" s="12" t="s">
        <v>27</v>
      </c>
      <c r="G107" s="12" t="s">
        <v>28</v>
      </c>
    </row>
    <row r="108" customFormat="false" ht="26.85" hidden="false" customHeight="false" outlineLevel="0" collapsed="false">
      <c r="A108" s="2" t="s">
        <v>253</v>
      </c>
      <c r="B108" s="13" t="s">
        <v>254</v>
      </c>
      <c r="C108" s="2" t="s">
        <v>255</v>
      </c>
      <c r="D108" s="20" t="n">
        <v>0.9</v>
      </c>
      <c r="E108" s="2" t="s">
        <v>256</v>
      </c>
      <c r="F108" s="2" t="s">
        <v>70</v>
      </c>
      <c r="G108" s="17" t="s">
        <v>257</v>
      </c>
    </row>
    <row r="109" customFormat="false" ht="26.85" hidden="false" customHeight="false" outlineLevel="0" collapsed="false">
      <c r="A109" s="2" t="s">
        <v>258</v>
      </c>
      <c r="B109" s="13" t="s">
        <v>259</v>
      </c>
      <c r="C109" s="2" t="s">
        <v>255</v>
      </c>
      <c r="D109" s="20" t="n">
        <v>0.7</v>
      </c>
      <c r="E109" s="2" t="s">
        <v>256</v>
      </c>
      <c r="F109" s="2" t="s">
        <v>70</v>
      </c>
      <c r="G109" s="17" t="s">
        <v>260</v>
      </c>
    </row>
    <row r="110" customFormat="false" ht="15" hidden="false" customHeight="false" outlineLevel="0" collapsed="false">
      <c r="A110" s="2" t="s">
        <v>261</v>
      </c>
      <c r="B110" s="13" t="s">
        <v>262</v>
      </c>
      <c r="C110" s="2" t="s">
        <v>255</v>
      </c>
      <c r="D110" s="20" t="n">
        <v>0.41</v>
      </c>
      <c r="E110" s="2" t="s">
        <v>256</v>
      </c>
      <c r="F110" s="2" t="s">
        <v>70</v>
      </c>
      <c r="G110" s="17" t="s">
        <v>263</v>
      </c>
    </row>
    <row r="111" customFormat="false" ht="26.85" hidden="false" customHeight="false" outlineLevel="0" collapsed="false">
      <c r="A111" s="2" t="s">
        <v>264</v>
      </c>
      <c r="B111" s="13" t="s">
        <v>265</v>
      </c>
      <c r="C111" s="2" t="s">
        <v>255</v>
      </c>
      <c r="D111" s="16" t="n">
        <v>0.36</v>
      </c>
      <c r="E111" s="2" t="s">
        <v>44</v>
      </c>
      <c r="F111" s="2" t="s">
        <v>70</v>
      </c>
      <c r="G111" s="17" t="s">
        <v>266</v>
      </c>
    </row>
    <row r="112" customFormat="false" ht="26.85" hidden="false" customHeight="false" outlineLevel="0" collapsed="false">
      <c r="A112" s="2" t="s">
        <v>267</v>
      </c>
      <c r="B112" s="13" t="s">
        <v>268</v>
      </c>
      <c r="C112" s="2" t="s">
        <v>255</v>
      </c>
      <c r="D112" s="16" t="n">
        <v>0.15</v>
      </c>
      <c r="E112" s="2" t="s">
        <v>44</v>
      </c>
      <c r="F112" s="2" t="s">
        <v>70</v>
      </c>
      <c r="G112" s="17" t="s">
        <v>269</v>
      </c>
    </row>
    <row r="113" customFormat="false" ht="26.85" hidden="false" customHeight="false" outlineLevel="0" collapsed="false">
      <c r="A113" s="2" t="s">
        <v>270</v>
      </c>
      <c r="B113" s="13" t="s">
        <v>271</v>
      </c>
      <c r="C113" s="2" t="s">
        <v>255</v>
      </c>
      <c r="D113" s="21" t="n">
        <v>0.105</v>
      </c>
      <c r="E113" s="2" t="s">
        <v>44</v>
      </c>
      <c r="F113" s="2" t="s">
        <v>70</v>
      </c>
      <c r="G113" s="17" t="s">
        <v>272</v>
      </c>
    </row>
    <row r="114" customFormat="false" ht="15" hidden="false" customHeight="false" outlineLevel="0" collapsed="false">
      <c r="A114" s="2" t="s">
        <v>273</v>
      </c>
      <c r="B114" s="13" t="s">
        <v>274</v>
      </c>
      <c r="C114" s="2" t="s">
        <v>275</v>
      </c>
      <c r="D114" s="15" t="n">
        <v>27</v>
      </c>
      <c r="E114" s="2" t="s">
        <v>186</v>
      </c>
      <c r="F114" s="2" t="s">
        <v>70</v>
      </c>
      <c r="G114" s="17" t="s">
        <v>276</v>
      </c>
    </row>
    <row r="115" customFormat="false" ht="26.85" hidden="false" customHeight="false" outlineLevel="0" collapsed="false">
      <c r="A115" s="2" t="s">
        <v>277</v>
      </c>
      <c r="B115" s="13" t="s">
        <v>278</v>
      </c>
      <c r="C115" s="2" t="s">
        <v>275</v>
      </c>
      <c r="D115" s="16" t="n">
        <v>0.13</v>
      </c>
      <c r="E115" s="2" t="s">
        <v>44</v>
      </c>
      <c r="F115" s="2" t="s">
        <v>70</v>
      </c>
      <c r="G115" s="17" t="s">
        <v>279</v>
      </c>
    </row>
    <row r="116" customFormat="false" ht="26.85" hidden="false" customHeight="false" outlineLevel="0" collapsed="false">
      <c r="A116" s="2" t="s">
        <v>280</v>
      </c>
      <c r="B116" s="13" t="s">
        <v>281</v>
      </c>
      <c r="C116" s="2" t="s">
        <v>282</v>
      </c>
      <c r="D116" s="15" t="n">
        <v>20</v>
      </c>
      <c r="E116" s="2" t="s">
        <v>283</v>
      </c>
      <c r="F116" s="2" t="s">
        <v>70</v>
      </c>
      <c r="G116" s="17" t="s">
        <v>284</v>
      </c>
    </row>
    <row r="117" customFormat="false" ht="26.85" hidden="false" customHeight="false" outlineLevel="0" collapsed="false">
      <c r="A117" s="2" t="s">
        <v>285</v>
      </c>
      <c r="B117" s="13" t="s">
        <v>286</v>
      </c>
      <c r="C117" s="2" t="s">
        <v>287</v>
      </c>
      <c r="D117" s="15" t="n">
        <v>23</v>
      </c>
      <c r="E117" s="2" t="s">
        <v>283</v>
      </c>
      <c r="F117" s="2" t="s">
        <v>70</v>
      </c>
      <c r="G117" s="17" t="s">
        <v>288</v>
      </c>
    </row>
    <row r="118" customFormat="false" ht="26.85" hidden="false" customHeight="false" outlineLevel="0" collapsed="false">
      <c r="A118" s="2" t="s">
        <v>289</v>
      </c>
      <c r="B118" s="13" t="s">
        <v>290</v>
      </c>
      <c r="C118" s="2" t="s">
        <v>291</v>
      </c>
      <c r="D118" s="22" t="n">
        <v>29.5</v>
      </c>
      <c r="E118" s="2" t="s">
        <v>283</v>
      </c>
      <c r="F118" s="2" t="s">
        <v>70</v>
      </c>
      <c r="G118" s="17" t="s">
        <v>292</v>
      </c>
    </row>
    <row r="119" customFormat="false" ht="15" hidden="false" customHeight="false" outlineLevel="0" collapsed="false">
      <c r="A119" s="2" t="s">
        <v>293</v>
      </c>
      <c r="B119" s="13" t="s">
        <v>294</v>
      </c>
      <c r="C119" s="2" t="s">
        <v>295</v>
      </c>
      <c r="D119" s="15" t="n">
        <v>30</v>
      </c>
      <c r="E119" s="2" t="s">
        <v>62</v>
      </c>
      <c r="F119" s="2" t="s">
        <v>70</v>
      </c>
      <c r="G119" s="17" t="s">
        <v>296</v>
      </c>
    </row>
    <row r="120" customFormat="false" ht="15" hidden="false" customHeight="false" outlineLevel="0" collapsed="false">
      <c r="A120" s="2" t="s">
        <v>297</v>
      </c>
      <c r="B120" s="13" t="s">
        <v>298</v>
      </c>
      <c r="C120" s="2" t="s">
        <v>299</v>
      </c>
      <c r="D120" s="15" t="n">
        <v>10703</v>
      </c>
      <c r="E120" s="2" t="s">
        <v>159</v>
      </c>
      <c r="F120" s="2" t="s">
        <v>70</v>
      </c>
      <c r="G120" s="17" t="s">
        <v>300</v>
      </c>
    </row>
    <row r="121" customFormat="false" ht="26.85" hidden="false" customHeight="false" outlineLevel="0" collapsed="false">
      <c r="A121" s="2" t="s">
        <v>301</v>
      </c>
      <c r="B121" s="13" t="s">
        <v>302</v>
      </c>
      <c r="C121" s="2" t="s">
        <v>299</v>
      </c>
      <c r="D121" s="21" t="n">
        <v>0.078</v>
      </c>
      <c r="E121" s="2" t="s">
        <v>44</v>
      </c>
      <c r="F121" s="2" t="s">
        <v>70</v>
      </c>
      <c r="G121" s="17" t="s">
        <v>303</v>
      </c>
    </row>
    <row r="122" customFormat="false" ht="15" hidden="false" customHeight="false" outlineLevel="0" collapsed="false">
      <c r="A122" s="2" t="s">
        <v>304</v>
      </c>
      <c r="B122" s="13" t="s">
        <v>305</v>
      </c>
      <c r="C122" s="2" t="s">
        <v>299</v>
      </c>
      <c r="D122" s="16" t="n">
        <v>0.12</v>
      </c>
      <c r="E122" s="2" t="s">
        <v>44</v>
      </c>
      <c r="F122" s="2" t="s">
        <v>70</v>
      </c>
      <c r="G122" s="17" t="s">
        <v>306</v>
      </c>
    </row>
    <row r="123" customFormat="false" ht="15" hidden="false" customHeight="false" outlineLevel="0" collapsed="false">
      <c r="A123" s="2" t="s">
        <v>307</v>
      </c>
      <c r="B123" s="13" t="s">
        <v>308</v>
      </c>
      <c r="C123" s="2" t="s">
        <v>299</v>
      </c>
      <c r="D123" s="16" t="n">
        <v>0.11</v>
      </c>
      <c r="E123" s="2" t="s">
        <v>44</v>
      </c>
      <c r="F123" s="2" t="s">
        <v>70</v>
      </c>
      <c r="G123" s="17" t="s">
        <v>309</v>
      </c>
    </row>
    <row r="124" customFormat="false" ht="39.55" hidden="false" customHeight="false" outlineLevel="0" collapsed="false">
      <c r="A124" s="2" t="s">
        <v>310</v>
      </c>
      <c r="B124" s="13" t="s">
        <v>311</v>
      </c>
      <c r="C124" s="2" t="s">
        <v>312</v>
      </c>
      <c r="D124" s="15" t="n">
        <v>237500</v>
      </c>
      <c r="E124" s="2" t="s">
        <v>159</v>
      </c>
      <c r="F124" s="2" t="s">
        <v>70</v>
      </c>
      <c r="G124" s="17" t="s">
        <v>313</v>
      </c>
    </row>
    <row r="125" customFormat="false" ht="26.85" hidden="false" customHeight="false" outlineLevel="0" collapsed="false">
      <c r="A125" s="2" t="s">
        <v>314</v>
      </c>
      <c r="B125" s="13" t="s">
        <v>315</v>
      </c>
      <c r="C125" s="2" t="s">
        <v>312</v>
      </c>
      <c r="D125" s="15" t="n">
        <v>13775</v>
      </c>
      <c r="E125" s="2" t="s">
        <v>159</v>
      </c>
      <c r="F125" s="2" t="s">
        <v>70</v>
      </c>
      <c r="G125" s="17" t="s">
        <v>316</v>
      </c>
    </row>
    <row r="126" customFormat="false" ht="26.85" hidden="false" customHeight="false" outlineLevel="0" collapsed="false">
      <c r="A126" s="2" t="s">
        <v>317</v>
      </c>
      <c r="B126" s="13" t="s">
        <v>318</v>
      </c>
      <c r="C126" s="2" t="s">
        <v>312</v>
      </c>
      <c r="D126" s="15" t="n">
        <v>1678</v>
      </c>
      <c r="E126" s="2" t="s">
        <v>159</v>
      </c>
      <c r="F126" s="2" t="s">
        <v>70</v>
      </c>
      <c r="G126" s="17" t="s">
        <v>319</v>
      </c>
    </row>
    <row r="128" customFormat="false" ht="15" hidden="false" customHeight="false" outlineLevel="0" collapsed="false">
      <c r="A128" s="10" t="s">
        <v>320</v>
      </c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</row>
    <row r="129" customFormat="false" ht="45" hidden="false" customHeight="true" outlineLevel="0" collapsed="false">
      <c r="A129" s="12" t="s">
        <v>22</v>
      </c>
      <c r="B129" s="12" t="s">
        <v>321</v>
      </c>
      <c r="C129" s="12" t="s">
        <v>322</v>
      </c>
      <c r="D129" s="12" t="s">
        <v>323</v>
      </c>
      <c r="E129" s="12" t="s">
        <v>324</v>
      </c>
      <c r="F129" s="12" t="s">
        <v>325</v>
      </c>
      <c r="G129" s="12" t="s">
        <v>326</v>
      </c>
      <c r="H129" s="12" t="s">
        <v>327</v>
      </c>
      <c r="I129" s="12" t="s">
        <v>328</v>
      </c>
      <c r="J129" s="12" t="s">
        <v>329</v>
      </c>
      <c r="K129" s="12" t="s">
        <v>27</v>
      </c>
      <c r="L129" s="12" t="s">
        <v>28</v>
      </c>
    </row>
    <row r="130" customFormat="false" ht="26.85" hidden="false" customHeight="false" outlineLevel="0" collapsed="false">
      <c r="A130" s="2" t="s">
        <v>330</v>
      </c>
      <c r="B130" s="13" t="s">
        <v>331</v>
      </c>
      <c r="C130" s="2" t="s">
        <v>48</v>
      </c>
      <c r="D130" s="2" t="s">
        <v>332</v>
      </c>
      <c r="E130" s="23" t="n">
        <v>0</v>
      </c>
      <c r="F130" s="24"/>
      <c r="G130" s="25" t="n">
        <f aca="false">Assumptions!$D$29*Assumptions!$D$109</f>
        <v>0.175</v>
      </c>
      <c r="H130" s="26" t="n">
        <f aca="false">ROUND(Assumptions!$D$11*Assumptions!$D$114*Assumptions!$D$115,0)</f>
        <v>105</v>
      </c>
      <c r="I130" s="20" t="n">
        <v>1</v>
      </c>
      <c r="J130" s="18" t="n">
        <v>0</v>
      </c>
      <c r="K130" s="2" t="s">
        <v>70</v>
      </c>
      <c r="L130" s="17" t="s">
        <v>333</v>
      </c>
    </row>
    <row r="131" customFormat="false" ht="26.85" hidden="false" customHeight="false" outlineLevel="0" collapsed="false">
      <c r="A131" s="2" t="s">
        <v>334</v>
      </c>
      <c r="B131" s="13" t="s">
        <v>331</v>
      </c>
      <c r="C131" s="2" t="s">
        <v>43</v>
      </c>
      <c r="D131" s="2" t="s">
        <v>332</v>
      </c>
      <c r="E131" s="23" t="n">
        <v>0</v>
      </c>
      <c r="F131" s="24"/>
      <c r="G131" s="25" t="n">
        <f aca="false">Assumptions!$D$30*Assumptions!$D$109</f>
        <v>0.175</v>
      </c>
      <c r="H131" s="26" t="n">
        <f aca="false">ROUND(Assumptions!$D$12*Assumptions!$D$114*Assumptions!$D$115,0)</f>
        <v>158</v>
      </c>
      <c r="I131" s="20" t="n">
        <v>1</v>
      </c>
      <c r="J131" s="18" t="n">
        <v>0</v>
      </c>
      <c r="K131" s="2" t="s">
        <v>70</v>
      </c>
      <c r="L131" s="17" t="s">
        <v>333</v>
      </c>
    </row>
    <row r="132" customFormat="false" ht="26.85" hidden="false" customHeight="false" outlineLevel="0" collapsed="false">
      <c r="A132" s="2" t="s">
        <v>335</v>
      </c>
      <c r="B132" s="13" t="s">
        <v>331</v>
      </c>
      <c r="C132" s="2" t="s">
        <v>52</v>
      </c>
      <c r="D132" s="2" t="s">
        <v>332</v>
      </c>
      <c r="E132" s="23" t="n">
        <v>0</v>
      </c>
      <c r="F132" s="24"/>
      <c r="G132" s="25" t="n">
        <f aca="false">Assumptions!$D$31*Assumptions!$D$109</f>
        <v>0.175</v>
      </c>
      <c r="H132" s="26" t="n">
        <f aca="false">ROUND(Assumptions!$D$13*Assumptions!$D$114*Assumptions!$D$115,0)</f>
        <v>53</v>
      </c>
      <c r="I132" s="20" t="n">
        <v>1</v>
      </c>
      <c r="J132" s="18" t="n">
        <v>0</v>
      </c>
      <c r="K132" s="2" t="s">
        <v>70</v>
      </c>
      <c r="L132" s="17" t="s">
        <v>333</v>
      </c>
    </row>
    <row r="133" customFormat="false" ht="26.85" hidden="false" customHeight="false" outlineLevel="0" collapsed="false">
      <c r="A133" s="2" t="s">
        <v>336</v>
      </c>
      <c r="B133" s="13" t="s">
        <v>331</v>
      </c>
      <c r="C133" s="2" t="s">
        <v>54</v>
      </c>
      <c r="D133" s="2" t="s">
        <v>332</v>
      </c>
      <c r="E133" s="23" t="n">
        <v>0</v>
      </c>
      <c r="F133" s="24"/>
      <c r="G133" s="25" t="n">
        <f aca="false">Assumptions!$D$32*Assumptions!$D$109</f>
        <v>0.161</v>
      </c>
      <c r="H133" s="26" t="n">
        <f aca="false">ROUND(Assumptions!$D$14*Assumptions!$D$114*Assumptions!$D$115,0)</f>
        <v>35</v>
      </c>
      <c r="I133" s="20" t="n">
        <v>1</v>
      </c>
      <c r="J133" s="18" t="n">
        <v>0</v>
      </c>
      <c r="K133" s="2" t="s">
        <v>70</v>
      </c>
      <c r="L133" s="17" t="s">
        <v>333</v>
      </c>
    </row>
    <row r="134" customFormat="false" ht="26.85" hidden="false" customHeight="false" outlineLevel="0" collapsed="false">
      <c r="A134" s="2" t="s">
        <v>337</v>
      </c>
      <c r="B134" s="13" t="s">
        <v>338</v>
      </c>
      <c r="C134" s="2" t="s">
        <v>48</v>
      </c>
      <c r="D134" s="2" t="s">
        <v>339</v>
      </c>
      <c r="E134" s="23" t="n">
        <v>161</v>
      </c>
      <c r="F134" s="24"/>
      <c r="G134" s="25" t="n">
        <f aca="false">Assumptions!$D$29*Assumptions!$D$108</f>
        <v>0.225</v>
      </c>
      <c r="H134" s="26" t="n">
        <f aca="false">IF(G134&gt;0,ROUND((Assumptions!$D$68*Assumptions!$D$72+Assumptions!$D$76)*Assumptions!$D$111/G134,-1),0)</f>
        <v>910</v>
      </c>
      <c r="I134" s="20" t="n">
        <v>1</v>
      </c>
      <c r="J134" s="18" t="n">
        <v>0</v>
      </c>
      <c r="K134" s="2" t="s">
        <v>70</v>
      </c>
      <c r="L134" s="17" t="s">
        <v>340</v>
      </c>
    </row>
    <row r="135" customFormat="false" ht="26.85" hidden="false" customHeight="false" outlineLevel="0" collapsed="false">
      <c r="A135" s="2" t="s">
        <v>341</v>
      </c>
      <c r="B135" s="13" t="s">
        <v>338</v>
      </c>
      <c r="C135" s="2" t="s">
        <v>43</v>
      </c>
      <c r="D135" s="2" t="s">
        <v>339</v>
      </c>
      <c r="E135" s="23" t="n">
        <v>161</v>
      </c>
      <c r="F135" s="24"/>
      <c r="G135" s="25" t="n">
        <f aca="false">Assumptions!$D$30*Assumptions!$D$108</f>
        <v>0.225</v>
      </c>
      <c r="H135" s="26" t="n">
        <f aca="false">IF(G135&gt;0,ROUND((Assumptions!$D$69*Assumptions!$D$73+Assumptions!$D$77)*Assumptions!$D$111/G135,-1),0)</f>
        <v>4690</v>
      </c>
      <c r="I135" s="20" t="n">
        <v>1</v>
      </c>
      <c r="J135" s="18" t="n">
        <v>0</v>
      </c>
      <c r="K135" s="2" t="s">
        <v>70</v>
      </c>
      <c r="L135" s="17" t="s">
        <v>340</v>
      </c>
    </row>
    <row r="136" customFormat="false" ht="26.85" hidden="false" customHeight="false" outlineLevel="0" collapsed="false">
      <c r="A136" s="2" t="s">
        <v>342</v>
      </c>
      <c r="B136" s="13" t="s">
        <v>338</v>
      </c>
      <c r="C136" s="2" t="s">
        <v>52</v>
      </c>
      <c r="D136" s="2" t="s">
        <v>339</v>
      </c>
      <c r="E136" s="23" t="n">
        <v>161</v>
      </c>
      <c r="F136" s="24"/>
      <c r="G136" s="25" t="n">
        <f aca="false">Assumptions!$D$31*Assumptions!$D$108</f>
        <v>0.225</v>
      </c>
      <c r="H136" s="26" t="n">
        <f aca="false">IF(G136&gt;0,ROUND((Assumptions!$D$70*Assumptions!$D$74+Assumptions!$D$78)*Assumptions!$D$111/G136,-1),0)</f>
        <v>380</v>
      </c>
      <c r="I136" s="20" t="n">
        <v>1</v>
      </c>
      <c r="J136" s="18" t="n">
        <v>0</v>
      </c>
      <c r="K136" s="2" t="s">
        <v>70</v>
      </c>
      <c r="L136" s="17" t="s">
        <v>340</v>
      </c>
    </row>
    <row r="137" customFormat="false" ht="26.85" hidden="false" customHeight="false" outlineLevel="0" collapsed="false">
      <c r="A137" s="2" t="s">
        <v>343</v>
      </c>
      <c r="B137" s="13" t="s">
        <v>338</v>
      </c>
      <c r="C137" s="2" t="s">
        <v>54</v>
      </c>
      <c r="D137" s="2" t="s">
        <v>339</v>
      </c>
      <c r="E137" s="23" t="n">
        <v>161</v>
      </c>
      <c r="F137" s="24"/>
      <c r="G137" s="25" t="n">
        <f aca="false">Assumptions!$D$32*Assumptions!$D$108</f>
        <v>0.207</v>
      </c>
      <c r="H137" s="26" t="n">
        <f aca="false">IF(G137&gt;0,ROUND((Assumptions!$D$71*Assumptions!$D$75+Assumptions!$D$79)*Assumptions!$D$111/G137,-1),0)</f>
        <v>430</v>
      </c>
      <c r="I137" s="20" t="n">
        <v>1</v>
      </c>
      <c r="J137" s="18" t="n">
        <v>0</v>
      </c>
      <c r="K137" s="2" t="s">
        <v>70</v>
      </c>
      <c r="L137" s="17" t="s">
        <v>340</v>
      </c>
    </row>
    <row r="138" customFormat="false" ht="15" hidden="false" customHeight="false" outlineLevel="0" collapsed="false">
      <c r="A138" s="2" t="s">
        <v>344</v>
      </c>
      <c r="B138" s="13" t="s">
        <v>345</v>
      </c>
      <c r="C138" s="2" t="s">
        <v>48</v>
      </c>
      <c r="D138" s="2" t="s">
        <v>346</v>
      </c>
      <c r="E138" s="23" t="n">
        <v>1449</v>
      </c>
      <c r="F138" s="15" t="n">
        <v>12</v>
      </c>
      <c r="G138" s="25" t="n">
        <f aca="false">Assumptions!$D$29*Assumptions!$D$108</f>
        <v>0.225</v>
      </c>
      <c r="H138" s="26" t="n">
        <f aca="false">MAX(0,ROUNDUP((Funnel!$B$19-Assumptions!$D$7+1)/Assumptions!$D$119,0))</f>
        <v>2</v>
      </c>
      <c r="I138" s="20" t="n">
        <v>1</v>
      </c>
      <c r="J138" s="18" t="n">
        <v>0</v>
      </c>
      <c r="K138" s="2" t="s">
        <v>63</v>
      </c>
      <c r="L138" s="17" t="s">
        <v>347</v>
      </c>
    </row>
    <row r="139" customFormat="false" ht="15" hidden="false" customHeight="false" outlineLevel="0" collapsed="false">
      <c r="A139" s="2" t="s">
        <v>348</v>
      </c>
      <c r="B139" s="13" t="s">
        <v>345</v>
      </c>
      <c r="C139" s="2" t="s">
        <v>43</v>
      </c>
      <c r="D139" s="2" t="s">
        <v>346</v>
      </c>
      <c r="E139" s="23" t="n">
        <v>1449</v>
      </c>
      <c r="F139" s="15" t="n">
        <v>12</v>
      </c>
      <c r="G139" s="25" t="n">
        <f aca="false">Assumptions!$D$30*Assumptions!$D$108</f>
        <v>0.225</v>
      </c>
      <c r="H139" s="26" t="n">
        <f aca="false">MAX(0,ROUNDUP((Funnel!$B$19-Assumptions!$D$7+1)/Assumptions!$D$119,0))</f>
        <v>2</v>
      </c>
      <c r="I139" s="20" t="n">
        <v>1</v>
      </c>
      <c r="J139" s="18" t="n">
        <v>0</v>
      </c>
      <c r="K139" s="2" t="s">
        <v>63</v>
      </c>
      <c r="L139" s="17" t="s">
        <v>347</v>
      </c>
    </row>
    <row r="140" customFormat="false" ht="15" hidden="false" customHeight="false" outlineLevel="0" collapsed="false">
      <c r="A140" s="2" t="s">
        <v>349</v>
      </c>
      <c r="B140" s="13" t="s">
        <v>345</v>
      </c>
      <c r="C140" s="2" t="s">
        <v>52</v>
      </c>
      <c r="D140" s="2" t="s">
        <v>346</v>
      </c>
      <c r="E140" s="23" t="n">
        <v>1449</v>
      </c>
      <c r="F140" s="15" t="n">
        <v>12</v>
      </c>
      <c r="G140" s="25" t="n">
        <f aca="false">Assumptions!$D$31*Assumptions!$D$108</f>
        <v>0.225</v>
      </c>
      <c r="H140" s="26" t="n">
        <f aca="false">MAX(0,ROUNDUP((Funnel!$B$19-Assumptions!$D$7+1)/Assumptions!$D$119,0))</f>
        <v>2</v>
      </c>
      <c r="I140" s="20" t="n">
        <v>1</v>
      </c>
      <c r="J140" s="18" t="n">
        <v>0</v>
      </c>
      <c r="K140" s="2" t="s">
        <v>63</v>
      </c>
      <c r="L140" s="17" t="s">
        <v>347</v>
      </c>
    </row>
    <row r="141" customFormat="false" ht="15" hidden="false" customHeight="false" outlineLevel="0" collapsed="false">
      <c r="A141" s="2" t="s">
        <v>350</v>
      </c>
      <c r="B141" s="13" t="s">
        <v>345</v>
      </c>
      <c r="C141" s="2" t="s">
        <v>54</v>
      </c>
      <c r="D141" s="2" t="s">
        <v>346</v>
      </c>
      <c r="E141" s="23" t="n">
        <v>1449</v>
      </c>
      <c r="F141" s="15" t="n">
        <v>12</v>
      </c>
      <c r="G141" s="25" t="n">
        <f aca="false">Assumptions!$D$32*Assumptions!$D$108</f>
        <v>0.207</v>
      </c>
      <c r="H141" s="26" t="n">
        <f aca="false">MAX(0,ROUNDUP((Funnel!$B$20-Assumptions!$D$7+1)/Assumptions!$D$119,0))</f>
        <v>1</v>
      </c>
      <c r="I141" s="20" t="n">
        <v>1</v>
      </c>
      <c r="J141" s="18" t="n">
        <v>0</v>
      </c>
      <c r="K141" s="2" t="s">
        <v>63</v>
      </c>
      <c r="L141" s="17" t="s">
        <v>347</v>
      </c>
    </row>
    <row r="142" customFormat="false" ht="15" hidden="false" customHeight="false" outlineLevel="0" collapsed="false">
      <c r="A142" s="2" t="s">
        <v>351</v>
      </c>
      <c r="B142" s="13" t="s">
        <v>352</v>
      </c>
      <c r="C142" s="2" t="s">
        <v>52</v>
      </c>
      <c r="D142" s="2" t="s">
        <v>339</v>
      </c>
      <c r="E142" s="23" t="n">
        <v>96</v>
      </c>
      <c r="F142" s="24"/>
      <c r="G142" s="25" t="n">
        <f aca="false">Assumptions!$D$31*Assumptions!$D$108</f>
        <v>0.225</v>
      </c>
      <c r="H142" s="26" t="n">
        <f aca="false">IF(G142&gt;0,ROUND((Assumptions!$D$70*Assumptions!$D$74+Assumptions!$D$78)*Assumptions!$D$112/G142,-1),0)</f>
        <v>160</v>
      </c>
      <c r="I142" s="20" t="n">
        <v>1</v>
      </c>
      <c r="J142" s="18" t="n">
        <v>0</v>
      </c>
      <c r="K142" s="2" t="s">
        <v>70</v>
      </c>
      <c r="L142" s="17" t="s">
        <v>353</v>
      </c>
    </row>
    <row r="143" customFormat="false" ht="15" hidden="false" customHeight="false" outlineLevel="0" collapsed="false">
      <c r="A143" s="2" t="s">
        <v>354</v>
      </c>
      <c r="B143" s="13" t="s">
        <v>352</v>
      </c>
      <c r="C143" s="2" t="s">
        <v>54</v>
      </c>
      <c r="D143" s="2" t="s">
        <v>339</v>
      </c>
      <c r="E143" s="23" t="n">
        <v>96</v>
      </c>
      <c r="F143" s="24"/>
      <c r="G143" s="25" t="n">
        <f aca="false">Assumptions!$D$32*Assumptions!$D$108</f>
        <v>0.207</v>
      </c>
      <c r="H143" s="26" t="n">
        <f aca="false">IF(G143&gt;0,ROUND((Assumptions!$D$71*Assumptions!$D$75+Assumptions!$D$79)*Assumptions!$D$112/G143,-1),0)</f>
        <v>180</v>
      </c>
      <c r="I143" s="20" t="n">
        <v>1</v>
      </c>
      <c r="J143" s="18" t="n">
        <v>0</v>
      </c>
      <c r="K143" s="2" t="s">
        <v>70</v>
      </c>
      <c r="L143" s="17" t="s">
        <v>353</v>
      </c>
    </row>
    <row r="144" customFormat="false" ht="15" hidden="false" customHeight="false" outlineLevel="0" collapsed="false">
      <c r="A144" s="2" t="s">
        <v>355</v>
      </c>
      <c r="B144" s="13" t="s">
        <v>356</v>
      </c>
      <c r="C144" s="2" t="s">
        <v>48</v>
      </c>
      <c r="D144" s="2" t="s">
        <v>339</v>
      </c>
      <c r="E144" s="23" t="n">
        <v>84</v>
      </c>
      <c r="F144" s="24"/>
      <c r="G144" s="25" t="n">
        <f aca="false">Assumptions!$D$29*Assumptions!$D$110</f>
        <v>0.1025</v>
      </c>
      <c r="H144" s="26" t="n">
        <f aca="false">IF(G144&gt;0,ROUND(Assumptions!$D$116/G144,-1),0)</f>
        <v>200</v>
      </c>
      <c r="I144" s="20" t="n">
        <v>1</v>
      </c>
      <c r="J144" s="18" t="n">
        <v>0</v>
      </c>
      <c r="K144" s="2" t="s">
        <v>63</v>
      </c>
      <c r="L144" s="17" t="s">
        <v>357</v>
      </c>
    </row>
    <row r="145" customFormat="false" ht="15" hidden="false" customHeight="false" outlineLevel="0" collapsed="false">
      <c r="A145" s="2" t="s">
        <v>358</v>
      </c>
      <c r="B145" s="13" t="s">
        <v>356</v>
      </c>
      <c r="C145" s="2" t="s">
        <v>43</v>
      </c>
      <c r="D145" s="2" t="s">
        <v>339</v>
      </c>
      <c r="E145" s="23" t="n">
        <v>84</v>
      </c>
      <c r="F145" s="24"/>
      <c r="G145" s="25" t="n">
        <f aca="false">Assumptions!$D$30*Assumptions!$D$110</f>
        <v>0.1025</v>
      </c>
      <c r="H145" s="26" t="n">
        <f aca="false">IF(G145&gt;0,ROUND(Assumptions!$D$117/G145,-1),0)</f>
        <v>220</v>
      </c>
      <c r="I145" s="20" t="n">
        <v>1</v>
      </c>
      <c r="J145" s="18" t="n">
        <v>0</v>
      </c>
      <c r="K145" s="2" t="s">
        <v>63</v>
      </c>
      <c r="L145" s="17" t="s">
        <v>357</v>
      </c>
    </row>
    <row r="146" customFormat="false" ht="15" hidden="false" customHeight="false" outlineLevel="0" collapsed="false">
      <c r="A146" s="2" t="s">
        <v>359</v>
      </c>
      <c r="B146" s="13" t="s">
        <v>360</v>
      </c>
      <c r="C146" s="2" t="s">
        <v>48</v>
      </c>
      <c r="D146" s="2" t="s">
        <v>339</v>
      </c>
      <c r="E146" s="23" t="n">
        <v>179</v>
      </c>
      <c r="F146" s="24"/>
      <c r="G146" s="25" t="n">
        <f aca="false">Assumptions!$D$29*Assumptions!$D$109</f>
        <v>0.175</v>
      </c>
      <c r="H146" s="26" t="n">
        <f aca="false">IF(G146&gt;0,ROUND((Assumptions!$D$68*Assumptions!$D$72+Assumptions!$D$76)*Assumptions!$D$113/G146,-1),0)</f>
        <v>340</v>
      </c>
      <c r="I146" s="20" t="n">
        <v>1</v>
      </c>
      <c r="J146" s="18" t="n">
        <v>0</v>
      </c>
      <c r="K146" s="2" t="s">
        <v>70</v>
      </c>
      <c r="L146" s="17" t="s">
        <v>361</v>
      </c>
    </row>
    <row r="147" customFormat="false" ht="15" hidden="false" customHeight="false" outlineLevel="0" collapsed="false">
      <c r="A147" s="2" t="s">
        <v>362</v>
      </c>
      <c r="B147" s="13" t="s">
        <v>360</v>
      </c>
      <c r="C147" s="2" t="s">
        <v>43</v>
      </c>
      <c r="D147" s="2" t="s">
        <v>339</v>
      </c>
      <c r="E147" s="23" t="n">
        <v>179</v>
      </c>
      <c r="F147" s="24"/>
      <c r="G147" s="25" t="n">
        <f aca="false">Assumptions!$D$30*Assumptions!$D$109</f>
        <v>0.175</v>
      </c>
      <c r="H147" s="26" t="n">
        <f aca="false">IF(G147&gt;0,ROUND((Assumptions!$D$69*Assumptions!$D$73+Assumptions!$D$77)*Assumptions!$D$113/G147,-1),0)</f>
        <v>1760</v>
      </c>
      <c r="I147" s="20" t="n">
        <v>1</v>
      </c>
      <c r="J147" s="18" t="n">
        <v>0</v>
      </c>
      <c r="K147" s="2" t="s">
        <v>70</v>
      </c>
      <c r="L147" s="17" t="s">
        <v>361</v>
      </c>
    </row>
    <row r="148" customFormat="false" ht="15" hidden="false" customHeight="false" outlineLevel="0" collapsed="false">
      <c r="A148" s="2" t="s">
        <v>363</v>
      </c>
      <c r="B148" s="13" t="s">
        <v>360</v>
      </c>
      <c r="C148" s="2" t="s">
        <v>52</v>
      </c>
      <c r="D148" s="2" t="s">
        <v>339</v>
      </c>
      <c r="E148" s="23" t="n">
        <v>179</v>
      </c>
      <c r="F148" s="24"/>
      <c r="G148" s="25" t="n">
        <f aca="false">Assumptions!$D$31*Assumptions!$D$109</f>
        <v>0.175</v>
      </c>
      <c r="H148" s="26" t="n">
        <f aca="false">IF(G148&gt;0,ROUND((Assumptions!$D$70*Assumptions!$D$74+Assumptions!$D$78)*Assumptions!$D$113/G148,-1),0)</f>
        <v>140</v>
      </c>
      <c r="I148" s="20" t="n">
        <v>1</v>
      </c>
      <c r="J148" s="18" t="n">
        <v>0</v>
      </c>
      <c r="K148" s="2" t="s">
        <v>70</v>
      </c>
      <c r="L148" s="17" t="s">
        <v>361</v>
      </c>
    </row>
    <row r="149" customFormat="false" ht="15" hidden="false" customHeight="false" outlineLevel="0" collapsed="false">
      <c r="A149" s="2" t="s">
        <v>364</v>
      </c>
      <c r="B149" s="13" t="s">
        <v>360</v>
      </c>
      <c r="C149" s="2" t="s">
        <v>54</v>
      </c>
      <c r="D149" s="2" t="s">
        <v>339</v>
      </c>
      <c r="E149" s="23" t="n">
        <v>179</v>
      </c>
      <c r="F149" s="24"/>
      <c r="G149" s="25" t="n">
        <f aca="false">Assumptions!$D$32*Assumptions!$D$109</f>
        <v>0.161</v>
      </c>
      <c r="H149" s="26" t="n">
        <f aca="false">IF(G149&gt;0,ROUND((Assumptions!$D$71*Assumptions!$D$75+Assumptions!$D$79)*Assumptions!$D$113/G149,-1),0)</f>
        <v>160</v>
      </c>
      <c r="I149" s="20" t="n">
        <v>1</v>
      </c>
      <c r="J149" s="18" t="n">
        <v>0</v>
      </c>
      <c r="K149" s="2" t="s">
        <v>70</v>
      </c>
      <c r="L149" s="17" t="s">
        <v>361</v>
      </c>
    </row>
    <row r="151" customFormat="false" ht="15" hidden="false" customHeight="false" outlineLevel="0" collapsed="false">
      <c r="A151" s="10" t="s">
        <v>365</v>
      </c>
      <c r="B151" s="11"/>
      <c r="C151" s="11"/>
      <c r="D151" s="11"/>
      <c r="E151" s="11"/>
      <c r="F151" s="11"/>
      <c r="G151" s="11"/>
    </row>
    <row r="152" customFormat="false" ht="15" hidden="false" customHeight="false" outlineLevel="0" collapsed="false">
      <c r="A152" s="12" t="s">
        <v>22</v>
      </c>
      <c r="B152" s="12" t="s">
        <v>23</v>
      </c>
      <c r="C152" s="12" t="s">
        <v>24</v>
      </c>
      <c r="D152" s="12" t="s">
        <v>25</v>
      </c>
      <c r="E152" s="12" t="s">
        <v>26</v>
      </c>
      <c r="F152" s="12" t="s">
        <v>27</v>
      </c>
      <c r="G152" s="12" t="s">
        <v>28</v>
      </c>
    </row>
    <row r="153" customFormat="false" ht="26.85" hidden="false" customHeight="false" outlineLevel="0" collapsed="false">
      <c r="A153" s="2" t="s">
        <v>366</v>
      </c>
      <c r="B153" s="13" t="s">
        <v>367</v>
      </c>
      <c r="C153" s="2" t="s">
        <v>48</v>
      </c>
      <c r="D153" s="26" t="n">
        <f aca="false">IF(AND((Assumptions!$D$33*Assumptions!$D$37*Assumptions!$D$41)&gt;0,SUM(Assumptions!$D$11,Assumptions!$D$12,Assumptions!$D$13,Assumptions!$D$14)&gt;0),ROUND(Assumptions!$D$120*Assumptions!$D$121*Assumptions!$D$122*Assumptions!$D$11/SUM(Assumptions!$D$11,Assumptions!$D$12,Assumptions!$D$13,Assumptions!$D$14)*(1/(Assumptions!$D$33*Assumptions!$D$37*Assumptions!$D$41)-1),0),0)</f>
        <v>65</v>
      </c>
      <c r="E153" s="2" t="s">
        <v>368</v>
      </c>
      <c r="F153" s="2" t="s">
        <v>63</v>
      </c>
      <c r="G153" s="13" t="s">
        <v>369</v>
      </c>
    </row>
    <row r="154" customFormat="false" ht="26.85" hidden="false" customHeight="false" outlineLevel="0" collapsed="false">
      <c r="A154" s="2" t="s">
        <v>370</v>
      </c>
      <c r="B154" s="13" t="s">
        <v>367</v>
      </c>
      <c r="C154" s="2" t="s">
        <v>43</v>
      </c>
      <c r="D154" s="26" t="n">
        <f aca="false">IF(AND((Assumptions!$D$34*Assumptions!$D$38*Assumptions!$D$42)&gt;0,SUM(Assumptions!$D$11,Assumptions!$D$12,Assumptions!$D$13,Assumptions!$D$14)&gt;0),ROUND(Assumptions!$D$120*Assumptions!$D$121*Assumptions!$D$122*Assumptions!$D$12/SUM(Assumptions!$D$11,Assumptions!$D$12,Assumptions!$D$13,Assumptions!$D$14)*(1/(Assumptions!$D$34*Assumptions!$D$38*Assumptions!$D$42)-1),0),0)</f>
        <v>76</v>
      </c>
      <c r="E154" s="2" t="s">
        <v>368</v>
      </c>
      <c r="F154" s="2" t="s">
        <v>63</v>
      </c>
      <c r="G154" s="13" t="s">
        <v>369</v>
      </c>
    </row>
    <row r="155" customFormat="false" ht="26.85" hidden="false" customHeight="false" outlineLevel="0" collapsed="false">
      <c r="A155" s="2" t="s">
        <v>371</v>
      </c>
      <c r="B155" s="13" t="s">
        <v>367</v>
      </c>
      <c r="C155" s="2" t="s">
        <v>52</v>
      </c>
      <c r="D155" s="26" t="n">
        <f aca="false">IF(AND((Assumptions!$D$35*Assumptions!$D$39*Assumptions!$D$43)&gt;0,SUM(Assumptions!$D$11,Assumptions!$D$12,Assumptions!$D$13,Assumptions!$D$14)&gt;0),ROUND(Assumptions!$D$120*Assumptions!$D$121*Assumptions!$D$122*Assumptions!$D$13/SUM(Assumptions!$D$11,Assumptions!$D$12,Assumptions!$D$13,Assumptions!$D$14)*(1/(Assumptions!$D$35*Assumptions!$D$39*Assumptions!$D$43)-1),0),0)</f>
        <v>38</v>
      </c>
      <c r="E155" s="2" t="s">
        <v>368</v>
      </c>
      <c r="F155" s="2" t="s">
        <v>63</v>
      </c>
      <c r="G155" s="13" t="s">
        <v>369</v>
      </c>
    </row>
    <row r="156" customFormat="false" ht="26.85" hidden="false" customHeight="false" outlineLevel="0" collapsed="false">
      <c r="A156" s="2" t="s">
        <v>372</v>
      </c>
      <c r="B156" s="13" t="s">
        <v>367</v>
      </c>
      <c r="C156" s="2" t="s">
        <v>54</v>
      </c>
      <c r="D156" s="26" t="n">
        <f aca="false">IF(AND((Assumptions!$D$36*Assumptions!$D$40*Assumptions!$D$44)&gt;0,SUM(Assumptions!$D$11,Assumptions!$D$12,Assumptions!$D$13,Assumptions!$D$14)&gt;0),ROUND(Assumptions!$D$120*Assumptions!$D$121*Assumptions!$D$122*Assumptions!$D$14/SUM(Assumptions!$D$11,Assumptions!$D$12,Assumptions!$D$13,Assumptions!$D$14)*(1/(Assumptions!$D$36*Assumptions!$D$40*Assumptions!$D$44)-1),0),0)</f>
        <v>32</v>
      </c>
      <c r="E156" s="2" t="s">
        <v>368</v>
      </c>
      <c r="F156" s="2" t="s">
        <v>63</v>
      </c>
      <c r="G156" s="13" t="s">
        <v>369</v>
      </c>
    </row>
    <row r="157" customFormat="false" ht="26.85" hidden="false" customHeight="false" outlineLevel="0" collapsed="false">
      <c r="A157" s="2" t="s">
        <v>373</v>
      </c>
      <c r="B157" s="13" t="s">
        <v>374</v>
      </c>
      <c r="C157" s="2" t="s">
        <v>31</v>
      </c>
      <c r="D157" s="16" t="n">
        <v>0.12</v>
      </c>
      <c r="E157" s="2" t="s">
        <v>44</v>
      </c>
      <c r="F157" s="2" t="s">
        <v>63</v>
      </c>
      <c r="G157" s="17" t="s">
        <v>375</v>
      </c>
    </row>
    <row r="158" customFormat="false" ht="15" hidden="false" customHeight="false" outlineLevel="0" collapsed="false">
      <c r="A158" s="2" t="s">
        <v>376</v>
      </c>
      <c r="B158" s="13" t="s">
        <v>377</v>
      </c>
      <c r="C158" s="2" t="s">
        <v>31</v>
      </c>
      <c r="D158" s="16" t="n">
        <v>0.5</v>
      </c>
      <c r="E158" s="2" t="s">
        <v>44</v>
      </c>
      <c r="F158" s="2" t="s">
        <v>63</v>
      </c>
      <c r="G158" s="17" t="s">
        <v>378</v>
      </c>
    </row>
    <row r="159" customFormat="false" ht="26.85" hidden="false" customHeight="false" outlineLevel="0" collapsed="false">
      <c r="A159" s="2" t="s">
        <v>379</v>
      </c>
      <c r="B159" s="13" t="s">
        <v>380</v>
      </c>
      <c r="C159" s="2" t="s">
        <v>48</v>
      </c>
      <c r="D159" s="26" t="n">
        <f aca="false">IF((Assumptions!$D$33*Assumptions!$D$37*Assumptions!$D$41)*Assumptions!$D$163*Assumptions!$D$166&gt;0,ROUND(Assumptions!$D$123*Assumptions!$D$11/(Assumptions!$D$163*(Assumptions!$D$33*Assumptions!$D$37*Assumptions!$D$41)*Assumptions!$D$166),0),0)</f>
        <v>20</v>
      </c>
      <c r="E159" s="2" t="s">
        <v>186</v>
      </c>
      <c r="F159" s="2" t="s">
        <v>63</v>
      </c>
      <c r="G159" s="13" t="s">
        <v>381</v>
      </c>
    </row>
    <row r="160" customFormat="false" ht="26.85" hidden="false" customHeight="false" outlineLevel="0" collapsed="false">
      <c r="A160" s="2" t="s">
        <v>382</v>
      </c>
      <c r="B160" s="13" t="s">
        <v>380</v>
      </c>
      <c r="C160" s="2" t="s">
        <v>43</v>
      </c>
      <c r="D160" s="26" t="n">
        <f aca="false">IF((Assumptions!$D$34*Assumptions!$D$38*Assumptions!$D$42)*Assumptions!$D$163*Assumptions!$D$166&gt;0,ROUND(Assumptions!$D$123*Assumptions!$D$12/(Assumptions!$D$163*(Assumptions!$D$34*Assumptions!$D$38*Assumptions!$D$42)*Assumptions!$D$166),0),0)</f>
        <v>26</v>
      </c>
      <c r="E160" s="2" t="s">
        <v>186</v>
      </c>
      <c r="F160" s="2" t="s">
        <v>63</v>
      </c>
      <c r="G160" s="13" t="s">
        <v>381</v>
      </c>
    </row>
    <row r="161" customFormat="false" ht="26.85" hidden="false" customHeight="false" outlineLevel="0" collapsed="false">
      <c r="A161" s="2" t="s">
        <v>383</v>
      </c>
      <c r="B161" s="13" t="s">
        <v>380</v>
      </c>
      <c r="C161" s="2" t="s">
        <v>52</v>
      </c>
      <c r="D161" s="26" t="n">
        <f aca="false">IF((Assumptions!$D$35*Assumptions!$D$39*Assumptions!$D$43)*Assumptions!$D$163*Assumptions!$D$166&gt;0,ROUND(Assumptions!$D$123*Assumptions!$D$13/(Assumptions!$D$163*(Assumptions!$D$35*Assumptions!$D$39*Assumptions!$D$43)*Assumptions!$D$166),0),0)</f>
        <v>11</v>
      </c>
      <c r="E161" s="2" t="s">
        <v>186</v>
      </c>
      <c r="F161" s="2" t="s">
        <v>63</v>
      </c>
      <c r="G161" s="13" t="s">
        <v>381</v>
      </c>
    </row>
    <row r="162" customFormat="false" ht="26.85" hidden="false" customHeight="false" outlineLevel="0" collapsed="false">
      <c r="A162" s="2" t="s">
        <v>384</v>
      </c>
      <c r="B162" s="13" t="s">
        <v>380</v>
      </c>
      <c r="C162" s="2" t="s">
        <v>54</v>
      </c>
      <c r="D162" s="26" t="n">
        <f aca="false">IF((Assumptions!$D$36*Assumptions!$D$40*Assumptions!$D$44)*Assumptions!$D$163*Assumptions!$D$166&gt;0,ROUND(Assumptions!$D$123*Assumptions!$D$14/(Assumptions!$D$163*(Assumptions!$D$36*Assumptions!$D$40*Assumptions!$D$44)*Assumptions!$D$166),0),0)</f>
        <v>9</v>
      </c>
      <c r="E162" s="2" t="s">
        <v>186</v>
      </c>
      <c r="F162" s="2" t="s">
        <v>63</v>
      </c>
      <c r="G162" s="13" t="s">
        <v>381</v>
      </c>
    </row>
    <row r="163" customFormat="false" ht="15" hidden="false" customHeight="false" outlineLevel="0" collapsed="false">
      <c r="A163" s="2" t="s">
        <v>385</v>
      </c>
      <c r="B163" s="13" t="s">
        <v>386</v>
      </c>
      <c r="C163" s="2" t="s">
        <v>31</v>
      </c>
      <c r="D163" s="16" t="n">
        <v>0.45</v>
      </c>
      <c r="E163" s="2" t="s">
        <v>44</v>
      </c>
      <c r="F163" s="2" t="s">
        <v>63</v>
      </c>
      <c r="G163" s="17" t="s">
        <v>387</v>
      </c>
    </row>
    <row r="164" customFormat="false" ht="26.85" hidden="false" customHeight="false" outlineLevel="0" collapsed="false">
      <c r="A164" s="2" t="s">
        <v>388</v>
      </c>
      <c r="B164" s="13" t="s">
        <v>389</v>
      </c>
      <c r="C164" s="2" t="s">
        <v>31</v>
      </c>
      <c r="D164" s="23" t="n">
        <v>0.3</v>
      </c>
      <c r="E164" s="2" t="s">
        <v>119</v>
      </c>
      <c r="F164" s="2" t="s">
        <v>63</v>
      </c>
      <c r="G164" s="17" t="s">
        <v>390</v>
      </c>
    </row>
    <row r="165" customFormat="false" ht="26.85" hidden="false" customHeight="false" outlineLevel="0" collapsed="false">
      <c r="A165" s="2" t="s">
        <v>391</v>
      </c>
      <c r="B165" s="13" t="s">
        <v>392</v>
      </c>
      <c r="C165" s="2" t="s">
        <v>31</v>
      </c>
      <c r="D165" s="18" t="n">
        <v>1000</v>
      </c>
      <c r="E165" s="2" t="s">
        <v>119</v>
      </c>
      <c r="F165" s="2" t="s">
        <v>70</v>
      </c>
      <c r="G165" s="17" t="s">
        <v>393</v>
      </c>
    </row>
    <row r="166" customFormat="false" ht="26.85" hidden="false" customHeight="false" outlineLevel="0" collapsed="false">
      <c r="A166" s="2" t="s">
        <v>394</v>
      </c>
      <c r="B166" s="13" t="s">
        <v>395</v>
      </c>
      <c r="C166" s="2" t="s">
        <v>31</v>
      </c>
      <c r="D166" s="20" t="n">
        <v>1.15</v>
      </c>
      <c r="E166" s="2" t="s">
        <v>256</v>
      </c>
      <c r="F166" s="2" t="s">
        <v>63</v>
      </c>
      <c r="G166" s="17" t="s">
        <v>396</v>
      </c>
    </row>
    <row r="167" customFormat="false" ht="39.55" hidden="false" customHeight="false" outlineLevel="0" collapsed="false">
      <c r="A167" s="2" t="s">
        <v>397</v>
      </c>
      <c r="B167" s="13" t="s">
        <v>398</v>
      </c>
      <c r="C167" s="2" t="s">
        <v>48</v>
      </c>
      <c r="D167" s="15" t="n">
        <v>10000</v>
      </c>
      <c r="E167" s="2" t="s">
        <v>159</v>
      </c>
      <c r="F167" s="2" t="s">
        <v>63</v>
      </c>
      <c r="G167" s="17" t="s">
        <v>399</v>
      </c>
    </row>
    <row r="168" customFormat="false" ht="26.85" hidden="false" customHeight="false" outlineLevel="0" collapsed="false">
      <c r="A168" s="2" t="s">
        <v>400</v>
      </c>
      <c r="B168" s="13" t="s">
        <v>401</v>
      </c>
      <c r="C168" s="2" t="s">
        <v>48</v>
      </c>
      <c r="D168" s="27" t="n">
        <f aca="false">IF(Assumptions!$D$170*Assumptions!$D$167&gt;0,Assumptions!$D$118/Assumptions!$D$170/Assumptions!$D$167,0)</f>
        <v>0.0118</v>
      </c>
      <c r="E168" s="2" t="s">
        <v>44</v>
      </c>
      <c r="F168" s="2" t="s">
        <v>63</v>
      </c>
      <c r="G168" s="13" t="s">
        <v>402</v>
      </c>
    </row>
    <row r="169" customFormat="false" ht="26.85" hidden="false" customHeight="false" outlineLevel="0" collapsed="false">
      <c r="A169" s="2" t="s">
        <v>403</v>
      </c>
      <c r="B169" s="13" t="s">
        <v>404</v>
      </c>
      <c r="C169" s="2" t="s">
        <v>48</v>
      </c>
      <c r="D169" s="18" t="n">
        <v>84</v>
      </c>
      <c r="E169" s="2" t="s">
        <v>119</v>
      </c>
      <c r="F169" s="2" t="s">
        <v>63</v>
      </c>
      <c r="G169" s="17" t="s">
        <v>405</v>
      </c>
    </row>
    <row r="170" customFormat="false" ht="26.85" hidden="false" customHeight="false" outlineLevel="0" collapsed="false">
      <c r="A170" s="2" t="s">
        <v>406</v>
      </c>
      <c r="B170" s="13" t="s">
        <v>407</v>
      </c>
      <c r="C170" s="2" t="s">
        <v>48</v>
      </c>
      <c r="D170" s="25" t="n">
        <f aca="false">Assumptions!$D$29</f>
        <v>0.25</v>
      </c>
      <c r="E170" s="2" t="s">
        <v>44</v>
      </c>
      <c r="F170" s="2" t="s">
        <v>63</v>
      </c>
      <c r="G170" s="13" t="s">
        <v>408</v>
      </c>
    </row>
    <row r="171" customFormat="false" ht="15" hidden="false" customHeight="false" outlineLevel="0" collapsed="false">
      <c r="A171" s="2" t="s">
        <v>409</v>
      </c>
      <c r="B171" s="13" t="s">
        <v>410</v>
      </c>
      <c r="C171" s="2" t="s">
        <v>48</v>
      </c>
      <c r="D171" s="20" t="n">
        <v>0.9</v>
      </c>
      <c r="E171" s="2" t="s">
        <v>256</v>
      </c>
      <c r="F171" s="2" t="s">
        <v>63</v>
      </c>
      <c r="G171" s="13" t="s">
        <v>411</v>
      </c>
    </row>
    <row r="172" customFormat="false" ht="26.85" hidden="false" customHeight="false" outlineLevel="0" collapsed="false">
      <c r="A172" s="2" t="s">
        <v>412</v>
      </c>
      <c r="B172" s="13" t="s">
        <v>413</v>
      </c>
      <c r="C172" s="2" t="s">
        <v>48</v>
      </c>
      <c r="D172" s="18" t="n">
        <v>1200</v>
      </c>
      <c r="E172" s="2" t="s">
        <v>119</v>
      </c>
      <c r="F172" s="2" t="s">
        <v>63</v>
      </c>
      <c r="G172" s="17" t="s">
        <v>414</v>
      </c>
    </row>
    <row r="173" customFormat="false" ht="26.85" hidden="false" customHeight="false" outlineLevel="0" collapsed="false">
      <c r="A173" s="2" t="s">
        <v>415</v>
      </c>
      <c r="B173" s="13" t="s">
        <v>416</v>
      </c>
      <c r="C173" s="2" t="s">
        <v>43</v>
      </c>
      <c r="D173" s="18" t="n">
        <v>14</v>
      </c>
      <c r="E173" s="2" t="s">
        <v>119</v>
      </c>
      <c r="F173" s="2" t="s">
        <v>63</v>
      </c>
      <c r="G173" s="17" t="s">
        <v>417</v>
      </c>
    </row>
    <row r="174" customFormat="false" ht="26.85" hidden="false" customHeight="false" outlineLevel="0" collapsed="false">
      <c r="A174" s="2" t="s">
        <v>418</v>
      </c>
      <c r="B174" s="13" t="s">
        <v>419</v>
      </c>
      <c r="C174" s="2" t="s">
        <v>43</v>
      </c>
      <c r="D174" s="16" t="n">
        <v>0.14</v>
      </c>
      <c r="E174" s="2" t="s">
        <v>44</v>
      </c>
      <c r="F174" s="2" t="s">
        <v>63</v>
      </c>
      <c r="G174" s="17" t="s">
        <v>420</v>
      </c>
    </row>
    <row r="175" customFormat="false" ht="15" hidden="false" customHeight="false" outlineLevel="0" collapsed="false">
      <c r="A175" s="2" t="s">
        <v>421</v>
      </c>
      <c r="B175" s="13" t="s">
        <v>422</v>
      </c>
      <c r="C175" s="2" t="s">
        <v>43</v>
      </c>
      <c r="D175" s="26" t="n">
        <f aca="false">IF(Assumptions!$D$174*Assumptions!$D$34*Assumptions!$D$38*Assumptions!$D$42*Assumptions!$D$176&gt;0,ROUNDUP(Assumptions!$D$10*Assumptions!$D$12/(Assumptions!$D$174*Assumptions!$D$34*Assumptions!$D$38*Assumptions!$D$42*Assumptions!$D$176),-1),0)</f>
        <v>350</v>
      </c>
      <c r="E175" s="2" t="s">
        <v>186</v>
      </c>
      <c r="F175" s="2" t="s">
        <v>63</v>
      </c>
      <c r="G175" s="13" t="s">
        <v>423</v>
      </c>
    </row>
    <row r="176" customFormat="false" ht="15" hidden="false" customHeight="false" outlineLevel="0" collapsed="false">
      <c r="A176" s="2" t="s">
        <v>424</v>
      </c>
      <c r="B176" s="13" t="s">
        <v>425</v>
      </c>
      <c r="C176" s="2" t="s">
        <v>43</v>
      </c>
      <c r="D176" s="20" t="n">
        <v>1</v>
      </c>
      <c r="E176" s="2" t="s">
        <v>256</v>
      </c>
      <c r="F176" s="2" t="s">
        <v>63</v>
      </c>
      <c r="G176" s="13" t="s">
        <v>426</v>
      </c>
    </row>
    <row r="177" customFormat="false" ht="15" hidden="false" customHeight="false" outlineLevel="0" collapsed="false">
      <c r="A177" s="2" t="s">
        <v>427</v>
      </c>
      <c r="B177" s="13" t="s">
        <v>428</v>
      </c>
      <c r="C177" s="2" t="s">
        <v>43</v>
      </c>
      <c r="D177" s="15" t="n">
        <v>15</v>
      </c>
      <c r="E177" s="2" t="s">
        <v>429</v>
      </c>
      <c r="F177" s="2" t="s">
        <v>70</v>
      </c>
      <c r="G177" s="17" t="s">
        <v>430</v>
      </c>
    </row>
    <row r="178" customFormat="false" ht="15" hidden="false" customHeight="false" outlineLevel="0" collapsed="false">
      <c r="A178" s="2" t="s">
        <v>431</v>
      </c>
      <c r="B178" s="13" t="s">
        <v>432</v>
      </c>
      <c r="C178" s="2" t="s">
        <v>43</v>
      </c>
      <c r="D178" s="18" t="n">
        <v>19</v>
      </c>
      <c r="E178" s="2" t="s">
        <v>119</v>
      </c>
      <c r="F178" s="2" t="s">
        <v>70</v>
      </c>
      <c r="G178" s="17" t="s">
        <v>433</v>
      </c>
    </row>
    <row r="179" customFormat="false" ht="15" hidden="false" customHeight="false" outlineLevel="0" collapsed="false">
      <c r="A179" s="2" t="s">
        <v>434</v>
      </c>
      <c r="B179" s="13" t="s">
        <v>435</v>
      </c>
      <c r="C179" s="2" t="s">
        <v>43</v>
      </c>
      <c r="D179" s="18" t="n">
        <v>400</v>
      </c>
      <c r="E179" s="2" t="s">
        <v>119</v>
      </c>
      <c r="F179" s="2" t="s">
        <v>63</v>
      </c>
      <c r="G179" s="17" t="s">
        <v>436</v>
      </c>
    </row>
    <row r="180" customFormat="false" ht="26.85" hidden="false" customHeight="false" outlineLevel="0" collapsed="false">
      <c r="A180" s="2" t="s">
        <v>437</v>
      </c>
      <c r="B180" s="13" t="s">
        <v>438</v>
      </c>
      <c r="C180" s="2" t="s">
        <v>48</v>
      </c>
      <c r="D180" s="15" t="n">
        <v>3</v>
      </c>
      <c r="E180" s="2" t="s">
        <v>439</v>
      </c>
      <c r="F180" s="2" t="s">
        <v>63</v>
      </c>
      <c r="G180" s="13" t="s">
        <v>440</v>
      </c>
    </row>
    <row r="181" customFormat="false" ht="26.85" hidden="false" customHeight="false" outlineLevel="0" collapsed="false">
      <c r="A181" s="2" t="s">
        <v>441</v>
      </c>
      <c r="B181" s="13" t="s">
        <v>442</v>
      </c>
      <c r="C181" s="2" t="s">
        <v>48</v>
      </c>
      <c r="D181" s="15" t="n">
        <v>3</v>
      </c>
      <c r="E181" s="2" t="s">
        <v>62</v>
      </c>
      <c r="F181" s="2" t="s">
        <v>63</v>
      </c>
      <c r="G181" s="13" t="s">
        <v>443</v>
      </c>
    </row>
    <row r="182" customFormat="false" ht="26.85" hidden="false" customHeight="false" outlineLevel="0" collapsed="false">
      <c r="A182" s="2" t="s">
        <v>444</v>
      </c>
      <c r="B182" s="13" t="s">
        <v>445</v>
      </c>
      <c r="C182" s="2" t="s">
        <v>43</v>
      </c>
      <c r="D182" s="15" t="n">
        <v>7</v>
      </c>
      <c r="E182" s="2" t="s">
        <v>62</v>
      </c>
      <c r="F182" s="2" t="s">
        <v>63</v>
      </c>
      <c r="G182" s="13" t="s">
        <v>446</v>
      </c>
    </row>
  </sheetData>
  <dataValidations count="5">
    <dataValidation allowBlank="false" error="Enter a share between 0% and 100%." errorStyle="stop" errorTitle="Out of range" operator="between" showDropDown="false" showErrorMessage="true" showInputMessage="false" sqref="D10 D29:D44 D50 D52:D64 D72:D75 D89 D91 D93:D96 D99:D102 D111:D113 D115 D121:D123 G130:G149 D157:D158 D163 D168 D170 D174" type="decimal">
      <formula1>0</formula1>
      <formula2>1</formula2>
    </dataValidation>
    <dataValidation allowBlank="false" error="Reserve must be between 0% and 99%." errorStyle="stop" errorTitle="Out of range" operator="between" showDropDown="false" showErrorMessage="true" showInputMessage="false" sqref="D48" type="decimal">
      <formula1>0</formula1>
      <formula2>0.99</formula2>
    </dataValidation>
    <dataValidation allowBlank="false" error="Enter a number ≥ 0." errorStyle="stop" errorTitle="Out of range" operator="greaterThanOrEqual" showDropDown="false" showErrorMessage="true" showInputMessage="false" sqref="D9 D11:D15 D49 D51 D68:D71 D76:D79 D83:D88 D90 D92 D97:D98 D103 D108:D110 D114 D116:D118 D120 D124:D126 E130:F149 H130:J149 D153:D156 D159:D162 D164:D167 D169 D171:D173 D175:D180" type="decimal">
      <formula1>0</formula1>
      <formula2>0</formula2>
    </dataValidation>
    <dataValidation allowBlank="false" error="Enter a date inside the campaign (20 Oct – 31 Dec 2026)." errorStyle="stop" errorTitle="Out of range" operator="between" showDropDown="false" showErrorMessage="true" showInputMessage="false" sqref="D20" type="date">
      <formula1>DATE(2026,10,20)</formula1>
      <formula2>DATE(2026,12,31)</formula2>
    </dataValidation>
    <dataValidation allowBlank="false" error="Enter a whole number of days (0 or more)." errorStyle="stop" errorTitle="Whole days" operator="greaterThanOrEqual" showDropDown="false" showErrorMessage="true" showInputMessage="false" sqref="D19 D21:D25 D119 D181:D182" type="whole">
      <formula1>0</formula1>
      <formula2>0</formula2>
    </dataValidation>
  </dataValidations>
  <hyperlinks>
    <hyperlink ref="G10" r:id="rId1" display="From the brief. Polish hires need no work permit (EU free movement) and are insured and taxed in Germany. https://www.make-it-in-germany.com/en/working-in-germany/information-eu-citizens/print"/>
    <hyperlink ref="G15" r:id="rId2" display="From the brief, so I plan no foreign-trained electricians. Worth raising: for employees the trade is not legally regulated, which could open this route. https://www.anerkennung-in-deutschland.de/en/interest/finder/profession/62/profile"/>
    <hyperlink ref="G20" r:id="rId3" display="My choice: the last Friday before Christmas. Indeed job searches fall to 45% below the 1–15 Dec average over the holidays (Indeed Hiring Lab). https://hiringlab.indeed.com/de/blog/2025/02/17/der-stellenmarkt-startet-unausgewogen-in-das-neue-jahr/"/>
    <hyperlink ref="G21" r:id="rId4" display="Own estimate: SmartRecruiters 2025 global median is 6 days to review (Germany 8); I assume the client keeps the global pace, an ask. Slide 1 shows the German-pace downside (~92 hires). https://ta.smartrecruiters.com/rs/664-NIC-529/images/Germany%20Recruiting%20Benchmarks%202025%20Report%20DE.pdf"/>
    <hyperlink ref="G22" r:id="rId5" display="Own estimate: global median 14 days application → interview minus the 6 above (Germany 20 − 8 = 12); same commitment as T2. https://ta.smartrecruiters.com/rs/664-NIC-529/images/Germany%20Recruiting%20Benchmarks%202025%20Report%20DE.pdf"/>
    <hyperlink ref="G24" r:id="rId6" display="One-week offer validity; candidates take ~9 days on average to decide (NACE 2025). https://www.naceweb.org/talent-acquisition/trends-and-predictions/employers-make-more-offers-as-student-acceptance-rate-rises-response-time-shortens"/>
    <hyperlink ref="G29" r:id="rId7" display="IAB 2026 chart: production jobs get 12 applications per vacancy, 3 suitable (25%); 28% across all jobs; 23% for specialist roles. https://iab-forum.de/iab-stellenerhebung-2-2026-fast-drei-von-vier-bewerbungen-sind-aus-betrieblicher-sicht-ungeeignet/"/>
    <hyperlink ref="G30" r:id="rId8" display="IAB 2026 chart: production jobs get 12 applications per vacancy, 3 suitable (25%); 28% across all jobs; 23% for specialist roles. https://iab-forum.de/iab-stellenerhebung-2-2026-fast-drei-von-vier-bewerbungen-sind-aus-betrieblicher-sicht-ungeeignet/"/>
    <hyperlink ref="G31" r:id="rId9" display="IAB 2026 chart: production jobs get 12 applications per vacancy, 3 suitable (25%); 28% across all jobs; 23% for specialist roles. https://iab-forum.de/iab-stellenerhebung-2-2026-fast-drei-von-vier-bewerbungen-sind-aus-betrieblicher-sicht-ungeeignet/"/>
    <hyperlink ref="G32" r:id="rId10" display="IAB 2026 chart: production jobs get 12 applications per vacancy, 3 suitable (25%); 28% across all jobs; 23% for specialist roles. https://iab-forum.de/iab-stellenerhebung-2-2026-fast-drei-von-vier-bewerbungen-sind-aus-betrieblicher-sicht-ungeeignet/"/>
    <hyperlink ref="G33" r:id="rId11" display="Gem 2025: ~35% of candidates brought onsite get offers (mostly US tech). Set higher (50%) because only pre-qualified people reach this step. https://lp.gem.com/rs/972-IVV-330/images/2025%20Recruiting%20Benchmarks%20-%20Gem.pdf"/>
    <hyperlink ref="G34" r:id="rId12" display="Gem 2025: ~35% of onsite candidates get offers. Set at 55%: most common trade, the assessment is routine for it. https://lp.gem.com/rs/972-IVV-330/images/2025%20Recruiting%20Benchmarks%20-%20Gem.pdf"/>
    <hyperlink ref="G35" r:id="rId13" display="Gem 2025: ~35% of onsite candidates get offers. Set at 45%: PLC skills are tested hard. https://lp.gem.com/rs/972-IVV-330/images/2025%20Recruiting%20Benchmarks%20-%20Gem.pdf"/>
    <hyperlink ref="G36" r:id="rId14" display="Gem 2025: ~35% of onsite candidates get offers. Set at 40%: leadership is assessed on top of trade skills. https://lp.gem.com/rs/972-IVV-330/images/2025%20Recruiting%20Benchmarks%20-%20Gem.pdf"/>
    <hyperlink ref="G41" r:id="rId15" display="Königsteiner 2022: 47% accepted vs 14% declined after an offer → ~77% acceptance. I use 70–75%: shift work and competing offers. https://www.lebensmittelzeitung.net/handel/karriere/rekrutierung-bewerber-sagen-haeufiger-ab-166449"/>
    <hyperlink ref="G42" r:id="rId16" display="Königsteiner 2022: 47% accepted vs 14% declined after an offer → ~77% acceptance. I use 70–75%: shift work and competing offers. https://www.lebensmittelzeitung.net/handel/karriere/rekrutierung-bewerber-sagen-haeufiger-ab-166449"/>
    <hyperlink ref="G43" r:id="rId17" display="Königsteiner 2022: 47% accepted vs 14% declined after an offer → ~77% acceptance. I use 70–75%: shift work and competing offers. https://www.lebensmittelzeitung.net/handel/karriere/rekrutierung-bewerber-sagen-haeufiger-ab-166449"/>
    <hyperlink ref="G44" r:id="rId18" display="Königsteiner 2022: 47% accepted vs 14% declined after an offer → ~77% acceptance. I use 70–75%: shift work and competing offers. https://www.lebensmittelzeitung.net/handel/karriere/rekrutierung-bewerber-sagen-haeufiger-ab-166449"/>
    <hyperlink ref="G48" r:id="rId19" display="15% buffer, in the 10–20% range used for risky projects; released only on results. https://mastt.com/blogs/construction-contingency"/>
    <hyperlink ref="G68" r:id="rId20" display="BA employment, KldB 2625 + 2622: Berlin 2,708 + 60% of Brandenburg 3,417 (own scaling: ~60% of Brandenburg lies within 75 km) ≈ 4,8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"/>
    <hyperlink ref="G69" r:id="rId21" display="BA employment, KldB 2611 + 2510/2511/2513 (skilled level): Berlin 17,490 + 60% of Brandenburg 14,878 (own scaling: ~60% of Brandenburg lies within 75 km) ≈ 26,4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"/>
    <hyperlink ref="G70" r:id="rId22" display="BA employment, KldB 2612: Berlin 1,254 + 60% of Brandenburg 1,206 (own scaling: ~60% of Brandenburg lies within 75 km) ≈ 2,0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"/>
    <hyperlink ref="G71" r:id="rId23" display="BA employment, supervisor codes 2519 + 2619 + 2629 + 2639: Berlin 1,494 + 60% of Brandenburg 1,209 (own scaling: ~60% of Brandenburg lies within 75 km) ≈ 2,2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"/>
    <hyperlink ref="G72" r:id="rId24" display="Gallup 2024: active job search is 3% / 10% / 23% for high / low / no engagement; weighted by the 9% / 78% / 13% shares ≈ 11%. https://gallup.com/file/de/657716/Engagement-Index-Deutschland-Report-2024.pdf"/>
    <hyperlink ref="G73" r:id="rId25" display="Gallup 2024: active job search is 3% / 10% / 23% for high / low / no engagement; weighted by the 9% / 78% / 13% shares ≈ 11%. https://gallup.com/file/de/657716/Engagement-Index-Deutschland-Report-2024.pdf"/>
    <hyperlink ref="G74" r:id="rId26" display="Gallup 2024: active job search is 3% / 10% / 23% for high / low / no engagement; weighted by the 9% / 78% / 13% shares ≈ 11%. https://gallup.com/file/de/657716/Engagement-Index-Deutschland-Report-2024.pdf"/>
    <hyperlink ref="G75" r:id="rId27" display="Gallup 2024: active job search is 3% / 10% / 23% for high / low / no engagement; weighted by the 9% / 78% / 13% shares ≈ 11%. https://gallup.com/file/de/657716/Engagement-Index-Deutschland-Report-2024.pdf"/>
    <hyperlink ref="G86" r:id="rId28" display="A common ad rule is 'reduce if cost is 1.2–2× target' (roaspig); I halve at 1.5×. https://roaspig.com/blog/automated-rules-manage-meta-budgets/"/>
    <hyperlink ref="G87" r:id="rId29" display="Twice the plan cost → switch off (common ad practice). https://roaspig.com/blog/automated-rules-manage-meta-budgets/"/>
    <hyperlink ref="G93" r:id="rId30" display="Most replies come within a day of each message (Pin 2026), so 60% arrive in week 1. https://www.pin.com/blog/recruiting-outreach-benchmark-report/"/>
    <hyperlink ref="G94" r:id="rId31" display="Most replies come within a day of each message (Pin 2026), so 60% arrive in week 1. https://www.pin.com/blog/recruiting-outreach-benchmark-report/"/>
    <hyperlink ref="G95" r:id="rId32" display="Most replies come within a day of each message (Pin 2026), so 60% arrive in week 1. https://www.pin.com/blog/recruiting-outreach-benchmark-report/"/>
    <hyperlink ref="G96" r:id="rId33" display="Between the common +20% and +30% scale-up rules (roaspig). https://roaspig.com/blog/automated-rules-manage-meta-budgets/"/>
    <hyperlink ref="G101" r:id="rId34" display="Risk rises once capacity is more than 85% used (Bagust et al., BMJ 1999). https://pubmed.ncbi.nlm.nih.gov/10406748/"/>
    <hyperlink ref="G102" r:id="rId35" display="Above 90% use, shortages become regular (same study), so the week counts as full. https://pubmed.ncbi.nlm.nih.gov/10406748/"/>
    <hyperlink ref="G108" r:id="rId36" display="Derived from IAB 2025: decisive ÷ used for job boards (21% ÷ 57% = 0.37) ÷ 0.41 = 0.90. Average = mean of decisive ÷ used over the three channels IAB reports (homepage 20/70, job boards 21/57, personal contacts 27/48) = 0.41. https://iab-forum.de/online-medien-sind-bei-der-personalsuche-auf-dem-vormarsch/"/>
    <hyperlink ref="G109" r:id="rId37" display="Derived from IAB 2025: decisive ÷ used for the employer homepage (20% ÷ 70% = 0.29) ÷ 0.41 = 0.70. Average = mean of decisive ÷ used over the three channels IAB reports (homepage 20/70, job boards 21/57, personal contacts 27/48) = 0.41. https://iab-forum.de/online-medien-sind-bei-der-personalsuche-auf-dem-vormarsch/"/>
    <hyperlink ref="G110" r:id="rId38" display="Derived from IAB data (2022): social media was used for 42% of filled jobs but decisive for 1 in 14; (7.1% ÷ 42%) ÷ 0.41 ≈ 0.41. https://ohn.haendlerbund.de/themen/unternehmen-maerkte/139538-social-media-whatsapp-mitarbeitersuche-immer-wichtiger"/>
    <hyperlink ref="G111" r:id="rId39" display="36% of skilled-worker job seekers use Indeed (Trendence 2023). https://www.personalwirtschaft.de/?p=157882"/>
    <hyperlink ref="G112" r:id="rId40" display="15% of skilled-worker job seekers use LinkedIn (Trendence 2023). https://www.personalwirtschaft.de/?p=157882"/>
    <hyperlink ref="G113" r:id="rId41" display="10.5% of job seekers start their search on Google (softgarden). https://www.personalwirtschaft.de/news/recruiting/jeder-zehnte-nutzt-google-zur-jobsuche-97400/"/>
    <hyperlink ref="G114" r:id="rId42" display="Firms with 250+ staff get ~27 applications per vacancy (IAB 2026). https://iab-forum.de/iab-stellenerhebung-2-2026-fast-drei-von-vier-bewerbungen-sind-aus-betrieblicher-sicht-ungeeignet/"/>
    <hyperlink ref="G115" r:id="rId43" display="13% of applications come through the careers page (CareerPlug 2025). https://www.careerplug.com/wp-content/uploads/2025/04/Recruiting-Metrics-Report.pdf"/>
    <hyperlink ref="G116" r:id="rId44" display="Typical social campaign for electricians brings ~20 qualified applications (Redline, 181 campaigns). https://redline-grow.de/bewerbungen-pro-stelle"/>
    <hyperlink ref="G117" r:id="rId45" display="Typical social campaign for mechatronics brings ~23 qualified applications (Redline). https://redline-grow.de/bewerbungen-pro-stelle"/>
    <hyperlink ref="G118" r:id="rId46" display="Redline 2024–26: mean 29.5 qualified applications per Elektroniker campaign (11 campaigns). https://redline-grow.de/bewerbungen-pro-stelle"/>
    <hyperlink ref="G119" r:id="rId47" display="A StepStone ad runs 30 days. https://www.stepstone.de/e-recruiting/stellenanzeige-aufgeben/"/>
    <hyperlink ref="G120" r:id="rId48" display="Plant headcount (Electrek, March 2026). https://electrek.co/2026/03/04/tesla-giga-berlin-ig-metall-union-vote-collapse/"/>
    <hyperlink ref="G121" r:id="rId49" display="BA employment, Germany: maintenance codes 2513 + 2625 + 2611 + 2612 + supervisors 2519 + 2619 + 2629 (536,520) ÷ production occupations 21–29 (6,850,263) = 7.8%. Also applied to Polish industry for the I3 supply check (my estimate; an upper bound). https://statistik.arbeitsagentur.de/Statistikdaten/Detail/202512/iiia6/beschaeftigung-sozbe-bo-heft/bo-heft-d-0-202512-xlsx.xlsx?__blob=publicationFile"/>
    <hyperlink ref="G122" r:id="rId50" display="IAB-Betriebspanel Brandenburg: ~6% of jobs ended in the first half of 2024 → ~12% a year. https://mweke.brandenburg.de/media/bb1.a.3814.de/Betriebspanel%20Brandenburg%202024%20-%20final.pdf"/>
    <hyperlink ref="G123" r:id="rId51" display="Referrals bring ~11% of hires (CareerPlug 2025). https://www.careerplug.com/wp-content/uploads/2025/04/Recruiting-Metrics-Report.pdf"/>
    <hyperlink ref="G124" r:id="rId52" display="Eurostat lfst_r_lfe2en2, 2025: Lubuskie (PL43) 97.0k + Zachodniopomorskie (PL42) 140.5k employed in industry B–E (https://ec.europa.eu/eurostat/databrowser/view/lfst_r_lfe2en2/default/table)."/>
    <hyperlink ref="G125" r:id="rId53" display="IAB-Regional Berlin-Brandenburg 1/2020, table 3 (BA data, June 2019): 13,775 commuters from Poland to Brandenburg workplaces (https://doku.iab.de/regional/BB/2020/regional_bb_0120.pdf)."/>
    <hyperlink ref="G126" r:id="rId54" display="Same table: machine and vehicle technology 825 + metal 424 + building construction 429 = 1,678 (https://doku.iab.de/regional/BB/2020/regional_bb_0120.pdf)."/>
    <hyperlink ref="L130" r:id="rId55" display="Free listings (careers site, BA Jobbörse, Google for Jobs). Volume: ~27 applications per vacancy, 13% via the careers page. https://www.arbeitsagentur.de/faktor-a/mitarbeiter-finden/so-funktioniert-deutschlands-groesste-jobboerse"/>
    <hyperlink ref="L131" r:id="rId56" display="Free listings (careers site, BA Jobbörse, Google for Jobs). Volume: ~27 applications per vacancy, 13% via the careers page. https://www.arbeitsagentur.de/faktor-a/mitarbeiter-finden/so-funktioniert-deutschlands-groesste-jobboerse"/>
    <hyperlink ref="L132" r:id="rId57" display="Free listings (careers site, BA Jobbörse, Google for Jobs). Volume: ~27 applications per vacancy, 13% via the careers page. https://www.arbeitsagentur.de/faktor-a/mitarbeiter-finden/so-funktioniert-deutschlands-groesste-jobboerse"/>
    <hyperlink ref="L133" r:id="rId58" display="Free listings (careers site, BA Jobbörse, Google for Jobs). Volume: ~27 applications per vacancy, 13% via the careers page. https://www.arbeitsagentur.de/faktor-a/mitarbeiter-finden/so-funktioniert-deutschlands-groesste-jobboerse"/>
    <hyperlink ref="L134" r:id="rId59" display="Indeed's CPA median is €161 in TalentBait's DACH 2024–26 dataset (2,549 channel-campaigns across all channels), used as the programmatic proxy. Volume capped by Indeed's reach. https://www.talentbait.de/recruiting-kanaele-uebersicht/"/>
    <hyperlink ref="L135" r:id="rId60" display="Indeed's CPA median is €161 in TalentBait's DACH 2024–26 dataset (2,549 channel-campaigns across all channels), used as the programmatic proxy. Volume capped by Indeed's reach. https://www.talentbait.de/recruiting-kanaele-uebersicht/"/>
    <hyperlink ref="L136" r:id="rId61" display="Indeed's CPA median is €161 in TalentBait's DACH 2024–26 dataset (2,549 channel-campaigns across all channels), used as the programmatic proxy. Volume capped by Indeed's reach. https://www.talentbait.de/recruiting-kanaele-uebersicht/"/>
    <hyperlink ref="L137" r:id="rId62" display="Indeed's CPA median is €161 in TalentBait's DACH 2024–26 dataset (2,549 channel-campaigns across all channels), used as the programmatic proxy. Volume capped by Indeed's reach. https://www.talentbait.de/recruiting-kanaele-uebersicht/"/>
    <hyperlink ref="L138" r:id="rId63" display="Own estimate: from €1,449 per 30-day ad (StepStone price list); StepStone says HR teams get ~12 applications per vacancy across all channels, used here as applications per ad. https://www.stepstone.de/e-recruiting/stellenanzeige-aufgeben/ https://www.stepstone.de/e-recruiting/hr-wissen/recruiting/bewerberqualitaet-steigern"/>
    <hyperlink ref="L139" r:id="rId64" display="Own estimate: from €1,449 per 30-day ad (StepStone price list); StepStone says HR teams get ~12 applications per vacancy across all channels, used here as applications per ad. https://www.stepstone.de/e-recruiting/stellenanzeige-aufgeben/ https://www.stepstone.de/e-recruiting/hr-wissen/recruiting/bewerberqualitaet-steigern"/>
    <hyperlink ref="L140" r:id="rId65" display="Own estimate: from €1,449 per 30-day ad (StepStone price list); StepStone says HR teams get ~12 applications per vacancy across all channels, used here as applications per ad. https://www.stepstone.de/e-recruiting/stellenanzeige-aufgeben/ https://www.stepstone.de/e-recruiting/hr-wissen/recruiting/bewerberqualitaet-steigern"/>
    <hyperlink ref="L141" r:id="rId66" display="Own estimate: from €1,449 per 30-day ad (StepStone price list); StepStone says HR teams get ~12 applications per vacancy across all channels, used here as applications per ad. https://www.stepstone.de/e-recruiting/stellenanzeige-aufgeben/ https://www.stepstone.de/e-recruiting/hr-wissen/recruiting/bewerberqualitaet-steigern"/>
    <hyperlink ref="L142" r:id="rId67" display="DACH median €96 per application (TalentBait). Used only for automation and supervisors. https://www.talentbait.de/recruiting-kanaele-uebersicht/"/>
    <hyperlink ref="L143" r:id="rId68" display="DACH median €96 per application (TalentBait). Used only for automation and supervisors. https://www.talentbait.de/recruiting-kanaele-uebersicht/"/>
    <hyperlink ref="L144" r:id="rId69" display="Own estimate: TalentBait's example ad shows ~€84 per application for trades (its measured averages: €52 raw, €104 per qualified); volume from Redline campaign data. https://www.talentbait.de/social-media-recruiting"/>
    <hyperlink ref="L145" r:id="rId70" display="Own estimate: TalentBait's example ad shows ~€84 per application for trades (its measured averages: €52 raw, €104 per qualified); volume from Redline campaign data. https://www.talentbait.de/social-media-recruiting"/>
    <hyperlink ref="L146" r:id="rId71" display="Google Search ads ~€179 per application, low volume (TalentBait). https://www.talentbait.de/recruiting-kanaele-uebersicht/"/>
    <hyperlink ref="L147" r:id="rId72" display="Google Search ads ~€179 per application, low volume (TalentBait). https://www.talentbait.de/recruiting-kanaele-uebersicht/"/>
    <hyperlink ref="L148" r:id="rId73" display="Google Search ads ~€179 per application, low volume (TalentBait). https://www.talentbait.de/recruiting-kanaele-uebersicht/"/>
    <hyperlink ref="L149" r:id="rId74" display="Google Search ads ~€179 per application, low volume (TalentBait). https://www.talentbait.de/recruiting-kanaele-uebersicht/"/>
    <hyperlink ref="G157" r:id="rId75" display="Cold outreach gets ~5% replies (Pin 2026); past applicants already know the employer, so I assume 12%. https://www.pin.com/blog/recruiting-outreach-benchmark-report/"/>
    <hyperlink ref="G158" r:id="rId76" display="They met the requirements once; I assume half still do (Forrester via SHRM: most remain a 70%+ match). https://www.shrm.org/mena/topics-tools/news/technology/talent-rediscovery-tools-help-address-labor-shortages"/>
    <hyperlink ref="G163" r:id="rId77" display="Referred applicants are better pre-filtered (IAB: referrals are the most decisive channel), so 45% qualify. https://iab-forum.de/online-medien-sind-bei-der-personalsuche-auf-dem-vormarsch/"/>
    <hyperlink ref="G164" r:id="rId78" display="Three text messages at ~€0.075 each (seven.io price list, 2016 rates) plus email, rounded up to €0.30. https://www.seven.io/en/prices/"/>
    <hyperlink ref="G165" r:id="rId79" display="Most firms pay €501–1,000 per successful referral (Radancy survey, 335 firms worldwide). https://www.personalwirtschaft.de/?p=166393"/>
    <hyperlink ref="G166" r:id="rId80" display="Referred and known candidates pass and accept a little more often (+15%). https://www.metaview.ai/resources/blog/do-referred-candidates-interview-better"/>
    <hyperlink ref="G167" r:id="rId81" display="BA employment, KldB 2621 Bauelektrik: Berlin 6,204 + 60% of Brandenburg 5,905 (own scaling: ~60% of Brandenburg lies within 75 km) ≈ 10,000. Berlin file: https://statistik.arbeitsagentur.de/Statistikdaten/Detail/202512/iiia6/beschaeftigung-sozbe-bo-heft/bo-heft-11-0-202512-xlsx.xlsx?__blob=publicationFile https://statistik.arbeitsagentur.de/Statistikdaten/Detail/202512/iiia6/beschaeftigung-sozbe-bo-heft/bo-heft-12-0-202512-xlsx.xlsx?__blob=publicationFile"/>
    <hyperlink ref="G169" r:id="rId82" display="Own estimate: TalentBait's example ad shows ~€84 per application for trades; its measured averages are €52 per raw application and €104 per qualified one. https://www.talentbait.de/social-media-recruiting"/>
    <hyperlink ref="G172" r:id="rId83" display="Copywriter (~11 hours at €65) plus a quiz tool for 3 months. https://www.freelancermap.de/freelancer/texterstellung"/>
    <hyperlink ref="G173" r:id="rId84" display="Pracuj.pl ad price divided by expected applications, blended with OLX and Meta. https://dlafirm.pracuj.pl/cennik-uslug/pakiety-ogloszen"/>
    <hyperlink ref="G174" r:id="rId85" display="Own estimate: the Polish ads carry trade knock-out questions (certificate, shifts), so language is the binding filter. Eurostat AES 2022, Poland, ages 25–64, vocational upper-secondary: 58.7% know a foreign language (edat_aes_l23) × 23.6% of them good or proficient (edat_aes_l33) ≈ 14%. https://ec.europa.eu/eurostat/databrowser/view/edat_aes_l23/default/table https://ec.europa.eu/eurostat/databrowser/view/edat_aes_l33/default/table"/>
    <hyperlink ref="G177" r:id="rId86" display="Phone screens take 15–30 minutes (Indeed); a checklist call takes 15. https://www.indeed.com/hire/c/info/what-is-a-phone-screen"/>
    <hyperlink ref="G178" r:id="rId87" display="Polish freelance recruiters charge ~€14–19 an hour. https://rocketjobs.pl/oferta-pracy/intent-tech-recruiter-freelance--warszawa-hr-recruitment-9e0cdcee"/>
    <hyperlink ref="G179" r:id="rId88" display="Translation at the German statutory rate per line (JVEG). https://www.gesetze-im-internet.de/jveg/__11.html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P6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7" min="2" style="0" width="18"/>
    <col collapsed="false" customWidth="true" hidden="false" outlineLevel="0" max="8" min="8" style="0" width="60"/>
    <col collapsed="false" customWidth="true" hidden="false" outlineLevel="0" max="11" min="9" style="0" width="18"/>
    <col collapsed="false" customWidth="true" hidden="false" outlineLevel="0" max="17" min="12" style="0" width="14"/>
  </cols>
  <sheetData>
    <row r="1" customFormat="false" ht="17.35" hidden="false" customHeight="false" outlineLevel="0" collapsed="false">
      <c r="A1" s="1" t="s">
        <v>447</v>
      </c>
    </row>
    <row r="2" customFormat="false" ht="15" hidden="false" customHeight="false" outlineLevel="0" collapsed="false">
      <c r="A2" s="2" t="s">
        <v>448</v>
      </c>
    </row>
    <row r="4" customFormat="false" ht="48" hidden="false" customHeight="true" outlineLevel="0" collapsed="false">
      <c r="A4" s="12" t="s">
        <v>322</v>
      </c>
      <c r="B4" s="12" t="s">
        <v>47</v>
      </c>
      <c r="C4" s="12" t="s">
        <v>449</v>
      </c>
      <c r="D4" s="12" t="s">
        <v>450</v>
      </c>
      <c r="E4" s="12" t="s">
        <v>451</v>
      </c>
      <c r="F4" s="12" t="s">
        <v>452</v>
      </c>
      <c r="G4" s="12" t="s">
        <v>453</v>
      </c>
      <c r="H4" s="12" t="s">
        <v>454</v>
      </c>
      <c r="I4" s="12" t="s">
        <v>455</v>
      </c>
      <c r="J4" s="12" t="s">
        <v>456</v>
      </c>
      <c r="K4" s="12" t="s">
        <v>457</v>
      </c>
      <c r="L4" s="12" t="s">
        <v>458</v>
      </c>
      <c r="M4" s="12" t="s">
        <v>459</v>
      </c>
      <c r="N4" s="12" t="s">
        <v>460</v>
      </c>
      <c r="O4" s="12" t="s">
        <v>461</v>
      </c>
      <c r="P4" s="12" t="s">
        <v>462</v>
      </c>
    </row>
    <row r="5" customFormat="false" ht="15" hidden="false" customHeight="false" outlineLevel="0" collapsed="false">
      <c r="A5" s="28" t="s">
        <v>48</v>
      </c>
      <c r="B5" s="29" t="n">
        <f aca="false">Assumptions!$D$11</f>
        <v>30</v>
      </c>
      <c r="C5" s="30" t="n">
        <f aca="false">Assumptions!$D$29</f>
        <v>0.25</v>
      </c>
      <c r="D5" s="30" t="n">
        <f aca="false">Assumptions!$D$33</f>
        <v>0.5</v>
      </c>
      <c r="E5" s="30" t="n">
        <f aca="false">Assumptions!$D$37</f>
        <v>0.9</v>
      </c>
      <c r="F5" s="30" t="n">
        <f aca="false">Assumptions!$D$41</f>
        <v>0.7</v>
      </c>
      <c r="G5" s="31" t="n">
        <f aca="false">D5*E5*F5</f>
        <v>0.315</v>
      </c>
      <c r="H5" s="31" t="n">
        <f aca="false">C5*G5</f>
        <v>0.07875</v>
      </c>
      <c r="I5" s="32" t="n">
        <f aca="false">IF(F5&gt;0,B5/F5,0)</f>
        <v>42.8571428571429</v>
      </c>
      <c r="J5" s="32" t="n">
        <f aca="false">IF(E5&gt;0,I5/E5,0)</f>
        <v>47.6190476190476</v>
      </c>
      <c r="K5" s="32" t="n">
        <f aca="false">IF(D5&gt;0,J5/D5,0)</f>
        <v>95.2380952380952</v>
      </c>
      <c r="L5" s="29" t="n">
        <f aca="false">IF(C5&gt;0,K5/C5,0)</f>
        <v>380.952380952381</v>
      </c>
      <c r="M5" s="29" t="n">
        <f aca="false">SUMIFS(Channels!$W:$W,Channels!$C:$C,A5)</f>
        <v>414.272633087996</v>
      </c>
      <c r="N5" s="31" t="n">
        <f aca="false">IF(M5&gt;0,O5/M5,0)</f>
        <v>0.232342393753174</v>
      </c>
      <c r="O5" s="32" t="n">
        <f aca="false">SUMIFS(Channels!$V:$V,Channels!$C:$C,A5)</f>
        <v>96.2530952380952</v>
      </c>
      <c r="P5" s="31" t="n">
        <f aca="false">IF($B$22&gt;0,O5/$B$22,0)</f>
        <v>0.306259848484849</v>
      </c>
    </row>
    <row r="6" customFormat="false" ht="15" hidden="false" customHeight="false" outlineLevel="0" collapsed="false">
      <c r="A6" s="28" t="s">
        <v>43</v>
      </c>
      <c r="B6" s="29" t="n">
        <f aca="false">Assumptions!$D$12</f>
        <v>45</v>
      </c>
      <c r="C6" s="30" t="n">
        <f aca="false">Assumptions!$D$30</f>
        <v>0.25</v>
      </c>
      <c r="D6" s="30" t="n">
        <f aca="false">Assumptions!$D$34</f>
        <v>0.55</v>
      </c>
      <c r="E6" s="30" t="n">
        <f aca="false">Assumptions!$D$38</f>
        <v>0.9</v>
      </c>
      <c r="F6" s="30" t="n">
        <f aca="false">Assumptions!$D$42</f>
        <v>0.75</v>
      </c>
      <c r="G6" s="31" t="n">
        <f aca="false">D6*E6*F6</f>
        <v>0.37125</v>
      </c>
      <c r="H6" s="31" t="n">
        <f aca="false">C6*G6</f>
        <v>0.0928125</v>
      </c>
      <c r="I6" s="32" t="n">
        <f aca="false">IF(F6&gt;0,B6/F6,0)</f>
        <v>60</v>
      </c>
      <c r="J6" s="32" t="n">
        <f aca="false">IF(E6&gt;0,I6/E6,0)</f>
        <v>66.6666666666667</v>
      </c>
      <c r="K6" s="32" t="n">
        <f aca="false">IF(D6&gt;0,J6/D6,0)</f>
        <v>121.212121212121</v>
      </c>
      <c r="L6" s="29" t="n">
        <f aca="false">IF(C6&gt;0,K6/C6,0)</f>
        <v>484.848484848485</v>
      </c>
      <c r="M6" s="29" t="n">
        <f aca="false">SUMIFS(Channels!$W:$W,Channels!$C:$C,A6)</f>
        <v>662.469323804687</v>
      </c>
      <c r="N6" s="31" t="n">
        <f aca="false">IF(M6&gt;0,O6/M6,0)</f>
        <v>0.179288484680294</v>
      </c>
      <c r="O6" s="32" t="n">
        <f aca="false">SUMIFS(Channels!$V:$V,Channels!$C:$C,A6)</f>
        <v>118.773121212121</v>
      </c>
      <c r="P6" s="31" t="n">
        <f aca="false">IF($B$22&gt;0,O6/$B$22,0)</f>
        <v>0.377914476584022</v>
      </c>
    </row>
    <row r="7" customFormat="false" ht="15" hidden="false" customHeight="false" outlineLevel="0" collapsed="false">
      <c r="A7" s="28" t="s">
        <v>52</v>
      </c>
      <c r="B7" s="29" t="n">
        <f aca="false">Assumptions!$D$13</f>
        <v>15</v>
      </c>
      <c r="C7" s="30" t="n">
        <f aca="false">Assumptions!$D$31</f>
        <v>0.25</v>
      </c>
      <c r="D7" s="30" t="n">
        <f aca="false">Assumptions!$D$35</f>
        <v>0.45</v>
      </c>
      <c r="E7" s="30" t="n">
        <f aca="false">Assumptions!$D$39</f>
        <v>0.9</v>
      </c>
      <c r="F7" s="30" t="n">
        <f aca="false">Assumptions!$D$43</f>
        <v>0.7</v>
      </c>
      <c r="G7" s="31" t="n">
        <f aca="false">D7*E7*F7</f>
        <v>0.2835</v>
      </c>
      <c r="H7" s="31" t="n">
        <f aca="false">C7*G7</f>
        <v>0.070875</v>
      </c>
      <c r="I7" s="32" t="n">
        <f aca="false">IF(F7&gt;0,B7/F7,0)</f>
        <v>21.4285714285714</v>
      </c>
      <c r="J7" s="32" t="n">
        <f aca="false">IF(E7&gt;0,I7/E7,0)</f>
        <v>23.8095238095238</v>
      </c>
      <c r="K7" s="32" t="n">
        <f aca="false">IF(D7&gt;0,J7/D7,0)</f>
        <v>52.9100529100529</v>
      </c>
      <c r="L7" s="29" t="n">
        <f aca="false">IF(C7&gt;0,K7/C7,0)</f>
        <v>211.640211640212</v>
      </c>
      <c r="M7" s="29" t="n">
        <f aca="false">SUMIFS(Channels!$W:$W,Channels!$C:$C,A7)</f>
        <v>226.471333852253</v>
      </c>
      <c r="N7" s="31" t="n">
        <f aca="false">IF(M7&gt;0,O7/M7,0)</f>
        <v>0.228839350342959</v>
      </c>
      <c r="O7" s="32" t="n">
        <f aca="false">SUMIFS(Channels!$V:$V,Channels!$C:$C,A7)</f>
        <v>51.8255529100529</v>
      </c>
      <c r="P7" s="31" t="n">
        <f aca="false">IF($B$22&gt;0,O7/$B$22,0)</f>
        <v>0.164899486531987</v>
      </c>
    </row>
    <row r="8" customFormat="false" ht="15" hidden="false" customHeight="false" outlineLevel="0" collapsed="false">
      <c r="A8" s="28" t="s">
        <v>54</v>
      </c>
      <c r="B8" s="29" t="n">
        <f aca="false">Assumptions!$D$14</f>
        <v>10</v>
      </c>
      <c r="C8" s="30" t="n">
        <f aca="false">Assumptions!$D$32</f>
        <v>0.23</v>
      </c>
      <c r="D8" s="30" t="n">
        <f aca="false">Assumptions!$D$36</f>
        <v>0.4</v>
      </c>
      <c r="E8" s="30" t="n">
        <f aca="false">Assumptions!$D$40</f>
        <v>0.85</v>
      </c>
      <c r="F8" s="30" t="n">
        <f aca="false">Assumptions!$D$44</f>
        <v>0.7</v>
      </c>
      <c r="G8" s="31" t="n">
        <f aca="false">D8*E8*F8</f>
        <v>0.238</v>
      </c>
      <c r="H8" s="31" t="n">
        <f aca="false">C8*G8</f>
        <v>0.05474</v>
      </c>
      <c r="I8" s="32" t="n">
        <f aca="false">IF(F8&gt;0,B8/F8,0)</f>
        <v>14.2857142857143</v>
      </c>
      <c r="J8" s="32" t="n">
        <f aca="false">IF(E8&gt;0,I8/E8,0)</f>
        <v>16.8067226890756</v>
      </c>
      <c r="K8" s="32" t="n">
        <f aca="false">IF(D8&gt;0,J8/D8,0)</f>
        <v>42.0168067226891</v>
      </c>
      <c r="L8" s="29" t="n">
        <f aca="false">IF(C8&gt;0,K8/C8,0)</f>
        <v>182.681768359518</v>
      </c>
      <c r="M8" s="29" t="n">
        <f aca="false">SUMIFS(Channels!$W:$W,Channels!$C:$C,A8)</f>
        <v>191.361952429259</v>
      </c>
      <c r="N8" s="31" t="n">
        <f aca="false">IF(M8&gt;0,O8/M8,0)</f>
        <v>0.2148875792741</v>
      </c>
      <c r="O8" s="32" t="n">
        <f aca="false">SUMIFS(Channels!$V:$V,Channels!$C:$C,A8)</f>
        <v>41.1213067226891</v>
      </c>
      <c r="P8" s="31" t="n">
        <f aca="false">IF($B$22&gt;0,O8/$B$22,0)</f>
        <v>0.130840521390374</v>
      </c>
    </row>
    <row r="9" customFormat="false" ht="15" hidden="false" customHeight="false" outlineLevel="0" collapsed="false">
      <c r="A9" s="28" t="s">
        <v>463</v>
      </c>
      <c r="B9" s="33" t="n">
        <f aca="false">SUM(B5:B8)</f>
        <v>100</v>
      </c>
      <c r="G9" s="34" t="n">
        <f aca="false">IF(K9&gt;0,B9/K9,0)</f>
        <v>0.321154020899591</v>
      </c>
      <c r="I9" s="35" t="n">
        <f aca="false">SUM(I5:I8)</f>
        <v>138.571428571429</v>
      </c>
      <c r="J9" s="35" t="n">
        <f aca="false">SUM(J5:J8)</f>
        <v>154.901960784314</v>
      </c>
      <c r="K9" s="35" t="n">
        <f aca="false">SUM(K5:K8)</f>
        <v>311.377076082958</v>
      </c>
      <c r="L9" s="33" t="n">
        <f aca="false">SUM(L5:L8)</f>
        <v>1260.1228458006</v>
      </c>
      <c r="M9" s="33" t="n">
        <f aca="false">SUM(M5:M8)</f>
        <v>1494.57524317419</v>
      </c>
      <c r="N9" s="34" t="n">
        <f aca="false">IF(M9&gt;0,O9/M9,0)</f>
        <v>0.206060603164336</v>
      </c>
      <c r="O9" s="35" t="n">
        <f aca="false">SUM(O5:O8)</f>
        <v>307.973076082958</v>
      </c>
      <c r="P9" s="34" t="n">
        <f aca="false">IF($B$22&gt;0,O9/$B$22,0)</f>
        <v>0.979914332991232</v>
      </c>
    </row>
    <row r="10" customFormat="false" ht="15" hidden="false" customHeight="false" outlineLevel="0" collapsed="false">
      <c r="A10" s="2" t="s">
        <v>464</v>
      </c>
    </row>
    <row r="12" customFormat="false" ht="15" hidden="false" customHeight="false" outlineLevel="0" collapsed="false">
      <c r="A12" s="28" t="s">
        <v>465</v>
      </c>
    </row>
    <row r="13" customFormat="false" ht="15" hidden="false" customHeight="false" outlineLevel="0" collapsed="false">
      <c r="A13" s="2" t="s">
        <v>466</v>
      </c>
      <c r="B13" s="36" t="n">
        <f aca="false">Assumptions!$D$7+Assumptions!$D$19</f>
        <v>46317</v>
      </c>
    </row>
    <row r="14" customFormat="false" ht="15" hidden="false" customHeight="false" outlineLevel="0" collapsed="false">
      <c r="A14" s="2" t="s">
        <v>467</v>
      </c>
      <c r="B14" s="36" t="n">
        <f aca="false">Assumptions!$D$20</f>
        <v>46374</v>
      </c>
    </row>
    <row r="15" customFormat="false" ht="15" hidden="false" customHeight="false" outlineLevel="0" collapsed="false">
      <c r="A15" s="2" t="s">
        <v>468</v>
      </c>
      <c r="B15" s="29" t="n">
        <f aca="false">Assumptions!$D$22+Assumptions!$D$23+Assumptions!$D$24</f>
        <v>18</v>
      </c>
    </row>
    <row r="16" customFormat="false" ht="15" hidden="false" customHeight="false" outlineLevel="0" collapsed="false">
      <c r="A16" s="2" t="s">
        <v>469</v>
      </c>
      <c r="B16" s="29" t="n">
        <f aca="false">B15+Assumptions!$D$25</f>
        <v>25</v>
      </c>
    </row>
    <row r="17" customFormat="false" ht="15" hidden="false" customHeight="false" outlineLevel="0" collapsed="false">
      <c r="A17" s="2" t="s">
        <v>470</v>
      </c>
      <c r="B17" s="36" t="n">
        <f aca="false">B14-B15</f>
        <v>46356</v>
      </c>
    </row>
    <row r="18" customFormat="false" ht="15" hidden="false" customHeight="false" outlineLevel="0" collapsed="false">
      <c r="A18" s="2" t="s">
        <v>471</v>
      </c>
      <c r="B18" s="36" t="n">
        <f aca="false">B14-B16</f>
        <v>46349</v>
      </c>
    </row>
    <row r="19" customFormat="false" ht="15" hidden="false" customHeight="false" outlineLevel="0" collapsed="false">
      <c r="A19" s="2" t="s">
        <v>11</v>
      </c>
      <c r="B19" s="37" t="n">
        <f aca="false">B17-Assumptions!$D$21</f>
        <v>46350</v>
      </c>
    </row>
    <row r="20" customFormat="false" ht="15" hidden="false" customHeight="false" outlineLevel="0" collapsed="false">
      <c r="A20" s="2" t="s">
        <v>12</v>
      </c>
      <c r="B20" s="36" t="n">
        <f aca="false">B18-Assumptions!$D$21</f>
        <v>46343</v>
      </c>
    </row>
    <row r="21" customFormat="false" ht="15" hidden="false" customHeight="false" outlineLevel="0" collapsed="false">
      <c r="A21" s="2" t="s">
        <v>472</v>
      </c>
      <c r="B21" s="29" t="n">
        <f aca="false">MAX(0,B17-B13+1)</f>
        <v>40</v>
      </c>
    </row>
    <row r="22" customFormat="false" ht="15" hidden="false" customHeight="false" outlineLevel="0" collapsed="false">
      <c r="A22" s="2" t="s">
        <v>9</v>
      </c>
      <c r="B22" s="38" t="n">
        <f aca="false">Assumptions!$D$9*B21/7</f>
        <v>314.285714285714</v>
      </c>
    </row>
    <row r="23" customFormat="false" ht="15" hidden="false" customHeight="false" outlineLevel="0" collapsed="false">
      <c r="A23" s="2" t="s">
        <v>473</v>
      </c>
      <c r="B23" s="29" t="n">
        <f aca="false">O9</f>
        <v>307.973076082958</v>
      </c>
    </row>
    <row r="24" customFormat="false" ht="15" hidden="false" customHeight="false" outlineLevel="0" collapsed="false">
      <c r="A24" s="2" t="s">
        <v>10</v>
      </c>
      <c r="B24" s="39" t="n">
        <f aca="false">IF(B22&gt;0,B23/B22,IF(B23&gt;0,9.99,0))</f>
        <v>0.979914332991232</v>
      </c>
      <c r="C24" s="28" t="str">
        <f aca="false">IF(B24&gt;1,"OVER CAPACITY – plan cannot be assessed",IF(B24&gt;Assumptions!$D$101,"Tight: little headroom","OK"))</f>
        <v>Tight: little headroom</v>
      </c>
    </row>
    <row r="25" customFormat="false" ht="15" hidden="false" customHeight="false" outlineLevel="0" collapsed="false">
      <c r="A25" s="2" t="s">
        <v>474</v>
      </c>
      <c r="B25" s="31" t="n">
        <f aca="false">IF(O9&gt;0,Channels!U35/O9,0)</f>
        <v>0.32470370875233</v>
      </c>
    </row>
    <row r="26" customFormat="false" ht="15" hidden="false" customHeight="false" outlineLevel="0" collapsed="false">
      <c r="A26" s="2" t="s">
        <v>475</v>
      </c>
      <c r="B26" s="38" t="n">
        <f aca="false">B22*B25</f>
        <v>102.049737036446</v>
      </c>
      <c r="C26" s="2" t="s">
        <v>476</v>
      </c>
    </row>
    <row r="28" customFormat="false" ht="15" hidden="false" customHeight="false" outlineLevel="0" collapsed="false">
      <c r="A28" s="28" t="s">
        <v>477</v>
      </c>
    </row>
    <row r="29" customFormat="false" ht="60" hidden="false" customHeight="true" outlineLevel="0" collapsed="false">
      <c r="A29" s="12" t="s">
        <v>322</v>
      </c>
      <c r="B29" s="12" t="s">
        <v>47</v>
      </c>
      <c r="C29" s="12" t="s">
        <v>478</v>
      </c>
      <c r="D29" s="12" t="s">
        <v>479</v>
      </c>
      <c r="E29" s="12" t="s">
        <v>480</v>
      </c>
      <c r="F29" s="12" t="s">
        <v>481</v>
      </c>
      <c r="G29" s="12" t="s">
        <v>482</v>
      </c>
      <c r="H29" s="12" t="s">
        <v>483</v>
      </c>
      <c r="I29" s="12" t="s">
        <v>484</v>
      </c>
      <c r="J29" s="12" t="s">
        <v>485</v>
      </c>
      <c r="K29" s="12" t="s">
        <v>486</v>
      </c>
      <c r="L29" s="12" t="s">
        <v>487</v>
      </c>
    </row>
    <row r="30" customFormat="false" ht="15" hidden="false" customHeight="false" outlineLevel="0" collapsed="false">
      <c r="A30" s="28" t="s">
        <v>48</v>
      </c>
      <c r="B30" s="29" t="n">
        <f aca="false">B5</f>
        <v>30</v>
      </c>
      <c r="C30" s="32" t="n">
        <f aca="false">O5</f>
        <v>96.2530952380952</v>
      </c>
      <c r="D30" s="32" t="n">
        <f aca="false">SUMIFS(Channels!$N:$N,Channels!$C:$C,A30)</f>
        <v>110.22165</v>
      </c>
      <c r="E30" s="40" t="n">
        <f aca="false">IF(B30&gt;0,D30/B30,0)</f>
        <v>3.674055</v>
      </c>
      <c r="F30" s="29" t="n">
        <f aca="false">Funnel!F58</f>
        <v>569</v>
      </c>
      <c r="G30" s="31" t="n">
        <f aca="false">Funnel!H58</f>
        <v>0.117316511841995</v>
      </c>
      <c r="H30" s="41" t="n">
        <f aca="false">_xlfn.MAXIFS(Channels!$P:$P,Channels!$C:$C,A30,Channels!$AI:$AI,"&gt;0")</f>
        <v>2271.6049382716</v>
      </c>
      <c r="I30" s="2" t="s">
        <v>488</v>
      </c>
      <c r="J30" s="2" t="s">
        <v>489</v>
      </c>
      <c r="K30" s="40" t="n">
        <f aca="false">IF(B30&gt;0,(D30-SUMIFS(Channels!$N:$N,Channels!$A:$A,"I2-E",Channels!$C:$C,A30))/B30,0)</f>
        <v>3.39528</v>
      </c>
      <c r="L30" s="40" t="n">
        <f aca="false">IF(B30&gt;0,K30,1000000000)</f>
        <v>3.39528</v>
      </c>
    </row>
    <row r="31" customFormat="false" ht="15" hidden="false" customHeight="false" outlineLevel="0" collapsed="false">
      <c r="A31" s="28" t="s">
        <v>43</v>
      </c>
      <c r="B31" s="29" t="n">
        <f aca="false">B6</f>
        <v>45</v>
      </c>
      <c r="C31" s="32" t="n">
        <f aca="false">O6</f>
        <v>118.773121212121</v>
      </c>
      <c r="D31" s="32" t="n">
        <f aca="false">SUMIFS(Channels!$N:$N,Channels!$C:$C,A31)</f>
        <v>551.69006625</v>
      </c>
      <c r="E31" s="40" t="n">
        <f aca="false">IF(B31&gt;0,D31/B31,0)</f>
        <v>12.25977925</v>
      </c>
      <c r="F31" s="29" t="n">
        <f aca="false">Funnel!F59</f>
        <v>2932</v>
      </c>
      <c r="G31" s="31" t="n">
        <f aca="false">Funnel!H59</f>
        <v>0.0405092500723469</v>
      </c>
      <c r="H31" s="41" t="n">
        <f aca="false">_xlfn.MAXIFS(Channels!$P:$P,Channels!$C:$C,A31,Channels!$AI:$AI,"&gt;0")</f>
        <v>1927.42237186682</v>
      </c>
      <c r="I31" s="2" t="s">
        <v>490</v>
      </c>
      <c r="J31" s="2" t="s">
        <v>491</v>
      </c>
      <c r="K31" s="40" t="n">
        <f aca="false">IF(B31&gt;0,(D31-SUMIFS(Channels!$N:$N,Channels!$A:$A,"I2-E",Channels!$C:$C,A31))/B31,0)</f>
        <v>12.25977925</v>
      </c>
      <c r="L31" s="40" t="n">
        <f aca="false">IF(B31&gt;0,K31,1000000000)</f>
        <v>12.25977925</v>
      </c>
    </row>
    <row r="32" customFormat="false" ht="15" hidden="false" customHeight="false" outlineLevel="0" collapsed="false">
      <c r="A32" s="28" t="s">
        <v>52</v>
      </c>
      <c r="B32" s="29" t="n">
        <f aca="false">B7</f>
        <v>15</v>
      </c>
      <c r="C32" s="32" t="n">
        <f aca="false">O7</f>
        <v>51.8255529100529</v>
      </c>
      <c r="D32" s="32" t="n">
        <f aca="false">SUMIFS(Channels!$N:$N,Channels!$C:$C,A32)</f>
        <v>47.90852325</v>
      </c>
      <c r="E32" s="40" t="n">
        <f aca="false">IF(B32&gt;0,D32/B32,0)</f>
        <v>3.19390155</v>
      </c>
      <c r="F32" s="29" t="n">
        <f aca="false">Funnel!F60</f>
        <v>236</v>
      </c>
      <c r="G32" s="31" t="n">
        <f aca="false">Funnel!H60</f>
        <v>0.219599800466326</v>
      </c>
      <c r="H32" s="41" t="n">
        <f aca="false">_xlfn.MAXIFS(Channels!$P:$P,Channels!$C:$C,A32,Channels!$AI:$AI,"&gt;0")</f>
        <v>1504.99706055262</v>
      </c>
      <c r="I32" s="2" t="s">
        <v>488</v>
      </c>
      <c r="J32" s="2" t="s">
        <v>491</v>
      </c>
      <c r="K32" s="40" t="n">
        <f aca="false">IF(B32&gt;0,(D32-SUMIFS(Channels!$N:$N,Channels!$A:$A,"I2-E",Channels!$C:$C,A32))/B32,0)</f>
        <v>3.19390155</v>
      </c>
      <c r="L32" s="40" t="n">
        <f aca="false">IF(B32&gt;0,K32,1000000000)</f>
        <v>3.19390155</v>
      </c>
    </row>
    <row r="33" customFormat="false" ht="15" hidden="false" customHeight="false" outlineLevel="0" collapsed="false">
      <c r="A33" s="28" t="s">
        <v>54</v>
      </c>
      <c r="B33" s="29" t="n">
        <f aca="false">B8</f>
        <v>10</v>
      </c>
      <c r="C33" s="32" t="n">
        <f aca="false">O8</f>
        <v>41.1213067226891</v>
      </c>
      <c r="D33" s="32" t="n">
        <f aca="false">SUMIFS(Channels!$N:$N,Channels!$C:$C,A33)</f>
        <v>39.749451</v>
      </c>
      <c r="E33" s="40" t="n">
        <f aca="false">IF(B33&gt;0,D33/B33,0)</f>
        <v>3.9749451</v>
      </c>
      <c r="F33" s="29" t="n">
        <f aca="false">Funnel!F61</f>
        <v>246</v>
      </c>
      <c r="G33" s="31" t="n">
        <f aca="false">Funnel!H61</f>
        <v>0.167159783425565</v>
      </c>
      <c r="H33" s="41" t="n">
        <f aca="false">_xlfn.MAXIFS(Channels!$P:$P,Channels!$C:$C,A33,Channels!$AI:$AI,"&gt;0")</f>
        <v>1948.60552916819</v>
      </c>
      <c r="I33" s="2" t="s">
        <v>488</v>
      </c>
      <c r="J33" s="2" t="s">
        <v>491</v>
      </c>
      <c r="K33" s="40" t="n">
        <f aca="false">IF(B33&gt;0,(D33-SUMIFS(Channels!$N:$N,Channels!$A:$A,"I2-E",Channels!$C:$C,A33))/B33,0)</f>
        <v>3.9749451</v>
      </c>
      <c r="L33" s="40" t="n">
        <f aca="false">IF(B33&gt;0,K33,1000000000)</f>
        <v>3.9749451</v>
      </c>
    </row>
    <row r="35" customFormat="false" ht="30" hidden="false" customHeight="true" outlineLevel="0" collapsed="false">
      <c r="A35" s="9" t="str">
        <f aca="false">"Hardest role: "&amp;Summary!C16&amp;", the highest in column H. Why: industrial electricians are the scarcest trade in Brandenburg (KOFA 2026: 85.7% of vacancies have no suitable unemployed candidate vs 41.4% overall, https://www.kofa.de/media/Publikationen/Laendersteckbriefe/Brandenburg.pdf), and they have no Polish or foreign-trained route under the brief. Automation’s pool and channel coverage are tighter (column G: "&amp;TEXT(G32,"0%")&amp;" of reachable people vs "&amp;TEXT(G30,"0%")&amp;"; column E: "&amp;TEXT(E32,"0.0")&amp;"× vs "&amp;TEXT(E30,"0.0")&amp;"×), but it needs only "&amp;B32&amp;" hires and its last hire is cheaper, so it is watched in the weekly pool check rather than ranked hardest."</f>
        <v>Hardest role: Electricians (last hire costs €2,272), the highest in column H. Why: industrial electricians are the scarcest trade in Brandenburg (KOFA 2026: 85.7% of vacancies have no suitable unemployed candidate vs 41.4% overall, https://www.kofa.de/media/Publikationen/Laendersteckbriefe/Brandenburg.pdf), and they have no Polish or foreign-trained route under the brief. Automation’s pool and channel coverage are tighter (column G: 22% of reachable people vs 12%; column E: 3.2× vs 3.7×), but it needs only 15 hires and its last hire is cheaper, so it is watched in the weekly pool check rather than ranked hardest.</v>
      </c>
      <c r="B35" s="9"/>
      <c r="C35" s="9"/>
      <c r="D35" s="9"/>
      <c r="E35" s="9"/>
      <c r="F35" s="9"/>
      <c r="G35" s="9"/>
      <c r="H35" s="9"/>
      <c r="I35" s="9"/>
      <c r="J35" s="9"/>
    </row>
    <row r="36" customFormat="false" ht="15" hidden="false" customHeight="false" outlineLevel="0" collapsed="false">
      <c r="A36" s="9"/>
      <c r="B36" s="9"/>
      <c r="C36" s="9"/>
      <c r="D36" s="9"/>
      <c r="E36" s="9"/>
      <c r="F36" s="9"/>
      <c r="G36" s="9"/>
      <c r="H36" s="9"/>
      <c r="I36" s="9"/>
      <c r="J36" s="9"/>
    </row>
    <row r="37" customFormat="false" ht="15" hidden="false" customHeight="false" outlineLevel="0" collapsed="false">
      <c r="A37" s="9"/>
      <c r="B37" s="9"/>
      <c r="C37" s="9"/>
      <c r="D37" s="9"/>
      <c r="E37" s="9"/>
      <c r="F37" s="9"/>
      <c r="G37" s="9"/>
      <c r="H37" s="9"/>
      <c r="I37" s="9"/>
      <c r="J37" s="9"/>
    </row>
    <row r="39" customFormat="false" ht="15" hidden="false" customHeight="false" outlineLevel="0" collapsed="false">
      <c r="A39" s="28" t="s">
        <v>492</v>
      </c>
    </row>
    <row r="40" customFormat="false" ht="15" hidden="false" customHeight="false" outlineLevel="0" collapsed="false">
      <c r="A40" s="2" t="s">
        <v>493</v>
      </c>
      <c r="B40" s="30" t="n">
        <f aca="false">Assumptions!$D$64</f>
        <v>0.3</v>
      </c>
    </row>
    <row r="41" customFormat="false" ht="45" hidden="false" customHeight="true" outlineLevel="0" collapsed="false">
      <c r="A41" s="12" t="s">
        <v>494</v>
      </c>
      <c r="B41" s="12" t="s">
        <v>495</v>
      </c>
      <c r="C41" s="12" t="s">
        <v>10</v>
      </c>
      <c r="D41" s="12" t="s">
        <v>496</v>
      </c>
      <c r="E41" s="12" t="s">
        <v>497</v>
      </c>
      <c r="F41" s="12" t="s">
        <v>498</v>
      </c>
      <c r="G41" s="12" t="s">
        <v>499</v>
      </c>
      <c r="H41" s="12" t="s">
        <v>500</v>
      </c>
    </row>
    <row r="42" customFormat="false" ht="30" hidden="false" customHeight="true" outlineLevel="0" collapsed="false">
      <c r="A42" s="13" t="s">
        <v>501</v>
      </c>
      <c r="B42" s="29" t="n">
        <f aca="false">O9</f>
        <v>307.973076082958</v>
      </c>
      <c r="C42" s="30" t="n">
        <f aca="false">IF(($B$22)&gt;0,B42/($B$22),IF(B42&gt;0,9.99,0))</f>
        <v>0.979914332991232</v>
      </c>
      <c r="D42" s="38" t="n">
        <f aca="false">MIN($B$9,IF(B42&gt;0,$B$22/B42*$B$9,$B$9),MIN(B5,D30*1)+MIN(B6,D31*1)+MIN(B7,D32*1)+MIN(B8,D33*1))</f>
        <v>100</v>
      </c>
      <c r="E42" s="29" t="n">
        <f aca="false">$B$9-D42</f>
        <v>0</v>
      </c>
      <c r="F42" s="41" t="n">
        <f aca="false">Budget!$C$7*1</f>
        <v>102255.847555873</v>
      </c>
      <c r="G42" s="30" t="n">
        <f aca="false">IF(Budget!$C$7&gt;0,F42/Budget!$C$7-1,0)</f>
        <v>0</v>
      </c>
      <c r="H42" s="13" t="s">
        <v>502</v>
      </c>
    </row>
    <row r="43" customFormat="false" ht="30" hidden="false" customHeight="true" outlineLevel="0" collapsed="false">
      <c r="A43" s="13" t="s">
        <v>503</v>
      </c>
      <c r="B43" s="29" t="n">
        <f aca="false">O9/(1-$B$40)</f>
        <v>439.961537261369</v>
      </c>
      <c r="C43" s="30" t="n">
        <f aca="false">IF(($B$22)&gt;0,B43/($B$22),IF(B43&gt;0,9.99,0))</f>
        <v>1.3998776185589</v>
      </c>
      <c r="D43" s="38" t="n">
        <f aca="false">MIN($B$9,IF(B43&gt;0,$B$22/B43*$B$9,$B$9),MIN(B5,D30*(1-$B$40))+MIN(B6,D31*(1-$B$40))+MIN(B7,D32*(1-$B$40))+MIN(B8,D33*(1-$B$40)))</f>
        <v>71.4348159255125</v>
      </c>
      <c r="E43" s="29" t="n">
        <f aca="false">$B$9-D43</f>
        <v>28.5651840744875</v>
      </c>
      <c r="F43" s="41" t="n">
        <f aca="false">Budget!$C$7*1/(1-$B$40)</f>
        <v>146079.782222676</v>
      </c>
      <c r="G43" s="30" t="n">
        <f aca="false">IF(Budget!$C$7&gt;0,F43/Budget!$C$7-1,0)</f>
        <v>0.428571428571429</v>
      </c>
      <c r="H43" s="13" t="s">
        <v>504</v>
      </c>
    </row>
    <row r="44" customFormat="false" ht="30" hidden="false" customHeight="true" outlineLevel="0" collapsed="false">
      <c r="A44" s="13" t="s">
        <v>505</v>
      </c>
      <c r="B44" s="29" t="n">
        <f aca="false">O9/(1-$B$40)</f>
        <v>439.961537261369</v>
      </c>
      <c r="C44" s="30" t="n">
        <f aca="false">IF(($B$22)&gt;0,B44/($B$22),IF(B44&gt;0,9.99,0))</f>
        <v>1.3998776185589</v>
      </c>
      <c r="D44" s="38" t="n">
        <f aca="false">MIN($B$9,IF(B44&gt;0,$B$22/B44*$B$9,$B$9),MIN(B5,D30*(1-$B$40))+MIN(B6,D31*(1-$B$40))+MIN(B7,D32*(1-$B$40))+MIN(B8,D33*(1-$B$40)))</f>
        <v>71.4348159255125</v>
      </c>
      <c r="E44" s="29" t="n">
        <f aca="false">$B$9-D44</f>
        <v>28.5651840744875</v>
      </c>
      <c r="F44" s="41" t="n">
        <f aca="false">Budget!$C$7*1/(1-$B$40)</f>
        <v>146079.782222676</v>
      </c>
      <c r="G44" s="30" t="n">
        <f aca="false">IF(Budget!$C$7&gt;0,F44/Budget!$C$7-1,0)</f>
        <v>0.428571428571429</v>
      </c>
      <c r="H44" s="13" t="s">
        <v>506</v>
      </c>
    </row>
    <row r="45" customFormat="false" ht="30" hidden="false" customHeight="true" outlineLevel="0" collapsed="false">
      <c r="A45" s="13" t="s">
        <v>507</v>
      </c>
      <c r="B45" s="29" t="n">
        <f aca="false">O9</f>
        <v>307.973076082958</v>
      </c>
      <c r="C45" s="30" t="n">
        <f aca="false">IF(($B$22)&gt;0,B45/($B$22),IF(B45&gt;0,9.99,0))</f>
        <v>0.979914332991232</v>
      </c>
      <c r="D45" s="38" t="n">
        <f aca="false">MIN($B$9,IF(B45&gt;0,$B$22/B45*$B$9,$B$9),MIN(B5,D30*(1-$B$40))+MIN(B6,D31*(1-$B$40))+MIN(B7,D32*(1-$B$40))+MIN(B8,D33*(1-$B$40)))</f>
        <v>100</v>
      </c>
      <c r="E45" s="29" t="n">
        <f aca="false">$B$9-D45</f>
        <v>0</v>
      </c>
      <c r="F45" s="41" t="n">
        <f aca="false">Budget!$C$7*1/(1-$B$40)</f>
        <v>146079.782222676</v>
      </c>
      <c r="G45" s="30" t="n">
        <f aca="false">IF(Budget!$C$7&gt;0,F45/Budget!$C$7-1,0)</f>
        <v>0.428571428571429</v>
      </c>
      <c r="H45" s="13" t="s">
        <v>508</v>
      </c>
    </row>
    <row r="46" customFormat="false" ht="30" hidden="false" customHeight="true" outlineLevel="0" collapsed="false">
      <c r="A46" s="13" t="s">
        <v>509</v>
      </c>
      <c r="B46" s="29" t="n">
        <f aca="false">O9</f>
        <v>307.973076082958</v>
      </c>
      <c r="C46" s="30" t="n">
        <f aca="false">IF(($B$22)&gt;0,B46/($B$22),IF(B46&gt;0,9.99,0))</f>
        <v>0.979914332991232</v>
      </c>
      <c r="D46" s="38" t="n">
        <f aca="false">MIN($B$9,IF(B46&gt;0,$B$22/B46*$B$9,$B$9),MIN(B5,D30*1)+MIN(B6,D31*1)+MIN(B7,D32*1)+MIN(B8,D33*1))</f>
        <v>100</v>
      </c>
      <c r="E46" s="29" t="n">
        <f aca="false">$B$9-D46</f>
        <v>0</v>
      </c>
      <c r="F46" s="41" t="n">
        <f aca="false">Budget!$C$7*(1+$B$40)</f>
        <v>132932.601822636</v>
      </c>
      <c r="G46" s="30" t="n">
        <f aca="false">IF(Budget!$C$7&gt;0,F46/Budget!$C$7-1,0)</f>
        <v>0.3</v>
      </c>
      <c r="H46" s="13" t="s">
        <v>510</v>
      </c>
    </row>
    <row r="47" customFormat="false" ht="30" hidden="false" customHeight="true" outlineLevel="0" collapsed="false">
      <c r="A47" s="13" t="s">
        <v>511</v>
      </c>
      <c r="B47" s="29" t="n">
        <f aca="false">O9</f>
        <v>307.973076082958</v>
      </c>
      <c r="C47" s="30" t="n">
        <f aca="false">IF(($B$22*(1-$B$40))&gt;0,B47/($B$22*(1-$B$40)),IF(B47&gt;0,9.99,0))</f>
        <v>1.3998776185589</v>
      </c>
      <c r="D47" s="38" t="n">
        <f aca="false">MIN($B$9,IF(B47&gt;0,$B$22*(1-$B$40)/B47*$B$9,$B$9),MIN(B5,D30*1)+MIN(B6,D31*1)+MIN(B7,D32*1)+MIN(B8,D33*1))</f>
        <v>71.4348159255125</v>
      </c>
      <c r="E47" s="29" t="n">
        <f aca="false">$B$9-D47</f>
        <v>28.5651840744875</v>
      </c>
      <c r="F47" s="41" t="n">
        <f aca="false">Budget!$C$7*1</f>
        <v>102255.847555873</v>
      </c>
      <c r="G47" s="30" t="n">
        <f aca="false">IF(Budget!$C$7&gt;0,F47/Budget!$C$7-1,0)</f>
        <v>0</v>
      </c>
      <c r="H47" s="13" t="s">
        <v>512</v>
      </c>
    </row>
    <row r="49" customFormat="false" ht="15" hidden="false" customHeight="false" outlineLevel="0" collapsed="false">
      <c r="A49" s="28" t="s">
        <v>513</v>
      </c>
      <c r="D49" s="8" t="str">
        <f aca="false">INDEX(A43:A46,MATCH(MAX(E43:E46),E43:E46,0))</f>
        <v>Qualified → signed (assessment pass rate) ×0.7</v>
      </c>
    </row>
    <row r="50" customFormat="false" ht="15" hidden="false" customHeight="false" outlineLevel="0" collapsed="false">
      <c r="A50" s="9" t="str">
        <f aca="false">IF(AND(E43&gt;0,ROUND(E43,6)=ROUND(E44,6)),"Pass rate and acceptance tie ("&amp;TEXT(E43,"0")&amp;" hires lost each). I name the pass rate: it depends on this plant’s own test, so it is the least known, and it can only be read after interviews (week-2 check). Acceptance can be protected with fast offers. ","")&amp;"Why it matters: assessment capacity, not money, is the limit, so a lower pass rate or acceptance can’t be fixed by spending more; a lower share qualified or dearer clicks only cost money."</f>
        <v>Pass rate and acceptance tie (29 hires lost each). I name the pass rate: it depends on this plant’s own test, so it is the least known, and it can only be read after interviews (week-2 check). Acceptance can be protected with fast offers. Why it matters: assessment capacity, not money, is the limit, so a lower pass rate or acceptance can’t be fixed by spending more; a lower share qualified or dearer clicks only cost money.</v>
      </c>
      <c r="B50" s="9"/>
      <c r="C50" s="9"/>
      <c r="D50" s="9"/>
      <c r="E50" s="9"/>
      <c r="F50" s="9"/>
      <c r="G50" s="9"/>
      <c r="H50" s="9"/>
    </row>
    <row r="51" customFormat="false" ht="15" hidden="false" customHeight="false" outlineLevel="0" collapsed="false">
      <c r="A51" s="9"/>
      <c r="B51" s="9"/>
      <c r="C51" s="9"/>
      <c r="D51" s="9"/>
      <c r="E51" s="9"/>
      <c r="F51" s="9"/>
      <c r="G51" s="9"/>
      <c r="H51" s="9"/>
    </row>
    <row r="54" customFormat="false" ht="17.35" hidden="false" customHeight="false" outlineLevel="0" collapsed="false">
      <c r="A54" s="1" t="s">
        <v>514</v>
      </c>
    </row>
    <row r="57" customFormat="false" ht="45" hidden="false" customHeight="true" outlineLevel="0" collapsed="false">
      <c r="A57" s="12" t="s">
        <v>322</v>
      </c>
      <c r="B57" s="12" t="s">
        <v>515</v>
      </c>
      <c r="C57" s="12" t="s">
        <v>516</v>
      </c>
      <c r="D57" s="12" t="s">
        <v>517</v>
      </c>
      <c r="E57" s="12" t="s">
        <v>518</v>
      </c>
      <c r="F57" s="12" t="s">
        <v>519</v>
      </c>
      <c r="G57" s="12" t="s">
        <v>520</v>
      </c>
      <c r="H57" s="12" t="s">
        <v>521</v>
      </c>
      <c r="I57" s="12" t="s">
        <v>522</v>
      </c>
      <c r="J57" s="12" t="s">
        <v>523</v>
      </c>
      <c r="K57" s="12" t="s">
        <v>524</v>
      </c>
    </row>
    <row r="58" customFormat="false" ht="15" hidden="false" customHeight="false" outlineLevel="0" collapsed="false">
      <c r="A58" s="28" t="s">
        <v>48</v>
      </c>
      <c r="B58" s="29" t="n">
        <f aca="false">Assumptions!$D$68</f>
        <v>4800</v>
      </c>
      <c r="C58" s="30" t="n">
        <f aca="false">Assumptions!$D$72</f>
        <v>0.11</v>
      </c>
      <c r="D58" s="29" t="n">
        <f aca="false">B58*C58</f>
        <v>528</v>
      </c>
      <c r="E58" s="29" t="n">
        <f aca="false">Assumptions!$D$76</f>
        <v>41</v>
      </c>
      <c r="F58" s="29" t="n">
        <f aca="false">D58+E58</f>
        <v>569</v>
      </c>
      <c r="G58" s="29" t="n">
        <f aca="false">Funnel!O5-SUMIFS(Channels!$V:$V,Channels!$A:$A,"I2-E",Channels!$C:$C,A58)</f>
        <v>66.7530952380952</v>
      </c>
      <c r="H58" s="30" t="n">
        <f aca="false">IF(F58&gt;0,G58/F58,0)</f>
        <v>0.117316511841995</v>
      </c>
      <c r="I58" s="29" t="n">
        <f aca="false">SUMIFS(Channels!$K:$K,Channels!$C:$C,A58)-SUMIFS(Channels!$K:$K,Channels!$A:$A,"I2-E",Channels!$C:$C,A58)</f>
        <v>321.425</v>
      </c>
      <c r="J58" s="30" t="n">
        <f aca="false">IF(F58&gt;0,I58/F58,0)</f>
        <v>0.564894551845343</v>
      </c>
      <c r="K58" s="2" t="str">
        <f aca="false">IF(H58&gt;Assumptions!$D$99,"Very hard",IF(H58&gt;Assumptions!$D$100,"Tight","Comfortable"))</f>
        <v>Comfortable</v>
      </c>
    </row>
    <row r="59" customFormat="false" ht="15" hidden="false" customHeight="false" outlineLevel="0" collapsed="false">
      <c r="A59" s="28" t="s">
        <v>43</v>
      </c>
      <c r="B59" s="29" t="n">
        <f aca="false">Assumptions!$D$69</f>
        <v>26400</v>
      </c>
      <c r="C59" s="30" t="n">
        <f aca="false">Assumptions!$D$73</f>
        <v>0.11</v>
      </c>
      <c r="D59" s="29" t="n">
        <f aca="false">B59*C59</f>
        <v>2904</v>
      </c>
      <c r="E59" s="29" t="n">
        <f aca="false">Assumptions!$D$77</f>
        <v>28</v>
      </c>
      <c r="F59" s="29" t="n">
        <f aca="false">D59+E59</f>
        <v>2932</v>
      </c>
      <c r="G59" s="29" t="n">
        <f aca="false">Funnel!O6-SUMIFS(Channels!$V:$V,Channels!$A:$A,"I2-E",Channels!$C:$C,A59)</f>
        <v>118.773121212121</v>
      </c>
      <c r="H59" s="30" t="n">
        <f aca="false">IF(F59&gt;0,G59/F59,0)</f>
        <v>0.0405092500723469</v>
      </c>
      <c r="I59" s="29" t="n">
        <f aca="false">SUMIFS(Channels!$K:$K,Channels!$C:$C,A59)-SUMIFS(Channels!$K:$K,Channels!$A:$A,"I2-E",Channels!$C:$C,A59)</f>
        <v>1484.11</v>
      </c>
      <c r="J59" s="30" t="n">
        <f aca="false">IF(F59&gt;0,I59/F59,0)</f>
        <v>0.506176671214188</v>
      </c>
      <c r="K59" s="2" t="str">
        <f aca="false">IF(H59&gt;Assumptions!$D$99,"Very hard",IF(H59&gt;Assumptions!$D$100,"Tight","Comfortable"))</f>
        <v>Comfortable</v>
      </c>
    </row>
    <row r="60" customFormat="false" ht="15" hidden="false" customHeight="false" outlineLevel="0" collapsed="false">
      <c r="A60" s="28" t="s">
        <v>52</v>
      </c>
      <c r="B60" s="29" t="n">
        <f aca="false">Assumptions!$D$70</f>
        <v>2000</v>
      </c>
      <c r="C60" s="30" t="n">
        <f aca="false">Assumptions!$D$74</f>
        <v>0.11</v>
      </c>
      <c r="D60" s="29" t="n">
        <f aca="false">B60*C60</f>
        <v>220</v>
      </c>
      <c r="E60" s="29" t="n">
        <f aca="false">Assumptions!$D$78</f>
        <v>16</v>
      </c>
      <c r="F60" s="29" t="n">
        <f aca="false">D60+E60</f>
        <v>236</v>
      </c>
      <c r="G60" s="29" t="n">
        <f aca="false">Funnel!O7-SUMIFS(Channels!$V:$V,Channels!$A:$A,"I2-E",Channels!$C:$C,A60)</f>
        <v>51.8255529100529</v>
      </c>
      <c r="H60" s="30" t="n">
        <f aca="false">IF(F60&gt;0,G60/F60,0)</f>
        <v>0.219599800466326</v>
      </c>
      <c r="I60" s="29" t="n">
        <f aca="false">SUMIFS(Channels!$K:$K,Channels!$C:$C,A60)-SUMIFS(Channels!$K:$K,Channels!$A:$A,"I2-E",Channels!$C:$C,A60)</f>
        <v>167.905</v>
      </c>
      <c r="J60" s="30" t="n">
        <f aca="false">IF(F60&gt;0,I60/F60,0)</f>
        <v>0.71146186440678</v>
      </c>
      <c r="K60" s="2" t="str">
        <f aca="false">IF(H60&gt;Assumptions!$D$99,"Very hard",IF(H60&gt;Assumptions!$D$100,"Tight","Comfortable"))</f>
        <v>Tight</v>
      </c>
    </row>
    <row r="61" customFormat="false" ht="15" hidden="false" customHeight="false" outlineLevel="0" collapsed="false">
      <c r="A61" s="28" t="s">
        <v>54</v>
      </c>
      <c r="B61" s="29" t="n">
        <f aca="false">Assumptions!$D$71</f>
        <v>2200</v>
      </c>
      <c r="C61" s="30" t="n">
        <f aca="false">Assumptions!$D$75</f>
        <v>0.11</v>
      </c>
      <c r="D61" s="29" t="n">
        <f aca="false">B61*C61</f>
        <v>242</v>
      </c>
      <c r="E61" s="29" t="n">
        <f aca="false">Assumptions!$D$79</f>
        <v>4</v>
      </c>
      <c r="F61" s="29" t="n">
        <f aca="false">D61+E61</f>
        <v>246</v>
      </c>
      <c r="G61" s="29" t="n">
        <f aca="false">Funnel!O8-SUMIFS(Channels!$V:$V,Channels!$A:$A,"I2-E",Channels!$C:$C,A61)</f>
        <v>41.1213067226891</v>
      </c>
      <c r="H61" s="30" t="n">
        <f aca="false">IF(F61&gt;0,G61/F61,0)</f>
        <v>0.167159783425565</v>
      </c>
      <c r="I61" s="29" t="n">
        <f aca="false">SUMIFS(Channels!$K:$K,Channels!$C:$C,A61)-SUMIFS(Channels!$K:$K,Channels!$A:$A,"I2-E",Channels!$C:$C,A61)</f>
        <v>166.119</v>
      </c>
      <c r="J61" s="30" t="n">
        <f aca="false">IF(F61&gt;0,I61/F61,0)</f>
        <v>0.675280487804878</v>
      </c>
      <c r="K61" s="2" t="str">
        <f aca="false">IF(H61&gt;Assumptions!$D$99,"Very hard",IF(H61&gt;Assumptions!$D$100,"Tight","Comfortable"))</f>
        <v>Tight</v>
      </c>
    </row>
    <row r="63" customFormat="false" ht="15" hidden="false" customHeight="true" outlineLevel="0" collapsed="false">
      <c r="A63" s="9" t="s">
        <v>525</v>
      </c>
      <c r="B63" s="9"/>
      <c r="C63" s="9"/>
      <c r="D63" s="9"/>
      <c r="E63" s="9"/>
      <c r="F63" s="9"/>
      <c r="G63" s="9"/>
      <c r="H63" s="9"/>
      <c r="I63" s="9"/>
      <c r="J63" s="9"/>
      <c r="K63" s="9"/>
    </row>
    <row r="64" customFormat="false" ht="15" hidden="false" customHeight="false" outlineLevel="0" collapsed="false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</sheetData>
  <mergeCells count="3">
    <mergeCell ref="A35:J37"/>
    <mergeCell ref="A50:H51"/>
    <mergeCell ref="A63:K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K5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6" min="2" style="0" width="16"/>
    <col collapsed="false" customWidth="true" hidden="false" outlineLevel="0" max="7" min="7" style="0" width="60"/>
    <col collapsed="false" customWidth="true" hidden="false" outlineLevel="0" max="10" min="8" style="0" width="14"/>
    <col collapsed="false" customWidth="true" hidden="false" outlineLevel="0" max="11" min="11" style="0" width="60"/>
  </cols>
  <sheetData>
    <row r="1" customFormat="false" ht="17.35" hidden="false" customHeight="false" outlineLevel="0" collapsed="false">
      <c r="A1" s="1" t="s">
        <v>526</v>
      </c>
    </row>
    <row r="2" customFormat="false" ht="15" hidden="false" customHeight="false" outlineLevel="0" collapsed="false">
      <c r="A2" s="2" t="s">
        <v>527</v>
      </c>
    </row>
    <row r="3" customFormat="false" ht="15" hidden="false" customHeight="false" outlineLevel="0" collapsed="false">
      <c r="A3" s="28" t="s">
        <v>528</v>
      </c>
    </row>
    <row r="4" customFormat="false" ht="15" hidden="false" customHeight="false" outlineLevel="0" collapsed="false">
      <c r="A4" s="12" t="s">
        <v>529</v>
      </c>
      <c r="B4" s="12" t="s">
        <v>48</v>
      </c>
      <c r="C4" s="12" t="s">
        <v>43</v>
      </c>
      <c r="D4" s="12" t="s">
        <v>52</v>
      </c>
      <c r="E4" s="12" t="s">
        <v>54</v>
      </c>
      <c r="F4" s="12" t="s">
        <v>463</v>
      </c>
    </row>
    <row r="5" customFormat="false" ht="15" hidden="false" customHeight="false" outlineLevel="0" collapsed="false">
      <c r="A5" s="2" t="s">
        <v>530</v>
      </c>
      <c r="B5" s="29" t="n">
        <f aca="false">Assumptions!$D$153</f>
        <v>65</v>
      </c>
      <c r="C5" s="29" t="n">
        <f aca="false">Assumptions!$D$154</f>
        <v>76</v>
      </c>
      <c r="D5" s="29" t="n">
        <f aca="false">Assumptions!$D$155</f>
        <v>38</v>
      </c>
      <c r="E5" s="29" t="n">
        <f aca="false">Assumptions!$D$156</f>
        <v>32</v>
      </c>
      <c r="F5" s="33" t="n">
        <f aca="false">SUM(B5:E5)</f>
        <v>211</v>
      </c>
    </row>
    <row r="6" customFormat="false" ht="15" hidden="false" customHeight="false" outlineLevel="0" collapsed="false">
      <c r="A6" s="2" t="s">
        <v>531</v>
      </c>
      <c r="B6" s="30" t="n">
        <f aca="false">Assumptions!$D$157</f>
        <v>0.12</v>
      </c>
      <c r="C6" s="30" t="n">
        <f aca="false">Assumptions!$D$157</f>
        <v>0.12</v>
      </c>
      <c r="D6" s="30" t="n">
        <f aca="false">Assumptions!$D$157</f>
        <v>0.12</v>
      </c>
      <c r="E6" s="30" t="n">
        <f aca="false">Assumptions!$D$157</f>
        <v>0.12</v>
      </c>
    </row>
    <row r="7" customFormat="false" ht="15" hidden="false" customHeight="false" outlineLevel="0" collapsed="false">
      <c r="A7" s="2" t="s">
        <v>532</v>
      </c>
      <c r="B7" s="32" t="n">
        <f aca="false">B5*B6</f>
        <v>7.8</v>
      </c>
      <c r="C7" s="32" t="n">
        <f aca="false">C5*C6</f>
        <v>9.12</v>
      </c>
      <c r="D7" s="32" t="n">
        <f aca="false">D5*D6</f>
        <v>4.56</v>
      </c>
      <c r="E7" s="32" t="n">
        <f aca="false">E5*E6</f>
        <v>3.84</v>
      </c>
      <c r="F7" s="35" t="n">
        <f aca="false">SUM(B7:E7)</f>
        <v>25.32</v>
      </c>
    </row>
    <row r="8" customFormat="false" ht="15" hidden="false" customHeight="false" outlineLevel="0" collapsed="false">
      <c r="A8" s="2" t="s">
        <v>533</v>
      </c>
      <c r="B8" s="30" t="n">
        <f aca="false">Assumptions!$D$158</f>
        <v>0.5</v>
      </c>
      <c r="C8" s="30" t="n">
        <f aca="false">Assumptions!$D$158</f>
        <v>0.5</v>
      </c>
      <c r="D8" s="30" t="n">
        <f aca="false">Assumptions!$D$158</f>
        <v>0.5</v>
      </c>
      <c r="E8" s="30" t="n">
        <f aca="false">Assumptions!$D$158</f>
        <v>0.5</v>
      </c>
    </row>
    <row r="9" customFormat="false" ht="15" hidden="false" customHeight="false" outlineLevel="0" collapsed="false">
      <c r="A9" s="2" t="s">
        <v>534</v>
      </c>
      <c r="B9" s="31" t="n">
        <f aca="false">Funnel!$G$5*Assumptions!$D$166</f>
        <v>0.36225</v>
      </c>
      <c r="C9" s="31" t="n">
        <f aca="false">Funnel!$G$6*Assumptions!$D$166</f>
        <v>0.4269375</v>
      </c>
      <c r="D9" s="31" t="n">
        <f aca="false">Funnel!$G$7*Assumptions!$D$166</f>
        <v>0.326025</v>
      </c>
      <c r="E9" s="31" t="n">
        <f aca="false">Funnel!$G$8*Assumptions!$D$166</f>
        <v>0.2737</v>
      </c>
    </row>
    <row r="10" customFormat="false" ht="15" hidden="false" customHeight="false" outlineLevel="0" collapsed="false">
      <c r="A10" s="2" t="s">
        <v>535</v>
      </c>
      <c r="B10" s="41" t="n">
        <f aca="false">B5*Assumptions!$D$164</f>
        <v>19.5</v>
      </c>
      <c r="C10" s="41" t="n">
        <f aca="false">C5*Assumptions!$D$164</f>
        <v>22.8</v>
      </c>
      <c r="D10" s="41" t="n">
        <f aca="false">D5*Assumptions!$D$164</f>
        <v>11.4</v>
      </c>
      <c r="E10" s="41" t="n">
        <f aca="false">E5*Assumptions!$D$164</f>
        <v>9.6</v>
      </c>
      <c r="F10" s="42" t="n">
        <f aca="false">SUM(B10:E10)</f>
        <v>63.3</v>
      </c>
    </row>
    <row r="11" customFormat="false" ht="26.85" hidden="false" customHeight="false" outlineLevel="0" collapsed="false">
      <c r="A11" s="2" t="s">
        <v>536</v>
      </c>
      <c r="B11" s="43" t="n">
        <f aca="false">IF(B7&gt;0,B10/B7,0)</f>
        <v>2.5</v>
      </c>
      <c r="C11" s="43" t="n">
        <f aca="false">IF(C7&gt;0,C10/C7,0)</f>
        <v>2.5</v>
      </c>
      <c r="D11" s="43" t="n">
        <f aca="false">IF(D7&gt;0,D10/D7,0)</f>
        <v>2.5</v>
      </c>
      <c r="E11" s="43" t="n">
        <f aca="false">IF(E7&gt;0,E10/E7,0)</f>
        <v>2.5</v>
      </c>
      <c r="G11" s="13" t="str">
        <f aca="false">"≈"&amp;TEXT(B11,"€0.00")&amp;" per application: messaging is nearly free; the scarce input is the client’s ATS export."</f>
        <v>≈€2.50 per application: messaging is nearly free; the scarce input is the client’s ATS export.</v>
      </c>
    </row>
    <row r="12" customFormat="false" ht="15" hidden="false" customHeight="false" outlineLevel="0" collapsed="false">
      <c r="A12" s="2" t="s">
        <v>537</v>
      </c>
      <c r="B12" s="32" t="n">
        <f aca="false">B7*B8*B9</f>
        <v>1.412775</v>
      </c>
      <c r="C12" s="32" t="n">
        <f aca="false">C7*C8*C9</f>
        <v>1.946835</v>
      </c>
      <c r="D12" s="32" t="n">
        <f aca="false">D7*D8*D9</f>
        <v>0.743337</v>
      </c>
      <c r="E12" s="32" t="n">
        <f aca="false">E7*E8*E9</f>
        <v>0.525504</v>
      </c>
      <c r="F12" s="35" t="n">
        <f aca="false">SUM(B12:E12)</f>
        <v>4.628451</v>
      </c>
    </row>
    <row r="13" customFormat="false" ht="15" hidden="false" customHeight="false" outlineLevel="0" collapsed="false">
      <c r="A13" s="2" t="s">
        <v>538</v>
      </c>
      <c r="B13" s="32" t="n">
        <f aca="false">Assumptions!$D$159</f>
        <v>20</v>
      </c>
      <c r="C13" s="32" t="n">
        <f aca="false">Assumptions!$D$160</f>
        <v>26</v>
      </c>
      <c r="D13" s="32" t="n">
        <f aca="false">Assumptions!$D$161</f>
        <v>11</v>
      </c>
      <c r="E13" s="32" t="n">
        <f aca="false">Assumptions!$D$162</f>
        <v>9</v>
      </c>
      <c r="F13" s="35" t="n">
        <f aca="false">SUM(B13:E13)</f>
        <v>66</v>
      </c>
    </row>
    <row r="14" customFormat="false" ht="15" hidden="false" customHeight="false" outlineLevel="0" collapsed="false">
      <c r="A14" s="2" t="s">
        <v>539</v>
      </c>
      <c r="B14" s="30" t="n">
        <f aca="false">Assumptions!$D$163</f>
        <v>0.45</v>
      </c>
      <c r="C14" s="30" t="n">
        <f aca="false">Assumptions!$D$163</f>
        <v>0.45</v>
      </c>
      <c r="D14" s="30" t="n">
        <f aca="false">Assumptions!$D$163</f>
        <v>0.45</v>
      </c>
      <c r="E14" s="30" t="n">
        <f aca="false">Assumptions!$D$163</f>
        <v>0.45</v>
      </c>
    </row>
    <row r="15" customFormat="false" ht="15" hidden="false" customHeight="false" outlineLevel="0" collapsed="false">
      <c r="A15" s="2" t="s">
        <v>540</v>
      </c>
      <c r="B15" s="32" t="n">
        <f aca="false">B13*B14*B9</f>
        <v>3.26025</v>
      </c>
      <c r="C15" s="32" t="n">
        <f aca="false">C13*C14*C9</f>
        <v>4.99516875</v>
      </c>
      <c r="D15" s="32" t="n">
        <f aca="false">D13*D14*D9</f>
        <v>1.61382375</v>
      </c>
      <c r="E15" s="32" t="n">
        <f aca="false">E13*E14*E9</f>
        <v>1.108485</v>
      </c>
      <c r="F15" s="35" t="n">
        <f aca="false">SUM(B15:E15)</f>
        <v>10.9777275</v>
      </c>
    </row>
    <row r="16" customFormat="false" ht="15" hidden="false" customHeight="false" outlineLevel="0" collapsed="false">
      <c r="A16" s="2" t="s">
        <v>541</v>
      </c>
      <c r="B16" s="41" t="n">
        <f aca="false">B15*Assumptions!$D$165</f>
        <v>3260.25</v>
      </c>
      <c r="C16" s="41" t="n">
        <f aca="false">C15*Assumptions!$D$165</f>
        <v>4995.16875</v>
      </c>
      <c r="D16" s="41" t="n">
        <f aca="false">D15*Assumptions!$D$165</f>
        <v>1613.82375</v>
      </c>
      <c r="E16" s="41" t="n">
        <f aca="false">E15*Assumptions!$D$165</f>
        <v>1108.485</v>
      </c>
      <c r="F16" s="42" t="n">
        <f aca="false">SUM(B16:E16)</f>
        <v>10977.7275</v>
      </c>
    </row>
    <row r="17" customFormat="false" ht="26.85" hidden="false" customHeight="false" outlineLevel="0" collapsed="false">
      <c r="A17" s="2" t="s">
        <v>542</v>
      </c>
      <c r="B17" s="43" t="n">
        <f aca="false">IF(B13&gt;0,B16/B13,0)</f>
        <v>163.0125</v>
      </c>
      <c r="C17" s="43" t="n">
        <f aca="false">IF(C13&gt;0,C16/C13,0)</f>
        <v>192.121875</v>
      </c>
      <c r="D17" s="43" t="n">
        <f aca="false">IF(D13&gt;0,D16/D13,0)</f>
        <v>146.71125</v>
      </c>
      <c r="E17" s="43" t="n">
        <f aca="false">IF(E13&gt;0,E16/E13,0)</f>
        <v>123.165</v>
      </c>
      <c r="G17" s="13" t="s">
        <v>543</v>
      </c>
    </row>
    <row r="18" customFormat="false" ht="15" hidden="false" customHeight="false" outlineLevel="0" collapsed="false">
      <c r="A18" s="2" t="s">
        <v>544</v>
      </c>
      <c r="B18" s="32" t="n">
        <f aca="false">B12+B15</f>
        <v>4.673025</v>
      </c>
      <c r="C18" s="32" t="n">
        <f aca="false">C12+C15</f>
        <v>6.94200375</v>
      </c>
      <c r="D18" s="32" t="n">
        <f aca="false">D12+D15</f>
        <v>2.35716075</v>
      </c>
      <c r="E18" s="32" t="n">
        <f aca="false">E12+E15</f>
        <v>1.633989</v>
      </c>
      <c r="F18" s="35" t="n">
        <f aca="false">SUM(B18:E18)</f>
        <v>15.6061785</v>
      </c>
    </row>
    <row r="19" customFormat="false" ht="15" hidden="false" customHeight="false" outlineLevel="0" collapsed="false">
      <c r="A19" s="2" t="s">
        <v>545</v>
      </c>
      <c r="B19" s="41" t="n">
        <f aca="false">B10+B16</f>
        <v>3279.75</v>
      </c>
      <c r="C19" s="41" t="n">
        <f aca="false">C10+C16</f>
        <v>5017.96875</v>
      </c>
      <c r="D19" s="41" t="n">
        <f aca="false">D10+D16</f>
        <v>1625.22375</v>
      </c>
      <c r="E19" s="41" t="n">
        <f aca="false">E10+E16</f>
        <v>1118.085</v>
      </c>
      <c r="F19" s="42" t="n">
        <f aca="false">SUM(B19:E19)</f>
        <v>11041.0275</v>
      </c>
    </row>
    <row r="20" customFormat="false" ht="15" hidden="false" customHeight="false" outlineLevel="0" collapsed="false">
      <c r="A20" s="2" t="s">
        <v>546</v>
      </c>
      <c r="B20" s="41" t="n">
        <f aca="false">IF(B18&gt;0,B19/B18,0)</f>
        <v>701.847304476223</v>
      </c>
      <c r="C20" s="41" t="n">
        <f aca="false">IF(C18&gt;0,C19/C18,0)</f>
        <v>722.841549891125</v>
      </c>
      <c r="D20" s="41" t="n">
        <f aca="false">IF(D18&gt;0,D19/D18,0)</f>
        <v>689.48362982881</v>
      </c>
      <c r="E20" s="41" t="n">
        <f aca="false">IF(E18&gt;0,E19/E18,0)</f>
        <v>684.267152349251</v>
      </c>
      <c r="F20" s="42" t="n">
        <f aca="false">IF(F18&gt;0,F19/F18,0)</f>
        <v>707.477970984377</v>
      </c>
    </row>
    <row r="23" customFormat="false" ht="15" hidden="false" customHeight="false" outlineLevel="0" collapsed="false">
      <c r="A23" s="28" t="s">
        <v>547</v>
      </c>
    </row>
    <row r="24" customFormat="false" ht="15" hidden="false" customHeight="false" outlineLevel="0" collapsed="false">
      <c r="A24" s="2" t="s">
        <v>548</v>
      </c>
      <c r="B24" s="29" t="n">
        <f aca="false">Assumptions!$D$167</f>
        <v>10000</v>
      </c>
    </row>
    <row r="25" customFormat="false" ht="15" hidden="false" customHeight="false" outlineLevel="0" collapsed="false">
      <c r="A25" s="2" t="s">
        <v>549</v>
      </c>
      <c r="B25" s="31" t="n">
        <f aca="false">Assumptions!$D$168</f>
        <v>0.0118</v>
      </c>
    </row>
    <row r="26" customFormat="false" ht="15" hidden="false" customHeight="false" outlineLevel="0" collapsed="false">
      <c r="A26" s="2" t="s">
        <v>550</v>
      </c>
      <c r="B26" s="29" t="n">
        <f aca="false">B24*B25</f>
        <v>118</v>
      </c>
    </row>
    <row r="27" customFormat="false" ht="15" hidden="false" customHeight="false" outlineLevel="0" collapsed="false">
      <c r="A27" s="2" t="s">
        <v>551</v>
      </c>
      <c r="B27" s="41" t="n">
        <f aca="false">Assumptions!$D$169</f>
        <v>84</v>
      </c>
    </row>
    <row r="28" customFormat="false" ht="15" hidden="false" customHeight="false" outlineLevel="0" collapsed="false">
      <c r="A28" s="2" t="s">
        <v>552</v>
      </c>
      <c r="B28" s="30" t="n">
        <f aca="false">Assumptions!$D$170</f>
        <v>0.25</v>
      </c>
    </row>
    <row r="29" customFormat="false" ht="15" hidden="false" customHeight="false" outlineLevel="0" collapsed="false">
      <c r="A29" s="2" t="s">
        <v>553</v>
      </c>
      <c r="B29" s="32" t="n">
        <f aca="false">B26*B28</f>
        <v>29.5</v>
      </c>
    </row>
    <row r="30" customFormat="false" ht="15" hidden="false" customHeight="false" outlineLevel="0" collapsed="false">
      <c r="A30" s="2" t="s">
        <v>554</v>
      </c>
      <c r="B30" s="31" t="n">
        <f aca="false">Funnel!$G$5*Assumptions!$D$171</f>
        <v>0.2835</v>
      </c>
    </row>
    <row r="31" customFormat="false" ht="15" hidden="false" customHeight="false" outlineLevel="0" collapsed="false">
      <c r="A31" s="2" t="s">
        <v>555</v>
      </c>
      <c r="B31" s="32" t="n">
        <f aca="false">B29*B30</f>
        <v>8.36325</v>
      </c>
    </row>
    <row r="32" customFormat="false" ht="15" hidden="false" customHeight="false" outlineLevel="0" collapsed="false">
      <c r="A32" s="2" t="s">
        <v>556</v>
      </c>
      <c r="B32" s="41" t="n">
        <f aca="false">B26*B27</f>
        <v>9912</v>
      </c>
    </row>
    <row r="33" customFormat="false" ht="15" hidden="false" customHeight="false" outlineLevel="0" collapsed="false">
      <c r="A33" s="2" t="s">
        <v>557</v>
      </c>
      <c r="B33" s="41" t="n">
        <f aca="false">Assumptions!$D$172</f>
        <v>1200</v>
      </c>
    </row>
    <row r="34" customFormat="false" ht="15" hidden="false" customHeight="false" outlineLevel="0" collapsed="false">
      <c r="A34" s="2" t="s">
        <v>558</v>
      </c>
      <c r="B34" s="41" t="n">
        <f aca="false">IF(B31&gt;0,(B32+B33)/B31,0)</f>
        <v>1328.67007443279</v>
      </c>
    </row>
    <row r="37" customFormat="false" ht="15" hidden="false" customHeight="false" outlineLevel="0" collapsed="false">
      <c r="A37" s="28" t="s">
        <v>559</v>
      </c>
    </row>
    <row r="38" customFormat="false" ht="15" hidden="false" customHeight="false" outlineLevel="0" collapsed="false">
      <c r="A38" s="2" t="s">
        <v>560</v>
      </c>
      <c r="B38" s="43" t="n">
        <f aca="false">B44+B45</f>
        <v>18.75</v>
      </c>
    </row>
    <row r="39" customFormat="false" ht="15" hidden="false" customHeight="false" outlineLevel="0" collapsed="false">
      <c r="A39" s="2" t="s">
        <v>561</v>
      </c>
      <c r="B39" s="30" t="n">
        <f aca="false">Assumptions!$D$174</f>
        <v>0.14</v>
      </c>
    </row>
    <row r="40" customFormat="false" ht="15" hidden="false" customHeight="false" outlineLevel="0" collapsed="false">
      <c r="A40" s="2" t="s">
        <v>550</v>
      </c>
      <c r="B40" s="29" t="n">
        <f aca="false">Assumptions!$D$175</f>
        <v>350</v>
      </c>
    </row>
    <row r="41" customFormat="false" ht="15" hidden="false" customHeight="false" outlineLevel="0" collapsed="false">
      <c r="A41" s="2" t="s">
        <v>562</v>
      </c>
      <c r="B41" s="31" t="n">
        <f aca="false">Funnel!$G$6*Assumptions!$D$176</f>
        <v>0.37125</v>
      </c>
    </row>
    <row r="42" customFormat="false" ht="15" hidden="false" customHeight="false" outlineLevel="0" collapsed="false">
      <c r="A42" s="2" t="s">
        <v>563</v>
      </c>
      <c r="B42" s="32" t="n">
        <f aca="false">Assumptions!$D$10*Assumptions!$D$12</f>
        <v>18</v>
      </c>
    </row>
    <row r="43" customFormat="false" ht="15" hidden="false" customHeight="false" outlineLevel="0" collapsed="false">
      <c r="A43" s="2" t="s">
        <v>564</v>
      </c>
      <c r="B43" s="32" t="n">
        <f aca="false">MIN(B40*B39*B41,B42)</f>
        <v>18</v>
      </c>
    </row>
    <row r="44" customFormat="false" ht="15" hidden="false" customHeight="false" outlineLevel="0" collapsed="false">
      <c r="A44" s="2" t="s">
        <v>565</v>
      </c>
      <c r="B44" s="43" t="n">
        <f aca="false">Assumptions!$D$173</f>
        <v>14</v>
      </c>
    </row>
    <row r="45" customFormat="false" ht="15" hidden="false" customHeight="false" outlineLevel="0" collapsed="false">
      <c r="A45" s="2" t="s">
        <v>566</v>
      </c>
      <c r="B45" s="43" t="n">
        <f aca="false">Assumptions!$D$177/60*Assumptions!$D$178</f>
        <v>4.75</v>
      </c>
    </row>
    <row r="46" customFormat="false" ht="15" hidden="false" customHeight="false" outlineLevel="0" collapsed="false">
      <c r="A46" s="2" t="s">
        <v>567</v>
      </c>
      <c r="B46" s="41" t="n">
        <f aca="false">Assumptions!$D$179</f>
        <v>400</v>
      </c>
    </row>
    <row r="47" customFormat="false" ht="15" hidden="false" customHeight="false" outlineLevel="0" collapsed="false">
      <c r="A47" s="2" t="s">
        <v>568</v>
      </c>
      <c r="B47" s="29" t="n">
        <f aca="false">IF(B41*B39&gt;0,B43/B41/B39,0)</f>
        <v>346.320346320346</v>
      </c>
    </row>
    <row r="48" customFormat="false" ht="15" hidden="false" customHeight="false" outlineLevel="0" collapsed="false">
      <c r="A48" s="2" t="s">
        <v>569</v>
      </c>
      <c r="B48" s="41" t="n">
        <f aca="false">IF(B43&gt;0,(B47*B38+B46)/B43,0)</f>
        <v>382.972582972583</v>
      </c>
    </row>
    <row r="49" customFormat="false" ht="15" hidden="false" customHeight="false" outlineLevel="0" collapsed="false">
      <c r="A49" s="9" t="str">
        <f aca="false">"Polish supply check: the border regions have ~"&amp;TEXT(Assumptions!$D$124*Assumptions!$D$121,"#,##0")&amp;" maintenance-type workers (Eurostat 2025: "&amp;TEXT(Assumptions!$D$124,"#,##0")&amp;" industry workers × the German BA maintenance share "&amp;TEXT(Assumptions!$D$121,"0.0%")&amp;", applied to Poland as my estimate; an upper bound, since whole regions and all industry staff are counted). The plan needs "&amp;TEXT(B47,"0")&amp;" applications = "&amp;TEXT(B47/(Assumptions!$D$124*Assumptions!$D$121),"0.0%")&amp;" of them, vs the "&amp;TEXT(Assumptions!$D$168,"0.0%")&amp;" response assumed for construction electricians (I2). So the corridor needs a stronger response (German pay is the pull); at I2’s rate it brings ~"&amp;TEXT(Assumptions!$D$124*Assumptions!$D$121*Assumptions!$D$168,"0")&amp;" applications. The 9 Nov test decides; if it fails, the budget rises (slide 7)."</f>
        <v>Polish supply check: the border regions have ~18,525 maintenance-type workers (Eurostat 2025: 237,500 industry workers × the German BA maintenance share 7.8%, applied to Poland as my estimate; an upper bound, since whole regions and all industry staff are counted). The plan needs 346 applications = 1.9% of them, vs the 1.2% response assumed for construction electricians (I2). So the corridor needs a stronger response (German pay is the pull); at I2’s rate it brings ~219 applications. The 9 Nov test decides; if it fails, the budget rises (slide 7).</v>
      </c>
      <c r="B49" s="9"/>
      <c r="C49" s="9"/>
      <c r="D49" s="9"/>
      <c r="E49" s="9"/>
      <c r="F49" s="9"/>
      <c r="G49" s="9"/>
      <c r="H49" s="9"/>
    </row>
    <row r="50" customFormat="false" ht="15" hidden="false" customHeight="false" outlineLevel="0" collapsed="false">
      <c r="A50" s="9"/>
      <c r="B50" s="9"/>
      <c r="C50" s="9"/>
      <c r="D50" s="9"/>
      <c r="E50" s="9"/>
      <c r="F50" s="9"/>
      <c r="G50" s="9"/>
      <c r="H50" s="9"/>
    </row>
    <row r="51" customFormat="false" ht="15" hidden="false" customHeight="false" outlineLevel="0" collapsed="false">
      <c r="A51" s="28" t="s">
        <v>570</v>
      </c>
    </row>
    <row r="52" customFormat="false" ht="60" hidden="false" customHeight="true" outlineLevel="0" collapsed="false">
      <c r="A52" s="12" t="s">
        <v>571</v>
      </c>
      <c r="B52" s="12" t="s">
        <v>572</v>
      </c>
      <c r="C52" s="12" t="s">
        <v>573</v>
      </c>
      <c r="D52" s="12" t="s">
        <v>574</v>
      </c>
      <c r="E52" s="12" t="s">
        <v>575</v>
      </c>
      <c r="F52" s="12" t="s">
        <v>576</v>
      </c>
      <c r="G52" s="12" t="s">
        <v>577</v>
      </c>
      <c r="H52" s="12" t="s">
        <v>578</v>
      </c>
      <c r="I52" s="12" t="s">
        <v>579</v>
      </c>
      <c r="J52" s="12" t="s">
        <v>580</v>
      </c>
      <c r="K52" s="12" t="s">
        <v>581</v>
      </c>
    </row>
    <row r="53" customFormat="false" ht="48" hidden="false" customHeight="true" outlineLevel="0" collapsed="false">
      <c r="A53" s="28" t="s">
        <v>582</v>
      </c>
      <c r="B53" s="13" t="s">
        <v>583</v>
      </c>
      <c r="C53" s="30" t="n">
        <f aca="false">(Assumptions!$D$93+Assumptions!$D$94)</f>
        <v>0.89</v>
      </c>
      <c r="D53" s="41" t="n">
        <f aca="false">F10</f>
        <v>63.3</v>
      </c>
      <c r="E53" s="32" t="n">
        <f aca="false">(SUMIFS(Channels!$V:$V,Channels!$A:$A,"I1a-E")+SUMIFS(Channels!$V:$V,Channels!$A:$A,"I1a-M")+SUMIFS(Channels!$V:$V,Channels!$A:$A,"I1a-A")+SUMIFS(Channels!$V:$V,Channels!$A:$A,"I1a-S"))*(Assumptions!$D$93+Assumptions!$D$94)+(SUMIFS(Channels!$V:$V,Channels!$A:$A,"I1b-E")+SUMIFS(Channels!$V:$V,Channels!$A:$A,"I1b-M")+SUMIFS(Channels!$V:$V,Channels!$A:$A,"I1b-A")+SUMIFS(Channels!$V:$V,Channels!$A:$A,"I1b-S"))*(Weekly!$D$4+Weekly!$D$5)</f>
        <v>24.5433</v>
      </c>
      <c r="F53" s="2" t="s">
        <v>584</v>
      </c>
      <c r="G53" s="29" t="n">
        <f aca="false">MAX(1,ROUNDDOWN(E53*Assumptions!$D$89,0))</f>
        <v>14</v>
      </c>
      <c r="H53" s="2" t="s">
        <v>585</v>
      </c>
      <c r="I53" s="29" t="n">
        <f aca="false">MIN(G53,MAX(1,ROUNDUP(E53*Assumptions!$D$91,0)))</f>
        <v>8</v>
      </c>
      <c r="J53" s="2" t="s">
        <v>585</v>
      </c>
      <c r="K53" s="13" t="s">
        <v>586</v>
      </c>
    </row>
    <row r="54" customFormat="false" ht="48" hidden="false" customHeight="true" outlineLevel="0" collapsed="false">
      <c r="A54" s="28" t="s">
        <v>587</v>
      </c>
      <c r="B54" s="13" t="s">
        <v>588</v>
      </c>
      <c r="C54" s="30" t="n">
        <f aca="false">(Weekly!$AB$4+Weekly!$AB$5+Weekly!$AB$6*3/7)</f>
        <v>0.440185062789161</v>
      </c>
      <c r="D54" s="41" t="n">
        <f aca="false">B33+SUMIFS(Channels!$X:$X,Channels!$A:$A,"I2-E")*C54</f>
        <v>5563.11434236616</v>
      </c>
      <c r="E54" s="32" t="n">
        <f aca="false">SUMIFS(Channels!$V:$V,Channels!$A:$A,"I2-E")*C54</f>
        <v>12.9854593522802</v>
      </c>
      <c r="F54" s="41" t="n">
        <f aca="false">IF(B28&gt;0,B27/B28,0)</f>
        <v>336</v>
      </c>
      <c r="G54" s="29" t="n">
        <f aca="false">MAX(1,ROUNDDOWN(E54*Assumptions!$D$89,0))</f>
        <v>7</v>
      </c>
      <c r="H54" s="41" t="n">
        <f aca="false">ROUND(F54*Assumptions!$D$90/10,0)*10</f>
        <v>500</v>
      </c>
      <c r="I54" s="29" t="n">
        <f aca="false">MIN(G54,MAX(1,ROUNDUP(E54*Assumptions!$D$91,0)))</f>
        <v>4</v>
      </c>
      <c r="J54" s="41" t="n">
        <f aca="false">MAX(H54,ROUND(F54*Assumptions!$D$92/10,0)*10)</f>
        <v>670</v>
      </c>
      <c r="K54" s="13" t="s">
        <v>589</v>
      </c>
    </row>
    <row r="55" customFormat="false" ht="48" hidden="false" customHeight="true" outlineLevel="0" collapsed="false">
      <c r="A55" s="28" t="s">
        <v>590</v>
      </c>
      <c r="B55" s="13" t="s">
        <v>591</v>
      </c>
      <c r="C55" s="30" t="n">
        <f aca="false">(Weekly!$AC$5+Weekly!$AC$6)</f>
        <v>0.426900584795322</v>
      </c>
      <c r="D55" s="41" t="n">
        <f aca="false">B46+SUMIFS(Channels!$X:$X,Channels!$A:$A,"I3-M")*C55</f>
        <v>3172.08171945014</v>
      </c>
      <c r="E55" s="32" t="n">
        <f aca="false">SUMIFS(Channels!$V:$V,Channels!$A:$A,"I3-M")*C55</f>
        <v>20.6982101718944</v>
      </c>
      <c r="F55" s="41" t="n">
        <f aca="false">IF(B39&gt;0,B38/B39,0)</f>
        <v>133.928571428571</v>
      </c>
      <c r="G55" s="29" t="n">
        <f aca="false">MAX(1,ROUNDDOWN(E55*Assumptions!$D$89,0))</f>
        <v>12</v>
      </c>
      <c r="H55" s="41" t="n">
        <f aca="false">ROUND(F55*Assumptions!$D$90/10,0)*10</f>
        <v>200</v>
      </c>
      <c r="I55" s="29" t="n">
        <f aca="false">MIN(G55,MAX(1,ROUNDUP(E55*Assumptions!$D$91,0)))</f>
        <v>7</v>
      </c>
      <c r="J55" s="41" t="n">
        <f aca="false">MAX(H55,ROUND(F55*Assumptions!$D$92/10,0)*10)</f>
        <v>270</v>
      </c>
      <c r="K55" s="13" t="s">
        <v>592</v>
      </c>
    </row>
    <row r="57" customFormat="false" ht="26.85" hidden="false" customHeight="false" outlineLevel="0" collapsed="false">
      <c r="A57" s="13" t="s">
        <v>593</v>
      </c>
    </row>
  </sheetData>
  <mergeCells count="1">
    <mergeCell ref="A49:H5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AI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5" min="5" style="0" width="7"/>
    <col collapsed="false" customWidth="true" hidden="false" outlineLevel="0" max="16" min="6" style="0" width="11"/>
    <col collapsed="false" customWidth="true" hidden="true" outlineLevel="1" max="20" min="17" style="0" width="11"/>
    <col collapsed="false" customWidth="true" hidden="false" outlineLevel="0" max="28" min="21" style="0" width="11"/>
    <col collapsed="false" customWidth="true" hidden="true" outlineLevel="1" max="29" min="29" style="0" width="11"/>
    <col collapsed="false" customWidth="true" hidden="false" outlineLevel="0" max="30" min="30" style="0" width="22"/>
    <col collapsed="false" customWidth="true" hidden="true" outlineLevel="1" max="35" min="31" style="0" width="13"/>
  </cols>
  <sheetData>
    <row r="1" customFormat="false" ht="17.35" hidden="false" customHeight="false" outlineLevel="0" collapsed="false">
      <c r="A1" s="1" t="s">
        <v>594</v>
      </c>
    </row>
    <row r="2" customFormat="false" ht="369.4" hidden="false" customHeight="false" outlineLevel="0" collapsed="false">
      <c r="A2" s="13" t="s">
        <v>595</v>
      </c>
    </row>
    <row r="3" customFormat="false" ht="318.65" hidden="false" customHeight="false" outlineLevel="0" collapsed="false">
      <c r="A3" s="13" t="s">
        <v>596</v>
      </c>
    </row>
    <row r="4" customFormat="false" ht="60" hidden="false" customHeight="true" outlineLevel="0" collapsed="false">
      <c r="A4" s="12" t="s">
        <v>22</v>
      </c>
      <c r="B4" s="12" t="s">
        <v>321</v>
      </c>
      <c r="C4" s="12" t="s">
        <v>322</v>
      </c>
      <c r="D4" s="12" t="s">
        <v>597</v>
      </c>
      <c r="E4" s="12" t="s">
        <v>323</v>
      </c>
      <c r="F4" s="12" t="s">
        <v>598</v>
      </c>
      <c r="G4" s="12" t="s">
        <v>599</v>
      </c>
      <c r="H4" s="12" t="s">
        <v>551</v>
      </c>
      <c r="I4" s="12" t="s">
        <v>326</v>
      </c>
      <c r="J4" s="12" t="s">
        <v>550</v>
      </c>
      <c r="K4" s="12" t="s">
        <v>600</v>
      </c>
      <c r="L4" s="12" t="s">
        <v>453</v>
      </c>
      <c r="M4" s="12" t="s">
        <v>601</v>
      </c>
      <c r="N4" s="12" t="s">
        <v>602</v>
      </c>
      <c r="O4" s="12" t="s">
        <v>603</v>
      </c>
      <c r="P4" s="12" t="s">
        <v>604</v>
      </c>
      <c r="Q4" s="12" t="s">
        <v>605</v>
      </c>
      <c r="R4" s="12" t="s">
        <v>606</v>
      </c>
      <c r="S4" s="12" t="s">
        <v>607</v>
      </c>
      <c r="T4" s="12" t="s">
        <v>608</v>
      </c>
      <c r="U4" s="12" t="s">
        <v>609</v>
      </c>
      <c r="V4" s="12" t="s">
        <v>610</v>
      </c>
      <c r="W4" s="12" t="s">
        <v>611</v>
      </c>
      <c r="X4" s="12" t="s">
        <v>612</v>
      </c>
      <c r="Y4" s="12" t="s">
        <v>613</v>
      </c>
      <c r="Z4" s="12" t="s">
        <v>614</v>
      </c>
      <c r="AA4" s="12" t="s">
        <v>615</v>
      </c>
      <c r="AB4" s="12" t="s">
        <v>616</v>
      </c>
      <c r="AC4" s="12" t="s">
        <v>617</v>
      </c>
      <c r="AD4" s="12" t="s">
        <v>618</v>
      </c>
      <c r="AE4" s="12" t="s">
        <v>619</v>
      </c>
      <c r="AF4" s="12" t="s">
        <v>620</v>
      </c>
      <c r="AG4" s="12" t="s">
        <v>621</v>
      </c>
      <c r="AH4" s="12" t="s">
        <v>622</v>
      </c>
      <c r="AI4" s="12" t="s">
        <v>623</v>
      </c>
    </row>
    <row r="5" customFormat="false" ht="15" hidden="false" customHeight="false" outlineLevel="0" collapsed="false">
      <c r="A5" s="2" t="str">
        <f aca="false">Assumptions!A130</f>
        <v>C01</v>
      </c>
      <c r="B5" s="2" t="str">
        <f aca="false">Assumptions!B130</f>
        <v>Organic (Tesla careers, BA Jobbörse, Google for Jobs)</v>
      </c>
      <c r="C5" s="2" t="str">
        <f aca="false">Assumptions!C130</f>
        <v>Electricians</v>
      </c>
      <c r="D5" s="2" t="s">
        <v>321</v>
      </c>
      <c r="E5" s="2" t="str">
        <f aca="false">Assumptions!D130</f>
        <v>Free</v>
      </c>
      <c r="F5" s="43" t="n">
        <f aca="false">Assumptions!E130</f>
        <v>0</v>
      </c>
      <c r="G5" s="29" t="str">
        <f aca="false">IF(E5="Free","",Assumptions!F130)</f>
        <v/>
      </c>
      <c r="H5" s="43" t="n">
        <f aca="false">MAX(0,IF(OR(E5="CPC",E5="Slot"),IF(N(G5)&gt;0,F5/G5,0),F5))</f>
        <v>0</v>
      </c>
      <c r="I5" s="30" t="n">
        <f aca="false">Assumptions!G130</f>
        <v>0.175</v>
      </c>
      <c r="J5" s="29" t="n">
        <f aca="false">IF(AND(OR(E5="CPC",E5="Slot"),NOT(N(G5)&gt;0)),0,IF(E5="Slot",Assumptions!H130*G5,Assumptions!H130))</f>
        <v>105</v>
      </c>
      <c r="K5" s="32" t="n">
        <f aca="false">J5*I5</f>
        <v>18.375</v>
      </c>
      <c r="L5" s="31" t="n">
        <f aca="false">INDEX(Funnel!$G$5:$G$8,MATCH(C5,Funnel!$A$5:$A$8,0))*M5</f>
        <v>0.315</v>
      </c>
      <c r="M5" s="44" t="n">
        <f aca="false">Assumptions!I130</f>
        <v>1</v>
      </c>
      <c r="N5" s="32" t="n">
        <f aca="false">K5*L5</f>
        <v>5.788125</v>
      </c>
      <c r="O5" s="41" t="n">
        <f aca="false">IF(I5&gt;0,H5/I5,0)</f>
        <v>0</v>
      </c>
      <c r="P5" s="41" t="n">
        <f aca="false">IF(N5&gt;0,(N5/L5/I5*H5+Assumptions!J130)/N5,0)</f>
        <v>0</v>
      </c>
      <c r="Q5" s="45" t="n">
        <f aca="false">P5+ROW()/1000000</f>
        <v>5E-006</v>
      </c>
      <c r="R5" s="29" t="n">
        <f aca="false">SUMPRODUCT(($C$5:$C$34=C5)*($Q$5:$Q$34&lt;Q5))+1</f>
        <v>1</v>
      </c>
      <c r="S5" s="32" t="n">
        <f aca="false">SUMPRODUCT(($C$5:$C$34=C5)*($Q$5:$Q$34&lt;Q5)*$AH$5:$AH$34)</f>
        <v>0</v>
      </c>
      <c r="T5" s="32" t="n">
        <f aca="false">INDEX(Funnel!$B$5:$B$8,MATCH(C5,Funnel!$A$5:$A$8,0))-SUMIFS($AG$5:$AG$34,$C$5:$C$34,C5)</f>
        <v>29.1505850361307</v>
      </c>
      <c r="U5" s="46" t="n">
        <f aca="false">AG5+AI5</f>
        <v>5.788125</v>
      </c>
      <c r="V5" s="32" t="n">
        <f aca="false">IF(L5&gt;0,U5/L5,0)</f>
        <v>18.375</v>
      </c>
      <c r="W5" s="29" t="n">
        <f aca="false">IF(I5&gt;0,V5/I5,0)</f>
        <v>105</v>
      </c>
      <c r="X5" s="41" t="n">
        <f aca="false">IF(E5="Slot",IF(N(G5)&gt;0,ROUNDUP(W5/G5,0)*MAX(0,F5),0),W5*H5)</f>
        <v>0</v>
      </c>
      <c r="Y5" s="41" t="n">
        <f aca="false">IF(U5&gt;0,Assumptions!J130,0)</f>
        <v>0</v>
      </c>
      <c r="Z5" s="41" t="n">
        <f aca="false">IF(AND(D5="Channel",OR(E5="CPC",E5="CPA"),INDEX(Funnel!$B$5:$B$8,MATCH(C5,Funnel!$A$5:$A$8,0))&gt;0),MIN(Assumptions!$D$49,J5*H5,IF(I5*L5&gt;0,INDEX(Funnel!$B$5:$B$8,MATCH(C5,Funnel!$A$5:$A$8,0))/SUMPRODUCT(($C$5:$C$34=C5)*($D$5:$D$34="Channel")*(($E$5:$E$34="CPC")+($E$5:$E$34="CPA")))/(I5*L5)*H5,0)),0)</f>
        <v>0</v>
      </c>
      <c r="AA5" s="41" t="n">
        <f aca="false">X5+Y5</f>
        <v>0</v>
      </c>
      <c r="AB5" s="41" t="n">
        <f aca="false">IF(U5&gt;0,(X5+Y5)/U5,"–")</f>
        <v>0</v>
      </c>
      <c r="AC5" s="29" t="n">
        <f aca="false">SUMPRODUCT(--($Q$5:$Q$34&lt;Q5))+1</f>
        <v>1</v>
      </c>
      <c r="AD5" s="2" t="str">
        <f aca="false">IF(AND(AH5&gt;0,AI5&gt;=AH5*0.999),"Used to capacity",IF(AI5&gt;0,"Marginal (fills the gap)",IF(Z5&gt;0,"Test only (wk 1–2)","Not used")))</f>
        <v>Used to capacity</v>
      </c>
      <c r="AE5" s="32" t="n">
        <f aca="false">IF(H5&gt;0,Z5/H5,0)</f>
        <v>0</v>
      </c>
      <c r="AF5" s="32" t="n">
        <f aca="false">AE5*I5</f>
        <v>0</v>
      </c>
      <c r="AG5" s="32" t="n">
        <f aca="false">AF5*L5</f>
        <v>0</v>
      </c>
      <c r="AH5" s="32" t="n">
        <f aca="false">MAX(0,N5-AG5)</f>
        <v>5.788125</v>
      </c>
      <c r="AI5" s="32" t="n">
        <f aca="false">MIN(AH5,MAX(0,T5-S5))</f>
        <v>5.788125</v>
      </c>
    </row>
    <row r="6" customFormat="false" ht="15" hidden="false" customHeight="false" outlineLevel="0" collapsed="false">
      <c r="A6" s="2" t="str">
        <f aca="false">Assumptions!A131</f>
        <v>C02</v>
      </c>
      <c r="B6" s="2" t="str">
        <f aca="false">Assumptions!B131</f>
        <v>Organic (Tesla careers, BA Jobbörse, Google for Jobs)</v>
      </c>
      <c r="C6" s="2" t="str">
        <f aca="false">Assumptions!C131</f>
        <v>Mechatronics</v>
      </c>
      <c r="D6" s="2" t="s">
        <v>321</v>
      </c>
      <c r="E6" s="2" t="str">
        <f aca="false">Assumptions!D131</f>
        <v>Free</v>
      </c>
      <c r="F6" s="43" t="n">
        <f aca="false">Assumptions!E131</f>
        <v>0</v>
      </c>
      <c r="G6" s="29" t="str">
        <f aca="false">IF(E6="Free","",Assumptions!F131)</f>
        <v/>
      </c>
      <c r="H6" s="43" t="n">
        <f aca="false">MAX(0,IF(OR(E6="CPC",E6="Slot"),IF(N(G6)&gt;0,F6/G6,0),F6))</f>
        <v>0</v>
      </c>
      <c r="I6" s="30" t="n">
        <f aca="false">Assumptions!G131</f>
        <v>0.175</v>
      </c>
      <c r="J6" s="29" t="n">
        <f aca="false">IF(AND(OR(E6="CPC",E6="Slot"),NOT(N(G6)&gt;0)),0,IF(E6="Slot",Assumptions!H131*G6,Assumptions!H131))</f>
        <v>158</v>
      </c>
      <c r="K6" s="32" t="n">
        <f aca="false">J6*I6</f>
        <v>27.65</v>
      </c>
      <c r="L6" s="31" t="n">
        <f aca="false">INDEX(Funnel!$G$5:$G$8,MATCH(C6,Funnel!$A$5:$A$8,0))*M6</f>
        <v>0.37125</v>
      </c>
      <c r="M6" s="44" t="n">
        <f aca="false">Assumptions!I131</f>
        <v>1</v>
      </c>
      <c r="N6" s="32" t="n">
        <f aca="false">K6*L6</f>
        <v>10.2650625</v>
      </c>
      <c r="O6" s="41" t="n">
        <f aca="false">IF(I6&gt;0,H6/I6,0)</f>
        <v>0</v>
      </c>
      <c r="P6" s="41" t="n">
        <f aca="false">IF(N6&gt;0,(N6/L6/I6*H6+Assumptions!J131)/N6,0)</f>
        <v>0</v>
      </c>
      <c r="Q6" s="45" t="n">
        <f aca="false">P6+ROW()/1000000</f>
        <v>6E-006</v>
      </c>
      <c r="R6" s="29" t="n">
        <f aca="false">SUMPRODUCT(($C$5:$C$34=C6)*($Q$5:$Q$34&lt;Q6))+1</f>
        <v>1</v>
      </c>
      <c r="S6" s="32" t="n">
        <f aca="false">SUMPRODUCT(($C$5:$C$34=C6)*($Q$5:$Q$34&lt;Q6)*$AH$5:$AH$34)</f>
        <v>0</v>
      </c>
      <c r="T6" s="32" t="n">
        <f aca="false">INDEX(Funnel!$B$5:$B$8,MATCH(C6,Funnel!$A$5:$A$8,0))-SUMIFS($AG$5:$AG$34,$C$5:$C$34,C6)</f>
        <v>43.9989037925826</v>
      </c>
      <c r="U6" s="46" t="n">
        <f aca="false">AG6+AI6</f>
        <v>10.2650625</v>
      </c>
      <c r="V6" s="32" t="n">
        <f aca="false">IF(L6&gt;0,U6/L6,0)</f>
        <v>27.65</v>
      </c>
      <c r="W6" s="29" t="n">
        <f aca="false">IF(I6&gt;0,V6/I6,0)</f>
        <v>158</v>
      </c>
      <c r="X6" s="41" t="n">
        <f aca="false">IF(E6="Slot",IF(N(G6)&gt;0,ROUNDUP(W6/G6,0)*MAX(0,F6),0),W6*H6)</f>
        <v>0</v>
      </c>
      <c r="Y6" s="41" t="n">
        <f aca="false">IF(U6&gt;0,Assumptions!J131,0)</f>
        <v>0</v>
      </c>
      <c r="Z6" s="41" t="n">
        <f aca="false">IF(AND(D6="Channel",OR(E6="CPC",E6="CPA"),INDEX(Funnel!$B$5:$B$8,MATCH(C6,Funnel!$A$5:$A$8,0))&gt;0),MIN(Assumptions!$D$49,J6*H6,IF(I6*L6&gt;0,INDEX(Funnel!$B$5:$B$8,MATCH(C6,Funnel!$A$5:$A$8,0))/SUMPRODUCT(($C$5:$C$34=C6)*($D$5:$D$34="Channel")*(($E$5:$E$34="CPC")+($E$5:$E$34="CPA")))/(I6*L6)*H6,0)),0)</f>
        <v>0</v>
      </c>
      <c r="AA6" s="41" t="n">
        <f aca="false">X6+Y6</f>
        <v>0</v>
      </c>
      <c r="AB6" s="41" t="n">
        <f aca="false">IF(U6&gt;0,(X6+Y6)/U6,"–")</f>
        <v>0</v>
      </c>
      <c r="AC6" s="29" t="n">
        <f aca="false">SUMPRODUCT(--($Q$5:$Q$34&lt;Q6))+1</f>
        <v>2</v>
      </c>
      <c r="AD6" s="2" t="str">
        <f aca="false">IF(AND(AH6&gt;0,AI6&gt;=AH6*0.999),"Used to capacity",IF(AI6&gt;0,"Marginal (fills the gap)",IF(Z6&gt;0,"Test only (wk 1–2)","Not used")))</f>
        <v>Used to capacity</v>
      </c>
      <c r="AE6" s="32" t="n">
        <f aca="false">IF(H6&gt;0,Z6/H6,0)</f>
        <v>0</v>
      </c>
      <c r="AF6" s="32" t="n">
        <f aca="false">AE6*I6</f>
        <v>0</v>
      </c>
      <c r="AG6" s="32" t="n">
        <f aca="false">AF6*L6</f>
        <v>0</v>
      </c>
      <c r="AH6" s="32" t="n">
        <f aca="false">MAX(0,N6-AG6)</f>
        <v>10.2650625</v>
      </c>
      <c r="AI6" s="32" t="n">
        <f aca="false">MIN(AH6,MAX(0,T6-S6))</f>
        <v>10.2650625</v>
      </c>
    </row>
    <row r="7" customFormat="false" ht="15" hidden="false" customHeight="false" outlineLevel="0" collapsed="false">
      <c r="A7" s="2" t="str">
        <f aca="false">Assumptions!A132</f>
        <v>C03</v>
      </c>
      <c r="B7" s="2" t="str">
        <f aca="false">Assumptions!B132</f>
        <v>Organic (Tesla careers, BA Jobbörse, Google for Jobs)</v>
      </c>
      <c r="C7" s="2" t="str">
        <f aca="false">Assumptions!C132</f>
        <v>Automation</v>
      </c>
      <c r="D7" s="2" t="s">
        <v>321</v>
      </c>
      <c r="E7" s="2" t="str">
        <f aca="false">Assumptions!D132</f>
        <v>Free</v>
      </c>
      <c r="F7" s="43" t="n">
        <f aca="false">Assumptions!E132</f>
        <v>0</v>
      </c>
      <c r="G7" s="29" t="str">
        <f aca="false">IF(E7="Free","",Assumptions!F132)</f>
        <v/>
      </c>
      <c r="H7" s="43" t="n">
        <f aca="false">MAX(0,IF(OR(E7="CPC",E7="Slot"),IF(N(G7)&gt;0,F7/G7,0),F7))</f>
        <v>0</v>
      </c>
      <c r="I7" s="30" t="n">
        <f aca="false">Assumptions!G132</f>
        <v>0.175</v>
      </c>
      <c r="J7" s="29" t="n">
        <f aca="false">IF(AND(OR(E7="CPC",E7="Slot"),NOT(N(G7)&gt;0)),0,IF(E7="Slot",Assumptions!H132*G7,Assumptions!H132))</f>
        <v>53</v>
      </c>
      <c r="K7" s="32" t="n">
        <f aca="false">J7*I7</f>
        <v>9.275</v>
      </c>
      <c r="L7" s="31" t="n">
        <f aca="false">INDEX(Funnel!$G$5:$G$8,MATCH(C7,Funnel!$A$5:$A$8,0))*M7</f>
        <v>0.2835</v>
      </c>
      <c r="M7" s="44" t="n">
        <f aca="false">Assumptions!I132</f>
        <v>1</v>
      </c>
      <c r="N7" s="32" t="n">
        <f aca="false">K7*L7</f>
        <v>2.6294625</v>
      </c>
      <c r="O7" s="41" t="n">
        <f aca="false">IF(I7&gt;0,H7/I7,0)</f>
        <v>0</v>
      </c>
      <c r="P7" s="41" t="n">
        <f aca="false">IF(N7&gt;0,(N7/L7/I7*H7+Assumptions!J132)/N7,0)</f>
        <v>0</v>
      </c>
      <c r="Q7" s="45" t="n">
        <f aca="false">P7+ROW()/1000000</f>
        <v>7E-006</v>
      </c>
      <c r="R7" s="29" t="n">
        <f aca="false">SUMPRODUCT(($C$5:$C$34=C7)*($Q$5:$Q$34&lt;Q7))+1</f>
        <v>1</v>
      </c>
      <c r="S7" s="32" t="n">
        <f aca="false">SUMPRODUCT(($C$5:$C$34=C7)*($Q$5:$Q$34&lt;Q7)*$AH$5:$AH$34)</f>
        <v>0</v>
      </c>
      <c r="T7" s="32" t="n">
        <f aca="false">INDEX(Funnel!$B$5:$B$8,MATCH(C7,Funnel!$A$5:$A$8,0))-SUMIFS($AG$5:$AG$34,$C$5:$C$34,C7)</f>
        <v>13.9966398137676</v>
      </c>
      <c r="U7" s="46" t="n">
        <f aca="false">AG7+AI7</f>
        <v>2.6294625</v>
      </c>
      <c r="V7" s="32" t="n">
        <f aca="false">IF(L7&gt;0,U7/L7,0)</f>
        <v>9.275</v>
      </c>
      <c r="W7" s="29" t="n">
        <f aca="false">IF(I7&gt;0,V7/I7,0)</f>
        <v>53</v>
      </c>
      <c r="X7" s="41" t="n">
        <f aca="false">IF(E7="Slot",IF(N(G7)&gt;0,ROUNDUP(W7/G7,0)*MAX(0,F7),0),W7*H7)</f>
        <v>0</v>
      </c>
      <c r="Y7" s="41" t="n">
        <f aca="false">IF(U7&gt;0,Assumptions!J132,0)</f>
        <v>0</v>
      </c>
      <c r="Z7" s="41" t="n">
        <f aca="false">IF(AND(D7="Channel",OR(E7="CPC",E7="CPA"),INDEX(Funnel!$B$5:$B$8,MATCH(C7,Funnel!$A$5:$A$8,0))&gt;0),MIN(Assumptions!$D$49,J7*H7,IF(I7*L7&gt;0,INDEX(Funnel!$B$5:$B$8,MATCH(C7,Funnel!$A$5:$A$8,0))/SUMPRODUCT(($C$5:$C$34=C7)*($D$5:$D$34="Channel")*(($E$5:$E$34="CPC")+($E$5:$E$34="CPA")))/(I7*L7)*H7,0)),0)</f>
        <v>0</v>
      </c>
      <c r="AA7" s="41" t="n">
        <f aca="false">X7+Y7</f>
        <v>0</v>
      </c>
      <c r="AB7" s="41" t="n">
        <f aca="false">IF(U7&gt;0,(X7+Y7)/U7,"–")</f>
        <v>0</v>
      </c>
      <c r="AC7" s="29" t="n">
        <f aca="false">SUMPRODUCT(--($Q$5:$Q$34&lt;Q7))+1</f>
        <v>3</v>
      </c>
      <c r="AD7" s="2" t="str">
        <f aca="false">IF(AND(AH7&gt;0,AI7&gt;=AH7*0.999),"Used to capacity",IF(AI7&gt;0,"Marginal (fills the gap)",IF(Z7&gt;0,"Test only (wk 1–2)","Not used")))</f>
        <v>Used to capacity</v>
      </c>
      <c r="AE7" s="32" t="n">
        <f aca="false">IF(H7&gt;0,Z7/H7,0)</f>
        <v>0</v>
      </c>
      <c r="AF7" s="32" t="n">
        <f aca="false">AE7*I7</f>
        <v>0</v>
      </c>
      <c r="AG7" s="32" t="n">
        <f aca="false">AF7*L7</f>
        <v>0</v>
      </c>
      <c r="AH7" s="32" t="n">
        <f aca="false">MAX(0,N7-AG7)</f>
        <v>2.6294625</v>
      </c>
      <c r="AI7" s="32" t="n">
        <f aca="false">MIN(AH7,MAX(0,T7-S7))</f>
        <v>2.6294625</v>
      </c>
    </row>
    <row r="8" customFormat="false" ht="15" hidden="false" customHeight="false" outlineLevel="0" collapsed="false">
      <c r="A8" s="2" t="str">
        <f aca="false">Assumptions!A133</f>
        <v>C04</v>
      </c>
      <c r="B8" s="2" t="str">
        <f aca="false">Assumptions!B133</f>
        <v>Organic (Tesla careers, BA Jobbörse, Google for Jobs)</v>
      </c>
      <c r="C8" s="2" t="str">
        <f aca="false">Assumptions!C133</f>
        <v>Supervisors</v>
      </c>
      <c r="D8" s="2" t="s">
        <v>321</v>
      </c>
      <c r="E8" s="2" t="str">
        <f aca="false">Assumptions!D133</f>
        <v>Free</v>
      </c>
      <c r="F8" s="43" t="n">
        <f aca="false">Assumptions!E133</f>
        <v>0</v>
      </c>
      <c r="G8" s="29" t="str">
        <f aca="false">IF(E8="Free","",Assumptions!F133)</f>
        <v/>
      </c>
      <c r="H8" s="43" t="n">
        <f aca="false">MAX(0,IF(OR(E8="CPC",E8="Slot"),IF(N(G8)&gt;0,F8/G8,0),F8))</f>
        <v>0</v>
      </c>
      <c r="I8" s="30" t="n">
        <f aca="false">Assumptions!G133</f>
        <v>0.161</v>
      </c>
      <c r="J8" s="29" t="n">
        <f aca="false">IF(AND(OR(E8="CPC",E8="Slot"),NOT(N(G8)&gt;0)),0,IF(E8="Slot",Assumptions!H133*G8,Assumptions!H133))</f>
        <v>35</v>
      </c>
      <c r="K8" s="32" t="n">
        <f aca="false">J8*I8</f>
        <v>5.635</v>
      </c>
      <c r="L8" s="31" t="n">
        <f aca="false">INDEX(Funnel!$G$5:$G$8,MATCH(C8,Funnel!$A$5:$A$8,0))*M8</f>
        <v>0.238</v>
      </c>
      <c r="M8" s="44" t="n">
        <f aca="false">Assumptions!I133</f>
        <v>1</v>
      </c>
      <c r="N8" s="32" t="n">
        <f aca="false">K8*L8</f>
        <v>1.34113</v>
      </c>
      <c r="O8" s="41" t="n">
        <f aca="false">IF(I8&gt;0,H8/I8,0)</f>
        <v>0</v>
      </c>
      <c r="P8" s="41" t="n">
        <f aca="false">IF(N8&gt;0,(N8/L8/I8*H8+Assumptions!J133)/N8,0)</f>
        <v>0</v>
      </c>
      <c r="Q8" s="45" t="n">
        <f aca="false">P8+ROW()/1000000</f>
        <v>8E-006</v>
      </c>
      <c r="R8" s="29" t="n">
        <f aca="false">SUMPRODUCT(($C$5:$C$34=C8)*($Q$5:$Q$34&lt;Q8))+1</f>
        <v>1</v>
      </c>
      <c r="S8" s="32" t="n">
        <f aca="false">SUMPRODUCT(($C$5:$C$34=C8)*($Q$5:$Q$34&lt;Q8)*$AH$5:$AH$34)</f>
        <v>0</v>
      </c>
      <c r="T8" s="32" t="n">
        <f aca="false">INDEX(Funnel!$B$5:$B$8,MATCH(C8,Funnel!$A$5:$A$8,0))-SUMIFS($AG$5:$AG$34,$C$5:$C$34,C8)</f>
        <v>9.22505909567039</v>
      </c>
      <c r="U8" s="46" t="n">
        <f aca="false">AG8+AI8</f>
        <v>1.34113</v>
      </c>
      <c r="V8" s="32" t="n">
        <f aca="false">IF(L8&gt;0,U8/L8,0)</f>
        <v>5.635</v>
      </c>
      <c r="W8" s="29" t="n">
        <f aca="false">IF(I8&gt;0,V8/I8,0)</f>
        <v>35</v>
      </c>
      <c r="X8" s="41" t="n">
        <f aca="false">IF(E8="Slot",IF(N(G8)&gt;0,ROUNDUP(W8/G8,0)*MAX(0,F8),0),W8*H8)</f>
        <v>0</v>
      </c>
      <c r="Y8" s="41" t="n">
        <f aca="false">IF(U8&gt;0,Assumptions!J133,0)</f>
        <v>0</v>
      </c>
      <c r="Z8" s="41" t="n">
        <f aca="false">IF(AND(D8="Channel",OR(E8="CPC",E8="CPA"),INDEX(Funnel!$B$5:$B$8,MATCH(C8,Funnel!$A$5:$A$8,0))&gt;0),MIN(Assumptions!$D$49,J8*H8,IF(I8*L8&gt;0,INDEX(Funnel!$B$5:$B$8,MATCH(C8,Funnel!$A$5:$A$8,0))/SUMPRODUCT(($C$5:$C$34=C8)*($D$5:$D$34="Channel")*(($E$5:$E$34="CPC")+($E$5:$E$34="CPA")))/(I8*L8)*H8,0)),0)</f>
        <v>0</v>
      </c>
      <c r="AA8" s="41" t="n">
        <f aca="false">X8+Y8</f>
        <v>0</v>
      </c>
      <c r="AB8" s="41" t="n">
        <f aca="false">IF(U8&gt;0,(X8+Y8)/U8,"–")</f>
        <v>0</v>
      </c>
      <c r="AC8" s="29" t="n">
        <f aca="false">SUMPRODUCT(--($Q$5:$Q$34&lt;Q8))+1</f>
        <v>4</v>
      </c>
      <c r="AD8" s="2" t="str">
        <f aca="false">IF(AND(AH8&gt;0,AI8&gt;=AH8*0.999),"Used to capacity",IF(AI8&gt;0,"Marginal (fills the gap)",IF(Z8&gt;0,"Test only (wk 1–2)","Not used")))</f>
        <v>Used to capacity</v>
      </c>
      <c r="AE8" s="32" t="n">
        <f aca="false">IF(H8&gt;0,Z8/H8,0)</f>
        <v>0</v>
      </c>
      <c r="AF8" s="32" t="n">
        <f aca="false">AE8*I8</f>
        <v>0</v>
      </c>
      <c r="AG8" s="32" t="n">
        <f aca="false">AF8*L8</f>
        <v>0</v>
      </c>
      <c r="AH8" s="32" t="n">
        <f aca="false">MAX(0,N8-AG8)</f>
        <v>1.34113</v>
      </c>
      <c r="AI8" s="32" t="n">
        <f aca="false">MIN(AH8,MAX(0,T8-S8))</f>
        <v>1.34113</v>
      </c>
    </row>
    <row r="9" customFormat="false" ht="15" hidden="false" customHeight="false" outlineLevel="0" collapsed="false">
      <c r="A9" s="2" t="str">
        <f aca="false">Assumptions!A134</f>
        <v>C05</v>
      </c>
      <c r="B9" s="2" t="str">
        <f aca="false">Assumptions!B134</f>
        <v>Programmatic job ads (Joveo: Indeed, Jooble, Talent.com, Kimeta, meinestadt…)</v>
      </c>
      <c r="C9" s="2" t="str">
        <f aca="false">Assumptions!C134</f>
        <v>Electricians</v>
      </c>
      <c r="D9" s="2" t="s">
        <v>321</v>
      </c>
      <c r="E9" s="2" t="str">
        <f aca="false">Assumptions!D134</f>
        <v>CPA</v>
      </c>
      <c r="F9" s="43" t="n">
        <f aca="false">Assumptions!E134</f>
        <v>161</v>
      </c>
      <c r="G9" s="29" t="n">
        <f aca="false">IF(E9="Free","",Assumptions!F134)</f>
        <v>0</v>
      </c>
      <c r="H9" s="43" t="n">
        <f aca="false">MAX(0,IF(OR(E9="CPC",E9="Slot"),IF(N(G9)&gt;0,F9/G9,0),F9))</f>
        <v>161</v>
      </c>
      <c r="I9" s="30" t="n">
        <f aca="false">Assumptions!G134</f>
        <v>0.225</v>
      </c>
      <c r="J9" s="29" t="n">
        <f aca="false">IF(AND(OR(E9="CPC",E9="Slot"),NOT(N(G9)&gt;0)),0,IF(E9="Slot",Assumptions!H134*G9,Assumptions!H134))</f>
        <v>910</v>
      </c>
      <c r="K9" s="32" t="n">
        <f aca="false">J9*I9</f>
        <v>204.75</v>
      </c>
      <c r="L9" s="31" t="n">
        <f aca="false">INDEX(Funnel!$G$5:$G$8,MATCH(C9,Funnel!$A$5:$A$8,0))*M9</f>
        <v>0.315</v>
      </c>
      <c r="M9" s="44" t="n">
        <f aca="false">Assumptions!I134</f>
        <v>1</v>
      </c>
      <c r="N9" s="32" t="n">
        <f aca="false">K9*L9</f>
        <v>64.49625</v>
      </c>
      <c r="O9" s="41" t="n">
        <f aca="false">IF(I9&gt;0,H9/I9,0)</f>
        <v>715.555555555556</v>
      </c>
      <c r="P9" s="41" t="n">
        <f aca="false">IF(N9&gt;0,(N9/L9/I9*H9+Assumptions!J134)/N9,0)</f>
        <v>2271.6049382716</v>
      </c>
      <c r="Q9" s="45" t="n">
        <f aca="false">P9+ROW()/1000000</f>
        <v>2271.6049472716</v>
      </c>
      <c r="R9" s="29" t="n">
        <f aca="false">SUMPRODUCT(($C$5:$C$34=C9)*($Q$5:$Q$34&lt;Q9))+1</f>
        <v>6</v>
      </c>
      <c r="S9" s="32" t="n">
        <f aca="false">SUMPRODUCT(($C$5:$C$34=C9)*($Q$5:$Q$34&lt;Q9)*$AH$5:$AH$34)</f>
        <v>20.5254</v>
      </c>
      <c r="T9" s="32" t="n">
        <f aca="false">INDEX(Funnel!$B$5:$B$8,MATCH(C9,Funnel!$A$5:$A$8,0))-SUMIFS($AG$5:$AG$34,$C$5:$C$34,C9)</f>
        <v>29.1505850361307</v>
      </c>
      <c r="U9" s="46" t="n">
        <f aca="false">AG9+AI9</f>
        <v>8.95534807960894</v>
      </c>
      <c r="V9" s="32" t="n">
        <f aca="false">IF(L9&gt;0,U9/L9,0)</f>
        <v>28.429676443203</v>
      </c>
      <c r="W9" s="29" t="n">
        <f aca="false">IF(I9&gt;0,V9/I9,0)</f>
        <v>126.354117525347</v>
      </c>
      <c r="X9" s="41" t="n">
        <f aca="false">IF(E9="Slot",IF(N(G9)&gt;0,ROUNDUP(W9/G9,0)*MAX(0,F9),0),W9*H9)</f>
        <v>20343.0129215808</v>
      </c>
      <c r="Y9" s="41" t="n">
        <f aca="false">IF(U9&gt;0,Assumptions!J134,0)</f>
        <v>0</v>
      </c>
      <c r="Z9" s="41" t="n">
        <f aca="false">IF(AND(D9="Channel",OR(E9="CPC",E9="CPA"),INDEX(Funnel!$B$5:$B$8,MATCH(C9,Funnel!$A$5:$A$8,0))&gt;0),MIN(Assumptions!$D$49,J9*H9,IF(I9*L9&gt;0,INDEX(Funnel!$B$5:$B$8,MATCH(C9,Funnel!$A$5:$A$8,0))/SUMPRODUCT(($C$5:$C$34=C9)*($D$5:$D$34="Channel")*(($E$5:$E$34="CPC")+($E$5:$E$34="CPA")))/(I9*L9)*H9,0)),0)</f>
        <v>750</v>
      </c>
      <c r="AA9" s="41" t="n">
        <f aca="false">X9+Y9</f>
        <v>20343.0129215808</v>
      </c>
      <c r="AB9" s="41" t="n">
        <f aca="false">IF(U9&gt;0,(X9+Y9)/U9,"–")</f>
        <v>2271.6049382716</v>
      </c>
      <c r="AC9" s="29" t="n">
        <f aca="false">SUMPRODUCT(--($Q$5:$Q$34&lt;Q9))+1</f>
        <v>22</v>
      </c>
      <c r="AD9" s="2" t="str">
        <f aca="false">IF(AND(AH9&gt;0,AI9&gt;=AH9*0.999),"Used to capacity",IF(AI9&gt;0,"Marginal (fills the gap)",IF(Z9&gt;0,"Test only (wk 1–2)","Not used")))</f>
        <v>Marginal (fills the gap)</v>
      </c>
      <c r="AE9" s="32" t="n">
        <f aca="false">IF(H9&gt;0,Z9/H9,0)</f>
        <v>4.6583850931677</v>
      </c>
      <c r="AF9" s="32" t="n">
        <f aca="false">AE9*I9</f>
        <v>1.04813664596273</v>
      </c>
      <c r="AG9" s="32" t="n">
        <f aca="false">AF9*L9</f>
        <v>0.330163043478261</v>
      </c>
      <c r="AH9" s="32" t="n">
        <f aca="false">MAX(0,N9-AG9)</f>
        <v>64.1660869565217</v>
      </c>
      <c r="AI9" s="32" t="n">
        <f aca="false">MIN(AH9,MAX(0,T9-S9))</f>
        <v>8.62518503613068</v>
      </c>
    </row>
    <row r="10" customFormat="false" ht="15" hidden="false" customHeight="false" outlineLevel="0" collapsed="false">
      <c r="A10" s="2" t="str">
        <f aca="false">Assumptions!A135</f>
        <v>C06</v>
      </c>
      <c r="B10" s="2" t="str">
        <f aca="false">Assumptions!B135</f>
        <v>Programmatic job ads (Joveo: Indeed, Jooble, Talent.com, Kimeta, meinestadt…)</v>
      </c>
      <c r="C10" s="2" t="str">
        <f aca="false">Assumptions!C135</f>
        <v>Mechatronics</v>
      </c>
      <c r="D10" s="2" t="s">
        <v>321</v>
      </c>
      <c r="E10" s="2" t="str">
        <f aca="false">Assumptions!D135</f>
        <v>CPA</v>
      </c>
      <c r="F10" s="43" t="n">
        <f aca="false">Assumptions!E135</f>
        <v>161</v>
      </c>
      <c r="G10" s="29" t="n">
        <f aca="false">IF(E10="Free","",Assumptions!F135)</f>
        <v>0</v>
      </c>
      <c r="H10" s="43" t="n">
        <f aca="false">MAX(0,IF(OR(E10="CPC",E10="Slot"),IF(N(G10)&gt;0,F10/G10,0),F10))</f>
        <v>161</v>
      </c>
      <c r="I10" s="30" t="n">
        <f aca="false">Assumptions!G135</f>
        <v>0.225</v>
      </c>
      <c r="J10" s="29" t="n">
        <f aca="false">IF(AND(OR(E10="CPC",E10="Slot"),NOT(N(G10)&gt;0)),0,IF(E10="Slot",Assumptions!H135*G10,Assumptions!H135))</f>
        <v>4690</v>
      </c>
      <c r="K10" s="32" t="n">
        <f aca="false">J10*I10</f>
        <v>1055.25</v>
      </c>
      <c r="L10" s="31" t="n">
        <f aca="false">INDEX(Funnel!$G$5:$G$8,MATCH(C10,Funnel!$A$5:$A$8,0))*M10</f>
        <v>0.37125</v>
      </c>
      <c r="M10" s="44" t="n">
        <f aca="false">Assumptions!I135</f>
        <v>1</v>
      </c>
      <c r="N10" s="32" t="n">
        <f aca="false">K10*L10</f>
        <v>391.7615625</v>
      </c>
      <c r="O10" s="41" t="n">
        <f aca="false">IF(I10&gt;0,H10/I10,0)</f>
        <v>715.555555555556</v>
      </c>
      <c r="P10" s="41" t="n">
        <f aca="false">IF(N10&gt;0,(N10/L10/I10*H10+Assumptions!J135)/N10,0)</f>
        <v>1927.42237186682</v>
      </c>
      <c r="Q10" s="45" t="n">
        <f aca="false">P10+ROW()/1000000</f>
        <v>1927.42238186682</v>
      </c>
      <c r="R10" s="29" t="n">
        <f aca="false">SUMPRODUCT(($C$5:$C$34=C10)*($Q$5:$Q$34&lt;Q10))+1</f>
        <v>6</v>
      </c>
      <c r="S10" s="32" t="n">
        <f aca="false">SUMPRODUCT(($C$5:$C$34=C10)*($Q$5:$Q$34&lt;Q10)*$AH$5:$AH$34)</f>
        <v>37.21181625</v>
      </c>
      <c r="T10" s="32" t="n">
        <f aca="false">INDEX(Funnel!$B$5:$B$8,MATCH(C10,Funnel!$A$5:$A$8,0))-SUMIFS($AG$5:$AG$34,$C$5:$C$34,C10)</f>
        <v>43.9989037925826</v>
      </c>
      <c r="U10" s="46" t="n">
        <f aca="false">AG10+AI10</f>
        <v>7.17620827239625</v>
      </c>
      <c r="V10" s="32" t="n">
        <f aca="false">IF(L10&gt;0,U10/L10,0)</f>
        <v>19.3298539323805</v>
      </c>
      <c r="W10" s="29" t="n">
        <f aca="false">IF(I10&gt;0,V10/I10,0)</f>
        <v>85.9104619216909</v>
      </c>
      <c r="X10" s="41" t="n">
        <f aca="false">IF(E10="Slot",IF(N(G10)&gt;0,ROUNDUP(W10/G10,0)*MAX(0,F10),0),W10*H10)</f>
        <v>13831.5843693922</v>
      </c>
      <c r="Y10" s="41" t="n">
        <f aca="false">IF(U10&gt;0,Assumptions!J135,0)</f>
        <v>0</v>
      </c>
      <c r="Z10" s="41" t="n">
        <f aca="false">IF(AND(D10="Channel",OR(E10="CPC",E10="CPA"),INDEX(Funnel!$B$5:$B$8,MATCH(C10,Funnel!$A$5:$A$8,0))&gt;0),MIN(Assumptions!$D$49,J10*H10,IF(I10*L10&gt;0,INDEX(Funnel!$B$5:$B$8,MATCH(C10,Funnel!$A$5:$A$8,0))/SUMPRODUCT(($C$5:$C$34=C10)*($D$5:$D$34="Channel")*(($E$5:$E$34="CPC")+($E$5:$E$34="CPA")))/(I10*L10)*H10,0)),0)</f>
        <v>750</v>
      </c>
      <c r="AA10" s="41" t="n">
        <f aca="false">X10+Y10</f>
        <v>13831.5843693922</v>
      </c>
      <c r="AB10" s="41" t="n">
        <f aca="false">IF(U10&gt;0,(X10+Y10)/U10,"–")</f>
        <v>1927.42237186682</v>
      </c>
      <c r="AC10" s="29" t="n">
        <f aca="false">SUMPRODUCT(--($Q$5:$Q$34&lt;Q10))+1</f>
        <v>19</v>
      </c>
      <c r="AD10" s="2" t="str">
        <f aca="false">IF(AND(AH10&gt;0,AI10&gt;=AH10*0.999),"Used to capacity",IF(AI10&gt;0,"Marginal (fills the gap)",IF(Z10&gt;0,"Test only (wk 1–2)","Not used")))</f>
        <v>Marginal (fills the gap)</v>
      </c>
      <c r="AE10" s="32" t="n">
        <f aca="false">IF(H10&gt;0,Z10/H10,0)</f>
        <v>4.6583850931677</v>
      </c>
      <c r="AF10" s="32" t="n">
        <f aca="false">AE10*I10</f>
        <v>1.04813664596273</v>
      </c>
      <c r="AG10" s="32" t="n">
        <f aca="false">AF10*L10</f>
        <v>0.389120729813665</v>
      </c>
      <c r="AH10" s="32" t="n">
        <f aca="false">MAX(0,N10-AG10)</f>
        <v>391.372441770186</v>
      </c>
      <c r="AI10" s="32" t="n">
        <f aca="false">MIN(AH10,MAX(0,T10-S10))</f>
        <v>6.78708754258258</v>
      </c>
    </row>
    <row r="11" customFormat="false" ht="15" hidden="false" customHeight="false" outlineLevel="0" collapsed="false">
      <c r="A11" s="2" t="str">
        <f aca="false">Assumptions!A136</f>
        <v>C07</v>
      </c>
      <c r="B11" s="2" t="str">
        <f aca="false">Assumptions!B136</f>
        <v>Programmatic job ads (Joveo: Indeed, Jooble, Talent.com, Kimeta, meinestadt…)</v>
      </c>
      <c r="C11" s="2" t="str">
        <f aca="false">Assumptions!C136</f>
        <v>Automation</v>
      </c>
      <c r="D11" s="2" t="s">
        <v>321</v>
      </c>
      <c r="E11" s="2" t="str">
        <f aca="false">Assumptions!D136</f>
        <v>CPA</v>
      </c>
      <c r="F11" s="43" t="n">
        <f aca="false">Assumptions!E136</f>
        <v>161</v>
      </c>
      <c r="G11" s="29" t="n">
        <f aca="false">IF(E11="Free","",Assumptions!F136)</f>
        <v>0</v>
      </c>
      <c r="H11" s="43" t="n">
        <f aca="false">MAX(0,IF(OR(E11="CPC",E11="Slot"),IF(N(G11)&gt;0,F11/G11,0),F11))</f>
        <v>161</v>
      </c>
      <c r="I11" s="30" t="n">
        <f aca="false">Assumptions!G136</f>
        <v>0.225</v>
      </c>
      <c r="J11" s="29" t="n">
        <f aca="false">IF(AND(OR(E11="CPC",E11="Slot"),NOT(N(G11)&gt;0)),0,IF(E11="Slot",Assumptions!H136*G11,Assumptions!H136))</f>
        <v>380</v>
      </c>
      <c r="K11" s="32" t="n">
        <f aca="false">J11*I11</f>
        <v>85.5</v>
      </c>
      <c r="L11" s="31" t="n">
        <f aca="false">INDEX(Funnel!$G$5:$G$8,MATCH(C11,Funnel!$A$5:$A$8,0))*M11</f>
        <v>0.2835</v>
      </c>
      <c r="M11" s="44" t="n">
        <f aca="false">Assumptions!I136</f>
        <v>1</v>
      </c>
      <c r="N11" s="32" t="n">
        <f aca="false">K11*L11</f>
        <v>24.23925</v>
      </c>
      <c r="O11" s="41" t="n">
        <f aca="false">IF(I11&gt;0,H11/I11,0)</f>
        <v>715.555555555556</v>
      </c>
      <c r="P11" s="41" t="n">
        <f aca="false">IF(N11&gt;0,(N11/L11/I11*H11+Assumptions!J136)/N11,0)</f>
        <v>2524.00548696845</v>
      </c>
      <c r="Q11" s="45" t="n">
        <f aca="false">P11+ROW()/1000000</f>
        <v>2524.00549796845</v>
      </c>
      <c r="R11" s="29" t="n">
        <f aca="false">SUMPRODUCT(($C$5:$C$34=C11)*($Q$5:$Q$34&lt;Q11))+1</f>
        <v>6</v>
      </c>
      <c r="S11" s="32" t="n">
        <f aca="false">SUMPRODUCT(($C$5:$C$34=C11)*($Q$5:$Q$34&lt;Q11)*$AH$5:$AH$34)</f>
        <v>16.22518340625</v>
      </c>
      <c r="T11" s="32" t="n">
        <f aca="false">INDEX(Funnel!$B$5:$B$8,MATCH(C11,Funnel!$A$5:$A$8,0))-SUMIFS($AG$5:$AG$34,$C$5:$C$34,C11)</f>
        <v>13.9966398137676</v>
      </c>
      <c r="U11" s="46" t="n">
        <f aca="false">AG11+AI11</f>
        <v>0.297146739130435</v>
      </c>
      <c r="V11" s="32" t="n">
        <f aca="false">IF(L11&gt;0,U11/L11,0)</f>
        <v>1.04813664596273</v>
      </c>
      <c r="W11" s="29" t="n">
        <f aca="false">IF(I11&gt;0,V11/I11,0)</f>
        <v>4.6583850931677</v>
      </c>
      <c r="X11" s="41" t="n">
        <f aca="false">IF(E11="Slot",IF(N(G11)&gt;0,ROUNDUP(W11/G11,0)*MAX(0,F11),0),W11*H11)</f>
        <v>750</v>
      </c>
      <c r="Y11" s="41" t="n">
        <f aca="false">IF(U11&gt;0,Assumptions!J136,0)</f>
        <v>0</v>
      </c>
      <c r="Z11" s="41" t="n">
        <f aca="false">IF(AND(D11="Channel",OR(E11="CPC",E11="CPA"),INDEX(Funnel!$B$5:$B$8,MATCH(C11,Funnel!$A$5:$A$8,0))&gt;0),MIN(Assumptions!$D$49,J11*H11,IF(I11*L11&gt;0,INDEX(Funnel!$B$5:$B$8,MATCH(C11,Funnel!$A$5:$A$8,0))/SUMPRODUCT(($C$5:$C$34=C11)*($D$5:$D$34="Channel")*(($E$5:$E$34="CPC")+($E$5:$E$34="CPA")))/(I11*L11)*H11,0)),0)</f>
        <v>750</v>
      </c>
      <c r="AA11" s="41" t="n">
        <f aca="false">X11+Y11</f>
        <v>750</v>
      </c>
      <c r="AB11" s="41" t="n">
        <f aca="false">IF(U11&gt;0,(X11+Y11)/U11,"–")</f>
        <v>2524.00548696845</v>
      </c>
      <c r="AC11" s="29" t="n">
        <f aca="false">SUMPRODUCT(--($Q$5:$Q$34&lt;Q11))+1</f>
        <v>24</v>
      </c>
      <c r="AD11" s="2" t="str">
        <f aca="false">IF(AND(AH11&gt;0,AI11&gt;=AH11*0.999),"Used to capacity",IF(AI11&gt;0,"Marginal (fills the gap)",IF(Z11&gt;0,"Test only (wk 1–2)","Not used")))</f>
        <v>Test only (wk 1–2)</v>
      </c>
      <c r="AE11" s="32" t="n">
        <f aca="false">IF(H11&gt;0,Z11/H11,0)</f>
        <v>4.6583850931677</v>
      </c>
      <c r="AF11" s="32" t="n">
        <f aca="false">AE11*I11</f>
        <v>1.04813664596273</v>
      </c>
      <c r="AG11" s="32" t="n">
        <f aca="false">AF11*L11</f>
        <v>0.297146739130435</v>
      </c>
      <c r="AH11" s="32" t="n">
        <f aca="false">MAX(0,N11-AG11)</f>
        <v>23.9421032608696</v>
      </c>
      <c r="AI11" s="32" t="n">
        <f aca="false">MIN(AH11,MAX(0,T11-S11))</f>
        <v>0</v>
      </c>
    </row>
    <row r="12" customFormat="false" ht="15" hidden="false" customHeight="false" outlineLevel="0" collapsed="false">
      <c r="A12" s="2" t="str">
        <f aca="false">Assumptions!A137</f>
        <v>C08</v>
      </c>
      <c r="B12" s="2" t="str">
        <f aca="false">Assumptions!B137</f>
        <v>Programmatic job ads (Joveo: Indeed, Jooble, Talent.com, Kimeta, meinestadt…)</v>
      </c>
      <c r="C12" s="2" t="str">
        <f aca="false">Assumptions!C137</f>
        <v>Supervisors</v>
      </c>
      <c r="D12" s="2" t="s">
        <v>321</v>
      </c>
      <c r="E12" s="2" t="str">
        <f aca="false">Assumptions!D137</f>
        <v>CPA</v>
      </c>
      <c r="F12" s="43" t="n">
        <f aca="false">Assumptions!E137</f>
        <v>161</v>
      </c>
      <c r="G12" s="29" t="n">
        <f aca="false">IF(E12="Free","",Assumptions!F137)</f>
        <v>0</v>
      </c>
      <c r="H12" s="43" t="n">
        <f aca="false">MAX(0,IF(OR(E12="CPC",E12="Slot"),IF(N(G12)&gt;0,F12/G12,0),F12))</f>
        <v>161</v>
      </c>
      <c r="I12" s="30" t="n">
        <f aca="false">Assumptions!G137</f>
        <v>0.207</v>
      </c>
      <c r="J12" s="29" t="n">
        <f aca="false">IF(AND(OR(E12="CPC",E12="Slot"),NOT(N(G12)&gt;0)),0,IF(E12="Slot",Assumptions!H137*G12,Assumptions!H137))</f>
        <v>430</v>
      </c>
      <c r="K12" s="32" t="n">
        <f aca="false">J12*I12</f>
        <v>89.01</v>
      </c>
      <c r="L12" s="31" t="n">
        <f aca="false">INDEX(Funnel!$G$5:$G$8,MATCH(C12,Funnel!$A$5:$A$8,0))*M12</f>
        <v>0.238</v>
      </c>
      <c r="M12" s="44" t="n">
        <f aca="false">Assumptions!I137</f>
        <v>1</v>
      </c>
      <c r="N12" s="32" t="n">
        <f aca="false">K12*L12</f>
        <v>21.18438</v>
      </c>
      <c r="O12" s="41" t="n">
        <f aca="false">IF(I12&gt;0,H12/I12,0)</f>
        <v>777.777777777778</v>
      </c>
      <c r="P12" s="41" t="n">
        <f aca="false">IF(N12&gt;0,(N12/L12/I12*H12+Assumptions!J137)/N12,0)</f>
        <v>3267.97385620915</v>
      </c>
      <c r="Q12" s="45" t="n">
        <f aca="false">P12+ROW()/1000000</f>
        <v>3267.97386820915</v>
      </c>
      <c r="R12" s="29" t="n">
        <f aca="false">SUMPRODUCT(($C$5:$C$34=C12)*($Q$5:$Q$34&lt;Q12))+1</f>
        <v>6</v>
      </c>
      <c r="S12" s="32" t="n">
        <f aca="false">SUMPRODUCT(($C$5:$C$34=C12)*($Q$5:$Q$34&lt;Q12)*$AH$5:$AH$34)</f>
        <v>12.049300375</v>
      </c>
      <c r="T12" s="32" t="n">
        <f aca="false">INDEX(Funnel!$B$5:$B$8,MATCH(C12,Funnel!$A$5:$A$8,0))-SUMIFS($AG$5:$AG$34,$C$5:$C$34,C12)</f>
        <v>9.22505909567039</v>
      </c>
      <c r="U12" s="46" t="n">
        <f aca="false">AG12+AI12</f>
        <v>0.2295</v>
      </c>
      <c r="V12" s="32" t="n">
        <f aca="false">IF(L12&gt;0,U12/L12,0)</f>
        <v>0.964285714285714</v>
      </c>
      <c r="W12" s="29" t="n">
        <f aca="false">IF(I12&gt;0,V12/I12,0)</f>
        <v>4.6583850931677</v>
      </c>
      <c r="X12" s="41" t="n">
        <f aca="false">IF(E12="Slot",IF(N(G12)&gt;0,ROUNDUP(W12/G12,0)*MAX(0,F12),0),W12*H12)</f>
        <v>750</v>
      </c>
      <c r="Y12" s="41" t="n">
        <f aca="false">IF(U12&gt;0,Assumptions!J137,0)</f>
        <v>0</v>
      </c>
      <c r="Z12" s="41" t="n">
        <f aca="false">IF(AND(D12="Channel",OR(E12="CPC",E12="CPA"),INDEX(Funnel!$B$5:$B$8,MATCH(C12,Funnel!$A$5:$A$8,0))&gt;0),MIN(Assumptions!$D$49,J12*H12,IF(I12*L12&gt;0,INDEX(Funnel!$B$5:$B$8,MATCH(C12,Funnel!$A$5:$A$8,0))/SUMPRODUCT(($C$5:$C$34=C12)*($D$5:$D$34="Channel")*(($E$5:$E$34="CPC")+($E$5:$E$34="CPA")))/(I12*L12)*H12,0)),0)</f>
        <v>750</v>
      </c>
      <c r="AA12" s="41" t="n">
        <f aca="false">X12+Y12</f>
        <v>750</v>
      </c>
      <c r="AB12" s="41" t="n">
        <f aca="false">IF(U12&gt;0,(X12+Y12)/U12,"–")</f>
        <v>3267.97385620915</v>
      </c>
      <c r="AC12" s="29" t="n">
        <f aca="false">SUMPRODUCT(--($Q$5:$Q$34&lt;Q12))+1</f>
        <v>28</v>
      </c>
      <c r="AD12" s="2" t="str">
        <f aca="false">IF(AND(AH12&gt;0,AI12&gt;=AH12*0.999),"Used to capacity",IF(AI12&gt;0,"Marginal (fills the gap)",IF(Z12&gt;0,"Test only (wk 1–2)","Not used")))</f>
        <v>Test only (wk 1–2)</v>
      </c>
      <c r="AE12" s="32" t="n">
        <f aca="false">IF(H12&gt;0,Z12/H12,0)</f>
        <v>4.6583850931677</v>
      </c>
      <c r="AF12" s="32" t="n">
        <f aca="false">AE12*I12</f>
        <v>0.964285714285714</v>
      </c>
      <c r="AG12" s="32" t="n">
        <f aca="false">AF12*L12</f>
        <v>0.2295</v>
      </c>
      <c r="AH12" s="32" t="n">
        <f aca="false">MAX(0,N12-AG12)</f>
        <v>20.95488</v>
      </c>
      <c r="AI12" s="32" t="n">
        <f aca="false">MIN(AH12,MAX(0,T12-S12))</f>
        <v>0</v>
      </c>
    </row>
    <row r="13" customFormat="false" ht="15" hidden="false" customHeight="false" outlineLevel="0" collapsed="false">
      <c r="A13" s="2" t="str">
        <f aca="false">Assumptions!A138</f>
        <v>C09</v>
      </c>
      <c r="B13" s="2" t="str">
        <f aca="false">Assumptions!B138</f>
        <v>StepStone (30-day single ad)</v>
      </c>
      <c r="C13" s="2" t="str">
        <f aca="false">Assumptions!C138</f>
        <v>Electricians</v>
      </c>
      <c r="D13" s="2" t="s">
        <v>321</v>
      </c>
      <c r="E13" s="2" t="str">
        <f aca="false">Assumptions!D138</f>
        <v>Slot</v>
      </c>
      <c r="F13" s="43" t="n">
        <f aca="false">Assumptions!E138</f>
        <v>1449</v>
      </c>
      <c r="G13" s="29" t="n">
        <f aca="false">IF(E13="Free","",Assumptions!F138)</f>
        <v>12</v>
      </c>
      <c r="H13" s="43" t="n">
        <f aca="false">MAX(0,IF(OR(E13="CPC",E13="Slot"),IF(N(G13)&gt;0,F13/G13,0),F13))</f>
        <v>120.75</v>
      </c>
      <c r="I13" s="30" t="n">
        <f aca="false">Assumptions!G138</f>
        <v>0.225</v>
      </c>
      <c r="J13" s="29" t="n">
        <f aca="false">IF(AND(OR(E13="CPC",E13="Slot"),NOT(N(G13)&gt;0)),0,IF(E13="Slot",Assumptions!H138*G13,Assumptions!H138))</f>
        <v>24</v>
      </c>
      <c r="K13" s="32" t="n">
        <f aca="false">J13*I13</f>
        <v>5.4</v>
      </c>
      <c r="L13" s="31" t="n">
        <f aca="false">INDEX(Funnel!$G$5:$G$8,MATCH(C13,Funnel!$A$5:$A$8,0))*M13</f>
        <v>0.315</v>
      </c>
      <c r="M13" s="44" t="n">
        <f aca="false">Assumptions!I138</f>
        <v>1</v>
      </c>
      <c r="N13" s="32" t="n">
        <f aca="false">K13*L13</f>
        <v>1.701</v>
      </c>
      <c r="O13" s="41" t="n">
        <f aca="false">IF(I13&gt;0,H13/I13,0)</f>
        <v>536.666666666667</v>
      </c>
      <c r="P13" s="41" t="n">
        <f aca="false">IF(N13&gt;0,(N13/L13/I13*H13+Assumptions!J138)/N13,0)</f>
        <v>1703.7037037037</v>
      </c>
      <c r="Q13" s="45" t="n">
        <f aca="false">P13+ROW()/1000000</f>
        <v>1703.7037167037</v>
      </c>
      <c r="R13" s="29" t="n">
        <f aca="false">SUMPRODUCT(($C$5:$C$34=C13)*($Q$5:$Q$34&lt;Q13))+1</f>
        <v>5</v>
      </c>
      <c r="S13" s="32" t="n">
        <f aca="false">SUMPRODUCT(($C$5:$C$34=C13)*($Q$5:$Q$34&lt;Q13)*$AH$5:$AH$34)</f>
        <v>18.8244</v>
      </c>
      <c r="T13" s="32" t="n">
        <f aca="false">INDEX(Funnel!$B$5:$B$8,MATCH(C13,Funnel!$A$5:$A$8,0))-SUMIFS($AG$5:$AG$34,$C$5:$C$34,C13)</f>
        <v>29.1505850361307</v>
      </c>
      <c r="U13" s="46" t="n">
        <f aca="false">AG13+AI13</f>
        <v>1.701</v>
      </c>
      <c r="V13" s="32" t="n">
        <f aca="false">IF(L13&gt;0,U13/L13,0)</f>
        <v>5.4</v>
      </c>
      <c r="W13" s="29" t="n">
        <f aca="false">IF(I13&gt;0,V13/I13,0)</f>
        <v>24</v>
      </c>
      <c r="X13" s="41" t="n">
        <f aca="false">IF(E13="Slot",IF(N(G13)&gt;0,ROUNDUP(W13/G13,0)*MAX(0,F13),0),W13*H13)</f>
        <v>2898</v>
      </c>
      <c r="Y13" s="41" t="n">
        <f aca="false">IF(U13&gt;0,Assumptions!J138,0)</f>
        <v>0</v>
      </c>
      <c r="Z13" s="41" t="n">
        <f aca="false">IF(AND(D13="Channel",OR(E13="CPC",E13="CPA"),INDEX(Funnel!$B$5:$B$8,MATCH(C13,Funnel!$A$5:$A$8,0))&gt;0),MIN(Assumptions!$D$49,J13*H13,IF(I13*L13&gt;0,INDEX(Funnel!$B$5:$B$8,MATCH(C13,Funnel!$A$5:$A$8,0))/SUMPRODUCT(($C$5:$C$34=C13)*($D$5:$D$34="Channel")*(($E$5:$E$34="CPC")+($E$5:$E$34="CPA")))/(I13*L13)*H13,0)),0)</f>
        <v>0</v>
      </c>
      <c r="AA13" s="41" t="n">
        <f aca="false">X13+Y13</f>
        <v>2898</v>
      </c>
      <c r="AB13" s="41" t="n">
        <f aca="false">IF(U13&gt;0,(X13+Y13)/U13,"–")</f>
        <v>1703.7037037037</v>
      </c>
      <c r="AC13" s="29" t="n">
        <f aca="false">SUMPRODUCT(--($Q$5:$Q$34&lt;Q13))+1</f>
        <v>17</v>
      </c>
      <c r="AD13" s="2" t="str">
        <f aca="false">IF(AND(AH13&gt;0,AI13&gt;=AH13*0.999),"Used to capacity",IF(AI13&gt;0,"Marginal (fills the gap)",IF(Z13&gt;0,"Test only (wk 1–2)","Not used")))</f>
        <v>Used to capacity</v>
      </c>
      <c r="AE13" s="32" t="n">
        <f aca="false">IF(H13&gt;0,Z13/H13,0)</f>
        <v>0</v>
      </c>
      <c r="AF13" s="32" t="n">
        <f aca="false">AE13*I13</f>
        <v>0</v>
      </c>
      <c r="AG13" s="32" t="n">
        <f aca="false">AF13*L13</f>
        <v>0</v>
      </c>
      <c r="AH13" s="32" t="n">
        <f aca="false">MAX(0,N13-AG13)</f>
        <v>1.701</v>
      </c>
      <c r="AI13" s="32" t="n">
        <f aca="false">MIN(AH13,MAX(0,T13-S13))</f>
        <v>1.701</v>
      </c>
    </row>
    <row r="14" customFormat="false" ht="15" hidden="false" customHeight="false" outlineLevel="0" collapsed="false">
      <c r="A14" s="2" t="str">
        <f aca="false">Assumptions!A139</f>
        <v>C10</v>
      </c>
      <c r="B14" s="2" t="str">
        <f aca="false">Assumptions!B139</f>
        <v>StepStone (30-day single ad)</v>
      </c>
      <c r="C14" s="2" t="str">
        <f aca="false">Assumptions!C139</f>
        <v>Mechatronics</v>
      </c>
      <c r="D14" s="2" t="s">
        <v>321</v>
      </c>
      <c r="E14" s="2" t="str">
        <f aca="false">Assumptions!D139</f>
        <v>Slot</v>
      </c>
      <c r="F14" s="43" t="n">
        <f aca="false">Assumptions!E139</f>
        <v>1449</v>
      </c>
      <c r="G14" s="29" t="n">
        <f aca="false">IF(E14="Free","",Assumptions!F139)</f>
        <v>12</v>
      </c>
      <c r="H14" s="43" t="n">
        <f aca="false">MAX(0,IF(OR(E14="CPC",E14="Slot"),IF(N(G14)&gt;0,F14/G14,0),F14))</f>
        <v>120.75</v>
      </c>
      <c r="I14" s="30" t="n">
        <f aca="false">Assumptions!G139</f>
        <v>0.225</v>
      </c>
      <c r="J14" s="29" t="n">
        <f aca="false">IF(AND(OR(E14="CPC",E14="Slot"),NOT(N(G14)&gt;0)),0,IF(E14="Slot",Assumptions!H139*G14,Assumptions!H139))</f>
        <v>24</v>
      </c>
      <c r="K14" s="32" t="n">
        <f aca="false">J14*I14</f>
        <v>5.4</v>
      </c>
      <c r="L14" s="31" t="n">
        <f aca="false">INDEX(Funnel!$G$5:$G$8,MATCH(C14,Funnel!$A$5:$A$8,0))*M14</f>
        <v>0.37125</v>
      </c>
      <c r="M14" s="44" t="n">
        <f aca="false">Assumptions!I139</f>
        <v>1</v>
      </c>
      <c r="N14" s="32" t="n">
        <f aca="false">K14*L14</f>
        <v>2.00475</v>
      </c>
      <c r="O14" s="41" t="n">
        <f aca="false">IF(I14&gt;0,H14/I14,0)</f>
        <v>536.666666666667</v>
      </c>
      <c r="P14" s="41" t="n">
        <f aca="false">IF(N14&gt;0,(N14/L14/I14*H14+Assumptions!J139)/N14,0)</f>
        <v>1445.56677890011</v>
      </c>
      <c r="Q14" s="45" t="n">
        <f aca="false">P14+ROW()/1000000</f>
        <v>1445.56679290011</v>
      </c>
      <c r="R14" s="29" t="n">
        <f aca="false">SUMPRODUCT(($C$5:$C$34=C14)*($Q$5:$Q$34&lt;Q14))+1</f>
        <v>5</v>
      </c>
      <c r="S14" s="32" t="n">
        <f aca="false">SUMPRODUCT(($C$5:$C$34=C14)*($Q$5:$Q$34&lt;Q14)*$AH$5:$AH$34)</f>
        <v>35.20706625</v>
      </c>
      <c r="T14" s="32" t="n">
        <f aca="false">INDEX(Funnel!$B$5:$B$8,MATCH(C14,Funnel!$A$5:$A$8,0))-SUMIFS($AG$5:$AG$34,$C$5:$C$34,C14)</f>
        <v>43.9989037925826</v>
      </c>
      <c r="U14" s="46" t="n">
        <f aca="false">AG14+AI14</f>
        <v>2.00475</v>
      </c>
      <c r="V14" s="32" t="n">
        <f aca="false">IF(L14&gt;0,U14/L14,0)</f>
        <v>5.4</v>
      </c>
      <c r="W14" s="29" t="n">
        <f aca="false">IF(I14&gt;0,V14/I14,0)</f>
        <v>24</v>
      </c>
      <c r="X14" s="41" t="n">
        <f aca="false">IF(E14="Slot",IF(N(G14)&gt;0,ROUNDUP(W14/G14,0)*MAX(0,F14),0),W14*H14)</f>
        <v>2898</v>
      </c>
      <c r="Y14" s="41" t="n">
        <f aca="false">IF(U14&gt;0,Assumptions!J139,0)</f>
        <v>0</v>
      </c>
      <c r="Z14" s="41" t="n">
        <f aca="false">IF(AND(D14="Channel",OR(E14="CPC",E14="CPA"),INDEX(Funnel!$B$5:$B$8,MATCH(C14,Funnel!$A$5:$A$8,0))&gt;0),MIN(Assumptions!$D$49,J14*H14,IF(I14*L14&gt;0,INDEX(Funnel!$B$5:$B$8,MATCH(C14,Funnel!$A$5:$A$8,0))/SUMPRODUCT(($C$5:$C$34=C14)*($D$5:$D$34="Channel")*(($E$5:$E$34="CPC")+($E$5:$E$34="CPA")))/(I14*L14)*H14,0)),0)</f>
        <v>0</v>
      </c>
      <c r="AA14" s="41" t="n">
        <f aca="false">X14+Y14</f>
        <v>2898</v>
      </c>
      <c r="AB14" s="41" t="n">
        <f aca="false">IF(U14&gt;0,(X14+Y14)/U14,"–")</f>
        <v>1445.56677890011</v>
      </c>
      <c r="AC14" s="29" t="n">
        <f aca="false">SUMPRODUCT(--($Q$5:$Q$34&lt;Q14))+1</f>
        <v>15</v>
      </c>
      <c r="AD14" s="2" t="str">
        <f aca="false">IF(AND(AH14&gt;0,AI14&gt;=AH14*0.999),"Used to capacity",IF(AI14&gt;0,"Marginal (fills the gap)",IF(Z14&gt;0,"Test only (wk 1–2)","Not used")))</f>
        <v>Used to capacity</v>
      </c>
      <c r="AE14" s="32" t="n">
        <f aca="false">IF(H14&gt;0,Z14/H14,0)</f>
        <v>0</v>
      </c>
      <c r="AF14" s="32" t="n">
        <f aca="false">AE14*I14</f>
        <v>0</v>
      </c>
      <c r="AG14" s="32" t="n">
        <f aca="false">AF14*L14</f>
        <v>0</v>
      </c>
      <c r="AH14" s="32" t="n">
        <f aca="false">MAX(0,N14-AG14)</f>
        <v>2.00475</v>
      </c>
      <c r="AI14" s="32" t="n">
        <f aca="false">MIN(AH14,MAX(0,T14-S14))</f>
        <v>2.00475</v>
      </c>
    </row>
    <row r="15" customFormat="false" ht="15" hidden="false" customHeight="false" outlineLevel="0" collapsed="false">
      <c r="A15" s="2" t="str">
        <f aca="false">Assumptions!A140</f>
        <v>C11</v>
      </c>
      <c r="B15" s="2" t="str">
        <f aca="false">Assumptions!B140</f>
        <v>StepStone (30-day single ad)</v>
      </c>
      <c r="C15" s="2" t="str">
        <f aca="false">Assumptions!C140</f>
        <v>Automation</v>
      </c>
      <c r="D15" s="2" t="s">
        <v>321</v>
      </c>
      <c r="E15" s="2" t="str">
        <f aca="false">Assumptions!D140</f>
        <v>Slot</v>
      </c>
      <c r="F15" s="43" t="n">
        <f aca="false">Assumptions!E140</f>
        <v>1449</v>
      </c>
      <c r="G15" s="29" t="n">
        <f aca="false">IF(E15="Free","",Assumptions!F140)</f>
        <v>12</v>
      </c>
      <c r="H15" s="43" t="n">
        <f aca="false">MAX(0,IF(OR(E15="CPC",E15="Slot"),IF(N(G15)&gt;0,F15/G15,0),F15))</f>
        <v>120.75</v>
      </c>
      <c r="I15" s="30" t="n">
        <f aca="false">Assumptions!G140</f>
        <v>0.225</v>
      </c>
      <c r="J15" s="29" t="n">
        <f aca="false">IF(AND(OR(E15="CPC",E15="Slot"),NOT(N(G15)&gt;0)),0,IF(E15="Slot",Assumptions!H140*G15,Assumptions!H140))</f>
        <v>24</v>
      </c>
      <c r="K15" s="32" t="n">
        <f aca="false">J15*I15</f>
        <v>5.4</v>
      </c>
      <c r="L15" s="31" t="n">
        <f aca="false">INDEX(Funnel!$G$5:$G$8,MATCH(C15,Funnel!$A$5:$A$8,0))*M15</f>
        <v>0.2835</v>
      </c>
      <c r="M15" s="44" t="n">
        <f aca="false">Assumptions!I140</f>
        <v>1</v>
      </c>
      <c r="N15" s="32" t="n">
        <f aca="false">K15*L15</f>
        <v>1.5309</v>
      </c>
      <c r="O15" s="41" t="n">
        <f aca="false">IF(I15&gt;0,H15/I15,0)</f>
        <v>536.666666666667</v>
      </c>
      <c r="P15" s="41" t="n">
        <f aca="false">IF(N15&gt;0,(N15/L15/I15*H15+Assumptions!J140)/N15,0)</f>
        <v>1893.00411522634</v>
      </c>
      <c r="Q15" s="45" t="n">
        <f aca="false">P15+ROW()/1000000</f>
        <v>1893.00413022634</v>
      </c>
      <c r="R15" s="29" t="n">
        <f aca="false">SUMPRODUCT(($C$5:$C$34=C15)*($Q$5:$Q$34&lt;Q15))+1</f>
        <v>5</v>
      </c>
      <c r="S15" s="32" t="n">
        <f aca="false">SUMPRODUCT(($C$5:$C$34=C15)*($Q$5:$Q$34&lt;Q15)*$AH$5:$AH$34)</f>
        <v>14.69428340625</v>
      </c>
      <c r="T15" s="32" t="n">
        <f aca="false">INDEX(Funnel!$B$5:$B$8,MATCH(C15,Funnel!$A$5:$A$8,0))-SUMIFS($AG$5:$AG$34,$C$5:$C$34,C15)</f>
        <v>13.9966398137676</v>
      </c>
      <c r="U15" s="46" t="n">
        <f aca="false">AG15+AI15</f>
        <v>0</v>
      </c>
      <c r="V15" s="32" t="n">
        <f aca="false">IF(L15&gt;0,U15/L15,0)</f>
        <v>0</v>
      </c>
      <c r="W15" s="29" t="n">
        <f aca="false">IF(I15&gt;0,V15/I15,0)</f>
        <v>0</v>
      </c>
      <c r="X15" s="41" t="n">
        <f aca="false">IF(E15="Slot",IF(N(G15)&gt;0,ROUNDUP(W15/G15,0)*MAX(0,F15),0),W15*H15)</f>
        <v>0</v>
      </c>
      <c r="Y15" s="41" t="n">
        <f aca="false">IF(U15&gt;0,Assumptions!J140,0)</f>
        <v>0</v>
      </c>
      <c r="Z15" s="41" t="n">
        <f aca="false">IF(AND(D15="Channel",OR(E15="CPC",E15="CPA"),INDEX(Funnel!$B$5:$B$8,MATCH(C15,Funnel!$A$5:$A$8,0))&gt;0),MIN(Assumptions!$D$49,J15*H15,IF(I15*L15&gt;0,INDEX(Funnel!$B$5:$B$8,MATCH(C15,Funnel!$A$5:$A$8,0))/SUMPRODUCT(($C$5:$C$34=C15)*($D$5:$D$34="Channel")*(($E$5:$E$34="CPC")+($E$5:$E$34="CPA")))/(I15*L15)*H15,0)),0)</f>
        <v>0</v>
      </c>
      <c r="AA15" s="41" t="n">
        <f aca="false">X15+Y15</f>
        <v>0</v>
      </c>
      <c r="AB15" s="41" t="str">
        <f aca="false">IF(U15&gt;0,(X15+Y15)/U15,"–")</f>
        <v>–</v>
      </c>
      <c r="AC15" s="29" t="n">
        <f aca="false">SUMPRODUCT(--($Q$5:$Q$34&lt;Q15))+1</f>
        <v>18</v>
      </c>
      <c r="AD15" s="2" t="str">
        <f aca="false">IF(AND(AH15&gt;0,AI15&gt;=AH15*0.999),"Used to capacity",IF(AI15&gt;0,"Marginal (fills the gap)",IF(Z15&gt;0,"Test only (wk 1–2)","Not used")))</f>
        <v>Not used</v>
      </c>
      <c r="AE15" s="32" t="n">
        <f aca="false">IF(H15&gt;0,Z15/H15,0)</f>
        <v>0</v>
      </c>
      <c r="AF15" s="32" t="n">
        <f aca="false">AE15*I15</f>
        <v>0</v>
      </c>
      <c r="AG15" s="32" t="n">
        <f aca="false">AF15*L15</f>
        <v>0</v>
      </c>
      <c r="AH15" s="32" t="n">
        <f aca="false">MAX(0,N15-AG15)</f>
        <v>1.5309</v>
      </c>
      <c r="AI15" s="32" t="n">
        <f aca="false">MIN(AH15,MAX(0,T15-S15))</f>
        <v>0</v>
      </c>
    </row>
    <row r="16" customFormat="false" ht="15" hidden="false" customHeight="false" outlineLevel="0" collapsed="false">
      <c r="A16" s="2" t="str">
        <f aca="false">Assumptions!A141</f>
        <v>C12</v>
      </c>
      <c r="B16" s="2" t="str">
        <f aca="false">Assumptions!B141</f>
        <v>StepStone (30-day single ad)</v>
      </c>
      <c r="C16" s="2" t="str">
        <f aca="false">Assumptions!C141</f>
        <v>Supervisors</v>
      </c>
      <c r="D16" s="2" t="s">
        <v>321</v>
      </c>
      <c r="E16" s="2" t="str">
        <f aca="false">Assumptions!D141</f>
        <v>Slot</v>
      </c>
      <c r="F16" s="43" t="n">
        <f aca="false">Assumptions!E141</f>
        <v>1449</v>
      </c>
      <c r="G16" s="29" t="n">
        <f aca="false">IF(E16="Free","",Assumptions!F141)</f>
        <v>12</v>
      </c>
      <c r="H16" s="43" t="n">
        <f aca="false">MAX(0,IF(OR(E16="CPC",E16="Slot"),IF(N(G16)&gt;0,F16/G16,0),F16))</f>
        <v>120.75</v>
      </c>
      <c r="I16" s="30" t="n">
        <f aca="false">Assumptions!G141</f>
        <v>0.207</v>
      </c>
      <c r="J16" s="29" t="n">
        <f aca="false">IF(AND(OR(E16="CPC",E16="Slot"),NOT(N(G16)&gt;0)),0,IF(E16="Slot",Assumptions!H141*G16,Assumptions!H141))</f>
        <v>12</v>
      </c>
      <c r="K16" s="32" t="n">
        <f aca="false">J16*I16</f>
        <v>2.484</v>
      </c>
      <c r="L16" s="31" t="n">
        <f aca="false">INDEX(Funnel!$G$5:$G$8,MATCH(C16,Funnel!$A$5:$A$8,0))*M16</f>
        <v>0.238</v>
      </c>
      <c r="M16" s="44" t="n">
        <f aca="false">Assumptions!I141</f>
        <v>1</v>
      </c>
      <c r="N16" s="32" t="n">
        <f aca="false">K16*L16</f>
        <v>0.591192</v>
      </c>
      <c r="O16" s="41" t="n">
        <f aca="false">IF(I16&gt;0,H16/I16,0)</f>
        <v>583.333333333333</v>
      </c>
      <c r="P16" s="41" t="n">
        <f aca="false">IF(N16&gt;0,(N16/L16/I16*H16+Assumptions!J141)/N16,0)</f>
        <v>2450.98039215686</v>
      </c>
      <c r="Q16" s="45" t="n">
        <f aca="false">P16+ROW()/1000000</f>
        <v>2450.98040815686</v>
      </c>
      <c r="R16" s="29" t="n">
        <f aca="false">SUMPRODUCT(($C$5:$C$34=C16)*($Q$5:$Q$34&lt;Q16))+1</f>
        <v>5</v>
      </c>
      <c r="S16" s="32" t="n">
        <f aca="false">SUMPRODUCT(($C$5:$C$34=C16)*($Q$5:$Q$34&lt;Q16)*$AH$5:$AH$34)</f>
        <v>11.458108375</v>
      </c>
      <c r="T16" s="32" t="n">
        <f aca="false">INDEX(Funnel!$B$5:$B$8,MATCH(C16,Funnel!$A$5:$A$8,0))-SUMIFS($AG$5:$AG$34,$C$5:$C$34,C16)</f>
        <v>9.22505909567039</v>
      </c>
      <c r="U16" s="46" t="n">
        <f aca="false">AG16+AI16</f>
        <v>0</v>
      </c>
      <c r="V16" s="32" t="n">
        <f aca="false">IF(L16&gt;0,U16/L16,0)</f>
        <v>0</v>
      </c>
      <c r="W16" s="29" t="n">
        <f aca="false">IF(I16&gt;0,V16/I16,0)</f>
        <v>0</v>
      </c>
      <c r="X16" s="41" t="n">
        <f aca="false">IF(E16="Slot",IF(N(G16)&gt;0,ROUNDUP(W16/G16,0)*MAX(0,F16),0),W16*H16)</f>
        <v>0</v>
      </c>
      <c r="Y16" s="41" t="n">
        <f aca="false">IF(U16&gt;0,Assumptions!J141,0)</f>
        <v>0</v>
      </c>
      <c r="Z16" s="41" t="n">
        <f aca="false">IF(AND(D16="Channel",OR(E16="CPC",E16="CPA"),INDEX(Funnel!$B$5:$B$8,MATCH(C16,Funnel!$A$5:$A$8,0))&gt;0),MIN(Assumptions!$D$49,J16*H16,IF(I16*L16&gt;0,INDEX(Funnel!$B$5:$B$8,MATCH(C16,Funnel!$A$5:$A$8,0))/SUMPRODUCT(($C$5:$C$34=C16)*($D$5:$D$34="Channel")*(($E$5:$E$34="CPC")+($E$5:$E$34="CPA")))/(I16*L16)*H16,0)),0)</f>
        <v>0</v>
      </c>
      <c r="AA16" s="41" t="n">
        <f aca="false">X16+Y16</f>
        <v>0</v>
      </c>
      <c r="AB16" s="41" t="str">
        <f aca="false">IF(U16&gt;0,(X16+Y16)/U16,"–")</f>
        <v>–</v>
      </c>
      <c r="AC16" s="29" t="n">
        <f aca="false">SUMPRODUCT(--($Q$5:$Q$34&lt;Q16))+1</f>
        <v>23</v>
      </c>
      <c r="AD16" s="2" t="str">
        <f aca="false">IF(AND(AH16&gt;0,AI16&gt;=AH16*0.999),"Used to capacity",IF(AI16&gt;0,"Marginal (fills the gap)",IF(Z16&gt;0,"Test only (wk 1–2)","Not used")))</f>
        <v>Not used</v>
      </c>
      <c r="AE16" s="32" t="n">
        <f aca="false">IF(H16&gt;0,Z16/H16,0)</f>
        <v>0</v>
      </c>
      <c r="AF16" s="32" t="n">
        <f aca="false">AE16*I16</f>
        <v>0</v>
      </c>
      <c r="AG16" s="32" t="n">
        <f aca="false">AF16*L16</f>
        <v>0</v>
      </c>
      <c r="AH16" s="32" t="n">
        <f aca="false">MAX(0,N16-AG16)</f>
        <v>0.591192</v>
      </c>
      <c r="AI16" s="32" t="n">
        <f aca="false">MIN(AH16,MAX(0,T16-S16))</f>
        <v>0</v>
      </c>
    </row>
    <row r="17" customFormat="false" ht="15" hidden="false" customHeight="false" outlineLevel="0" collapsed="false">
      <c r="A17" s="2" t="str">
        <f aca="false">Assumptions!A142</f>
        <v>C13</v>
      </c>
      <c r="B17" s="2" t="str">
        <f aca="false">Assumptions!B142</f>
        <v>LinkedIn (promoted jobs + InMail)</v>
      </c>
      <c r="C17" s="2" t="str">
        <f aca="false">Assumptions!C142</f>
        <v>Automation</v>
      </c>
      <c r="D17" s="2" t="s">
        <v>321</v>
      </c>
      <c r="E17" s="2" t="str">
        <f aca="false">Assumptions!D142</f>
        <v>CPA</v>
      </c>
      <c r="F17" s="43" t="n">
        <f aca="false">Assumptions!E142</f>
        <v>96</v>
      </c>
      <c r="G17" s="29" t="n">
        <f aca="false">IF(E17="Free","",Assumptions!F142)</f>
        <v>0</v>
      </c>
      <c r="H17" s="43" t="n">
        <f aca="false">MAX(0,IF(OR(E17="CPC",E17="Slot"),IF(N(G17)&gt;0,F17/G17,0),F17))</f>
        <v>96</v>
      </c>
      <c r="I17" s="30" t="n">
        <f aca="false">Assumptions!G142</f>
        <v>0.225</v>
      </c>
      <c r="J17" s="29" t="n">
        <f aca="false">IF(AND(OR(E17="CPC",E17="Slot"),NOT(N(G17)&gt;0)),0,IF(E17="Slot",Assumptions!H142*G17,Assumptions!H142))</f>
        <v>160</v>
      </c>
      <c r="K17" s="32" t="n">
        <f aca="false">J17*I17</f>
        <v>36</v>
      </c>
      <c r="L17" s="31" t="n">
        <f aca="false">INDEX(Funnel!$G$5:$G$8,MATCH(C17,Funnel!$A$5:$A$8,0))*M17</f>
        <v>0.2835</v>
      </c>
      <c r="M17" s="44" t="n">
        <f aca="false">Assumptions!I142</f>
        <v>1</v>
      </c>
      <c r="N17" s="32" t="n">
        <f aca="false">K17*L17</f>
        <v>10.206</v>
      </c>
      <c r="O17" s="41" t="n">
        <f aca="false">IF(I17&gt;0,H17/I17,0)</f>
        <v>426.666666666667</v>
      </c>
      <c r="P17" s="41" t="n">
        <f aca="false">IF(N17&gt;0,(N17/L17/I17*H17+Assumptions!J142)/N17,0)</f>
        <v>1504.99706055262</v>
      </c>
      <c r="Q17" s="45" t="n">
        <f aca="false">P17+ROW()/1000000</f>
        <v>1504.99707755262</v>
      </c>
      <c r="R17" s="29" t="n">
        <f aca="false">SUMPRODUCT(($C$5:$C$34=C17)*($Q$5:$Q$34&lt;Q17))+1</f>
        <v>4</v>
      </c>
      <c r="S17" s="32" t="n">
        <f aca="false">SUMPRODUCT(($C$5:$C$34=C17)*($Q$5:$Q$34&lt;Q17)*$AH$5:$AH$34)</f>
        <v>4.98662325</v>
      </c>
      <c r="T17" s="32" t="n">
        <f aca="false">INDEX(Funnel!$B$5:$B$8,MATCH(C17,Funnel!$A$5:$A$8,0))-SUMIFS($AG$5:$AG$34,$C$5:$C$34,C17)</f>
        <v>13.9966398137676</v>
      </c>
      <c r="U17" s="46" t="n">
        <f aca="false">AG17+AI17</f>
        <v>9.50835640751761</v>
      </c>
      <c r="V17" s="32" t="n">
        <f aca="false">IF(L17&gt;0,U17/L17,0)</f>
        <v>33.5391760406265</v>
      </c>
      <c r="W17" s="29" t="n">
        <f aca="false">IF(I17&gt;0,V17/I17,0)</f>
        <v>149.063004625007</v>
      </c>
      <c r="X17" s="41" t="n">
        <f aca="false">IF(E17="Slot",IF(N(G17)&gt;0,ROUNDUP(W17/G17,0)*MAX(0,F17),0),W17*H17)</f>
        <v>14310.0484440006</v>
      </c>
      <c r="Y17" s="41" t="n">
        <f aca="false">IF(U17&gt;0,Assumptions!J142,0)</f>
        <v>0</v>
      </c>
      <c r="Z17" s="41" t="n">
        <f aca="false">IF(AND(D17="Channel",OR(E17="CPC",E17="CPA"),INDEX(Funnel!$B$5:$B$8,MATCH(C17,Funnel!$A$5:$A$8,0))&gt;0),MIN(Assumptions!$D$49,J17*H17,IF(I17*L17&gt;0,INDEX(Funnel!$B$5:$B$8,MATCH(C17,Funnel!$A$5:$A$8,0))/SUMPRODUCT(($C$5:$C$34=C17)*($D$5:$D$34="Channel")*(($E$5:$E$34="CPC")+($E$5:$E$34="CPA")))/(I17*L17)*H17,0)),0)</f>
        <v>750</v>
      </c>
      <c r="AA17" s="41" t="n">
        <f aca="false">X17+Y17</f>
        <v>14310.0484440006</v>
      </c>
      <c r="AB17" s="41" t="n">
        <f aca="false">IF(U17&gt;0,(X17+Y17)/U17,"–")</f>
        <v>1504.99706055262</v>
      </c>
      <c r="AC17" s="29" t="n">
        <f aca="false">SUMPRODUCT(--($Q$5:$Q$34&lt;Q17))+1</f>
        <v>16</v>
      </c>
      <c r="AD17" s="2" t="str">
        <f aca="false">IF(AND(AH17&gt;0,AI17&gt;=AH17*0.999),"Used to capacity",IF(AI17&gt;0,"Marginal (fills the gap)",IF(Z17&gt;0,"Test only (wk 1–2)","Not used")))</f>
        <v>Marginal (fills the gap)</v>
      </c>
      <c r="AE17" s="32" t="n">
        <f aca="false">IF(H17&gt;0,Z17/H17,0)</f>
        <v>7.8125</v>
      </c>
      <c r="AF17" s="32" t="n">
        <f aca="false">AE17*I17</f>
        <v>1.7578125</v>
      </c>
      <c r="AG17" s="32" t="n">
        <f aca="false">AF17*L17</f>
        <v>0.49833984375</v>
      </c>
      <c r="AH17" s="32" t="n">
        <f aca="false">MAX(0,N17-AG17)</f>
        <v>9.70766015625</v>
      </c>
      <c r="AI17" s="32" t="n">
        <f aca="false">MIN(AH17,MAX(0,T17-S17))</f>
        <v>9.01001656376761</v>
      </c>
    </row>
    <row r="18" customFormat="false" ht="15" hidden="false" customHeight="false" outlineLevel="0" collapsed="false">
      <c r="A18" s="2" t="str">
        <f aca="false">Assumptions!A143</f>
        <v>C14</v>
      </c>
      <c r="B18" s="2" t="str">
        <f aca="false">Assumptions!B143</f>
        <v>LinkedIn (promoted jobs + InMail)</v>
      </c>
      <c r="C18" s="2" t="str">
        <f aca="false">Assumptions!C143</f>
        <v>Supervisors</v>
      </c>
      <c r="D18" s="2" t="s">
        <v>321</v>
      </c>
      <c r="E18" s="2" t="str">
        <f aca="false">Assumptions!D143</f>
        <v>CPA</v>
      </c>
      <c r="F18" s="43" t="n">
        <f aca="false">Assumptions!E143</f>
        <v>96</v>
      </c>
      <c r="G18" s="29" t="n">
        <f aca="false">IF(E18="Free","",Assumptions!F143)</f>
        <v>0</v>
      </c>
      <c r="H18" s="43" t="n">
        <f aca="false">MAX(0,IF(OR(E18="CPC",E18="Slot"),IF(N(G18)&gt;0,F18/G18,0),F18))</f>
        <v>96</v>
      </c>
      <c r="I18" s="30" t="n">
        <f aca="false">Assumptions!G143</f>
        <v>0.207</v>
      </c>
      <c r="J18" s="29" t="n">
        <f aca="false">IF(AND(OR(E18="CPC",E18="Slot"),NOT(N(G18)&gt;0)),0,IF(E18="Slot",Assumptions!H143*G18,Assumptions!H143))</f>
        <v>180</v>
      </c>
      <c r="K18" s="32" t="n">
        <f aca="false">J18*I18</f>
        <v>37.26</v>
      </c>
      <c r="L18" s="31" t="n">
        <f aca="false">INDEX(Funnel!$G$5:$G$8,MATCH(C18,Funnel!$A$5:$A$8,0))*M18</f>
        <v>0.238</v>
      </c>
      <c r="M18" s="44" t="n">
        <f aca="false">Assumptions!I143</f>
        <v>1</v>
      </c>
      <c r="N18" s="32" t="n">
        <f aca="false">K18*L18</f>
        <v>8.86788</v>
      </c>
      <c r="O18" s="41" t="n">
        <f aca="false">IF(I18&gt;0,H18/I18,0)</f>
        <v>463.768115942029</v>
      </c>
      <c r="P18" s="41" t="n">
        <f aca="false">IF(N18&gt;0,(N18/L18/I18*H18+Assumptions!J143)/N18,0)</f>
        <v>1948.60552916819</v>
      </c>
      <c r="Q18" s="45" t="n">
        <f aca="false">P18+ROW()/1000000</f>
        <v>1948.60554716819</v>
      </c>
      <c r="R18" s="29" t="n">
        <f aca="false">SUMPRODUCT(($C$5:$C$34=C18)*($Q$5:$Q$34&lt;Q18))+1</f>
        <v>4</v>
      </c>
      <c r="S18" s="32" t="n">
        <f aca="false">SUMPRODUCT(($C$5:$C$34=C18)*($Q$5:$Q$34&lt;Q18)*$AH$5:$AH$34)</f>
        <v>2.975119</v>
      </c>
      <c r="T18" s="32" t="n">
        <f aca="false">INDEX(Funnel!$B$5:$B$8,MATCH(C18,Funnel!$A$5:$A$8,0))-SUMIFS($AG$5:$AG$34,$C$5:$C$34,C18)</f>
        <v>9.22505909567039</v>
      </c>
      <c r="U18" s="46" t="n">
        <f aca="false">AG18+AI18</f>
        <v>6.63483072067039</v>
      </c>
      <c r="V18" s="32" t="n">
        <f aca="false">IF(L18&gt;0,U18/L18,0)</f>
        <v>27.8774400028168</v>
      </c>
      <c r="W18" s="29" t="n">
        <f aca="false">IF(I18&gt;0,V18/I18,0)</f>
        <v>134.673623202013</v>
      </c>
      <c r="X18" s="41" t="n">
        <f aca="false">IF(E18="Slot",IF(N(G18)&gt;0,ROUNDUP(W18/G18,0)*MAX(0,F18),0),W18*H18)</f>
        <v>12928.6678273933</v>
      </c>
      <c r="Y18" s="41" t="n">
        <f aca="false">IF(U18&gt;0,Assumptions!J143,0)</f>
        <v>0</v>
      </c>
      <c r="Z18" s="41" t="n">
        <f aca="false">IF(AND(D18="Channel",OR(E18="CPC",E18="CPA"),INDEX(Funnel!$B$5:$B$8,MATCH(C18,Funnel!$A$5:$A$8,0))&gt;0),MIN(Assumptions!$D$49,J18*H18,IF(I18*L18&gt;0,INDEX(Funnel!$B$5:$B$8,MATCH(C18,Funnel!$A$5:$A$8,0))/SUMPRODUCT(($C$5:$C$34=C18)*($D$5:$D$34="Channel")*(($E$5:$E$34="CPC")+($E$5:$E$34="CPA")))/(I18*L18)*H18,0)),0)</f>
        <v>750</v>
      </c>
      <c r="AA18" s="41" t="n">
        <f aca="false">X18+Y18</f>
        <v>12928.6678273933</v>
      </c>
      <c r="AB18" s="41" t="n">
        <f aca="false">IF(U18&gt;0,(X18+Y18)/U18,"–")</f>
        <v>1948.60552916819</v>
      </c>
      <c r="AC18" s="29" t="n">
        <f aca="false">SUMPRODUCT(--($Q$5:$Q$34&lt;Q18))+1</f>
        <v>20</v>
      </c>
      <c r="AD18" s="2" t="str">
        <f aca="false">IF(AND(AH18&gt;0,AI18&gt;=AH18*0.999),"Used to capacity",IF(AI18&gt;0,"Marginal (fills the gap)",IF(Z18&gt;0,"Test only (wk 1–2)","Not used")))</f>
        <v>Marginal (fills the gap)</v>
      </c>
      <c r="AE18" s="32" t="n">
        <f aca="false">IF(H18&gt;0,Z18/H18,0)</f>
        <v>7.8125</v>
      </c>
      <c r="AF18" s="32" t="n">
        <f aca="false">AE18*I18</f>
        <v>1.6171875</v>
      </c>
      <c r="AG18" s="32" t="n">
        <f aca="false">AF18*L18</f>
        <v>0.384890625</v>
      </c>
      <c r="AH18" s="32" t="n">
        <f aca="false">MAX(0,N18-AG18)</f>
        <v>8.482989375</v>
      </c>
      <c r="AI18" s="32" t="n">
        <f aca="false">MIN(AH18,MAX(0,T18-S18))</f>
        <v>6.24994009567039</v>
      </c>
    </row>
    <row r="19" customFormat="false" ht="15" hidden="false" customHeight="false" outlineLevel="0" collapsed="false">
      <c r="A19" s="2" t="str">
        <f aca="false">Assumptions!A144</f>
        <v>C15</v>
      </c>
      <c r="B19" s="2" t="str">
        <f aca="false">Assumptions!B144</f>
        <v>Meta social (FB/IG lead ads, 75 km geo)</v>
      </c>
      <c r="C19" s="2" t="str">
        <f aca="false">Assumptions!C144</f>
        <v>Electricians</v>
      </c>
      <c r="D19" s="2" t="s">
        <v>321</v>
      </c>
      <c r="E19" s="2" t="str">
        <f aca="false">Assumptions!D144</f>
        <v>CPA</v>
      </c>
      <c r="F19" s="43" t="n">
        <f aca="false">Assumptions!E144</f>
        <v>84</v>
      </c>
      <c r="G19" s="29" t="n">
        <f aca="false">IF(E19="Free","",Assumptions!F144)</f>
        <v>0</v>
      </c>
      <c r="H19" s="43" t="n">
        <f aca="false">MAX(0,IF(OR(E19="CPC",E19="Slot"),IF(N(G19)&gt;0,F19/G19,0),F19))</f>
        <v>84</v>
      </c>
      <c r="I19" s="30" t="n">
        <f aca="false">Assumptions!G144</f>
        <v>0.1025</v>
      </c>
      <c r="J19" s="29" t="n">
        <f aca="false">IF(AND(OR(E19="CPC",E19="Slot"),NOT(N(G19)&gt;0)),0,IF(E19="Slot",Assumptions!H144*G19,Assumptions!H144))</f>
        <v>200</v>
      </c>
      <c r="K19" s="32" t="n">
        <f aca="false">J19*I19</f>
        <v>20.5</v>
      </c>
      <c r="L19" s="31" t="n">
        <f aca="false">INDEX(Funnel!$G$5:$G$8,MATCH(C19,Funnel!$A$5:$A$8,0))*M19</f>
        <v>0.315</v>
      </c>
      <c r="M19" s="44" t="n">
        <f aca="false">Assumptions!I144</f>
        <v>1</v>
      </c>
      <c r="N19" s="32" t="n">
        <f aca="false">K19*L19</f>
        <v>6.4575</v>
      </c>
      <c r="O19" s="41" t="n">
        <f aca="false">IF(I19&gt;0,H19/I19,0)</f>
        <v>819.512195121951</v>
      </c>
      <c r="P19" s="41" t="n">
        <f aca="false">IF(N19&gt;0,(N19/L19/I19*H19+Assumptions!J144)/N19,0)</f>
        <v>2601.62601626016</v>
      </c>
      <c r="Q19" s="45" t="n">
        <f aca="false">P19+ROW()/1000000</f>
        <v>2601.62603526016</v>
      </c>
      <c r="R19" s="29" t="n">
        <f aca="false">SUMPRODUCT(($C$5:$C$34=C19)*($Q$5:$Q$34&lt;Q19))+1</f>
        <v>7</v>
      </c>
      <c r="S19" s="32" t="n">
        <f aca="false">SUMPRODUCT(($C$5:$C$34=C19)*($Q$5:$Q$34&lt;Q19)*$AH$5:$AH$34)</f>
        <v>84.6914869565217</v>
      </c>
      <c r="T19" s="32" t="n">
        <f aca="false">INDEX(Funnel!$B$5:$B$8,MATCH(C19,Funnel!$A$5:$A$8,0))-SUMIFS($AG$5:$AG$34,$C$5:$C$34,C19)</f>
        <v>29.1505850361307</v>
      </c>
      <c r="U19" s="46" t="n">
        <f aca="false">AG19+AI19</f>
        <v>0.28828125</v>
      </c>
      <c r="V19" s="32" t="n">
        <f aca="false">IF(L19&gt;0,U19/L19,0)</f>
        <v>0.915178571428571</v>
      </c>
      <c r="W19" s="29" t="n">
        <f aca="false">IF(I19&gt;0,V19/I19,0)</f>
        <v>8.92857142857143</v>
      </c>
      <c r="X19" s="41" t="n">
        <f aca="false">IF(E19="Slot",IF(N(G19)&gt;0,ROUNDUP(W19/G19,0)*MAX(0,F19),0),W19*H19)</f>
        <v>750</v>
      </c>
      <c r="Y19" s="41" t="n">
        <f aca="false">IF(U19&gt;0,Assumptions!J144,0)</f>
        <v>0</v>
      </c>
      <c r="Z19" s="41" t="n">
        <f aca="false">IF(AND(D19="Channel",OR(E19="CPC",E19="CPA"),INDEX(Funnel!$B$5:$B$8,MATCH(C19,Funnel!$A$5:$A$8,0))&gt;0),MIN(Assumptions!$D$49,J19*H19,IF(I19*L19&gt;0,INDEX(Funnel!$B$5:$B$8,MATCH(C19,Funnel!$A$5:$A$8,0))/SUMPRODUCT(($C$5:$C$34=C19)*($D$5:$D$34="Channel")*(($E$5:$E$34="CPC")+($E$5:$E$34="CPA")))/(I19*L19)*H19,0)),0)</f>
        <v>750</v>
      </c>
      <c r="AA19" s="41" t="n">
        <f aca="false">X19+Y19</f>
        <v>750</v>
      </c>
      <c r="AB19" s="41" t="n">
        <f aca="false">IF(U19&gt;0,(X19+Y19)/U19,"–")</f>
        <v>2601.62601626016</v>
      </c>
      <c r="AC19" s="29" t="n">
        <f aca="false">SUMPRODUCT(--($Q$5:$Q$34&lt;Q19))+1</f>
        <v>25</v>
      </c>
      <c r="AD19" s="2" t="str">
        <f aca="false">IF(AND(AH19&gt;0,AI19&gt;=AH19*0.999),"Used to capacity",IF(AI19&gt;0,"Marginal (fills the gap)",IF(Z19&gt;0,"Test only (wk 1–2)","Not used")))</f>
        <v>Test only (wk 1–2)</v>
      </c>
      <c r="AE19" s="32" t="n">
        <f aca="false">IF(H19&gt;0,Z19/H19,0)</f>
        <v>8.92857142857143</v>
      </c>
      <c r="AF19" s="32" t="n">
        <f aca="false">AE19*I19</f>
        <v>0.915178571428571</v>
      </c>
      <c r="AG19" s="32" t="n">
        <f aca="false">AF19*L19</f>
        <v>0.28828125</v>
      </c>
      <c r="AH19" s="32" t="n">
        <f aca="false">MAX(0,N19-AG19)</f>
        <v>6.16921875</v>
      </c>
      <c r="AI19" s="32" t="n">
        <f aca="false">MIN(AH19,MAX(0,T19-S19))</f>
        <v>0</v>
      </c>
    </row>
    <row r="20" customFormat="false" ht="15" hidden="false" customHeight="false" outlineLevel="0" collapsed="false">
      <c r="A20" s="2" t="str">
        <f aca="false">Assumptions!A145</f>
        <v>C16</v>
      </c>
      <c r="B20" s="2" t="str">
        <f aca="false">Assumptions!B145</f>
        <v>Meta social (FB/IG lead ads, 75 km geo)</v>
      </c>
      <c r="C20" s="2" t="str">
        <f aca="false">Assumptions!C145</f>
        <v>Mechatronics</v>
      </c>
      <c r="D20" s="2" t="s">
        <v>321</v>
      </c>
      <c r="E20" s="2" t="str">
        <f aca="false">Assumptions!D145</f>
        <v>CPA</v>
      </c>
      <c r="F20" s="43" t="n">
        <f aca="false">Assumptions!E145</f>
        <v>84</v>
      </c>
      <c r="G20" s="29" t="n">
        <f aca="false">IF(E20="Free","",Assumptions!F145)</f>
        <v>0</v>
      </c>
      <c r="H20" s="43" t="n">
        <f aca="false">MAX(0,IF(OR(E20="CPC",E20="Slot"),IF(N(G20)&gt;0,F20/G20,0),F20))</f>
        <v>84</v>
      </c>
      <c r="I20" s="30" t="n">
        <f aca="false">Assumptions!G145</f>
        <v>0.1025</v>
      </c>
      <c r="J20" s="29" t="n">
        <f aca="false">IF(AND(OR(E20="CPC",E20="Slot"),NOT(N(G20)&gt;0)),0,IF(E20="Slot",Assumptions!H145*G20,Assumptions!H145))</f>
        <v>220</v>
      </c>
      <c r="K20" s="32" t="n">
        <f aca="false">J20*I20</f>
        <v>22.55</v>
      </c>
      <c r="L20" s="31" t="n">
        <f aca="false">INDEX(Funnel!$G$5:$G$8,MATCH(C20,Funnel!$A$5:$A$8,0))*M20</f>
        <v>0.37125</v>
      </c>
      <c r="M20" s="44" t="n">
        <f aca="false">Assumptions!I145</f>
        <v>1</v>
      </c>
      <c r="N20" s="32" t="n">
        <f aca="false">K20*L20</f>
        <v>8.3716875</v>
      </c>
      <c r="O20" s="41" t="n">
        <f aca="false">IF(I20&gt;0,H20/I20,0)</f>
        <v>819.512195121951</v>
      </c>
      <c r="P20" s="41" t="n">
        <f aca="false">IF(N20&gt;0,(N20/L20/I20*H20+Assumptions!J145)/N20,0)</f>
        <v>2207.44025622074</v>
      </c>
      <c r="Q20" s="45" t="n">
        <f aca="false">P20+ROW()/1000000</f>
        <v>2207.44027622074</v>
      </c>
      <c r="R20" s="29" t="n">
        <f aca="false">SUMPRODUCT(($C$5:$C$34=C20)*($Q$5:$Q$34&lt;Q20))+1</f>
        <v>7</v>
      </c>
      <c r="S20" s="32" t="n">
        <f aca="false">SUMPRODUCT(($C$5:$C$34=C20)*($Q$5:$Q$34&lt;Q20)*$AH$5:$AH$34)</f>
        <v>428.584258020186</v>
      </c>
      <c r="T20" s="32" t="n">
        <f aca="false">INDEX(Funnel!$B$5:$B$8,MATCH(C20,Funnel!$A$5:$A$8,0))-SUMIFS($AG$5:$AG$34,$C$5:$C$34,C20)</f>
        <v>43.9989037925826</v>
      </c>
      <c r="U20" s="46" t="n">
        <f aca="false">AG20+AI20</f>
        <v>0.339760044642857</v>
      </c>
      <c r="V20" s="32" t="n">
        <f aca="false">IF(L20&gt;0,U20/L20,0)</f>
        <v>0.915178571428571</v>
      </c>
      <c r="W20" s="29" t="n">
        <f aca="false">IF(I20&gt;0,V20/I20,0)</f>
        <v>8.92857142857143</v>
      </c>
      <c r="X20" s="41" t="n">
        <f aca="false">IF(E20="Slot",IF(N(G20)&gt;0,ROUNDUP(W20/G20,0)*MAX(0,F20),0),W20*H20)</f>
        <v>750</v>
      </c>
      <c r="Y20" s="41" t="n">
        <f aca="false">IF(U20&gt;0,Assumptions!J145,0)</f>
        <v>0</v>
      </c>
      <c r="Z20" s="41" t="n">
        <f aca="false">IF(AND(D20="Channel",OR(E20="CPC",E20="CPA"),INDEX(Funnel!$B$5:$B$8,MATCH(C20,Funnel!$A$5:$A$8,0))&gt;0),MIN(Assumptions!$D$49,J20*H20,IF(I20*L20&gt;0,INDEX(Funnel!$B$5:$B$8,MATCH(C20,Funnel!$A$5:$A$8,0))/SUMPRODUCT(($C$5:$C$34=C20)*($D$5:$D$34="Channel")*(($E$5:$E$34="CPC")+($E$5:$E$34="CPA")))/(I20*L20)*H20,0)),0)</f>
        <v>750</v>
      </c>
      <c r="AA20" s="41" t="n">
        <f aca="false">X20+Y20</f>
        <v>750</v>
      </c>
      <c r="AB20" s="41" t="n">
        <f aca="false">IF(U20&gt;0,(X20+Y20)/U20,"–")</f>
        <v>2207.44025622074</v>
      </c>
      <c r="AC20" s="29" t="n">
        <f aca="false">SUMPRODUCT(--($Q$5:$Q$34&lt;Q20))+1</f>
        <v>21</v>
      </c>
      <c r="AD20" s="2" t="str">
        <f aca="false">IF(AND(AH20&gt;0,AI20&gt;=AH20*0.999),"Used to capacity",IF(AI20&gt;0,"Marginal (fills the gap)",IF(Z20&gt;0,"Test only (wk 1–2)","Not used")))</f>
        <v>Test only (wk 1–2)</v>
      </c>
      <c r="AE20" s="32" t="n">
        <f aca="false">IF(H20&gt;0,Z20/H20,0)</f>
        <v>8.92857142857143</v>
      </c>
      <c r="AF20" s="32" t="n">
        <f aca="false">AE20*I20</f>
        <v>0.915178571428571</v>
      </c>
      <c r="AG20" s="32" t="n">
        <f aca="false">AF20*L20</f>
        <v>0.339760044642857</v>
      </c>
      <c r="AH20" s="32" t="n">
        <f aca="false">MAX(0,N20-AG20)</f>
        <v>8.03192745535714</v>
      </c>
      <c r="AI20" s="32" t="n">
        <f aca="false">MIN(AH20,MAX(0,T20-S20))</f>
        <v>0</v>
      </c>
    </row>
    <row r="21" customFormat="false" ht="15" hidden="false" customHeight="false" outlineLevel="0" collapsed="false">
      <c r="A21" s="2" t="str">
        <f aca="false">Assumptions!A146</f>
        <v>C17</v>
      </c>
      <c r="B21" s="2" t="str">
        <f aca="false">Assumptions!B146</f>
        <v>Google Search ads (job-intent keywords)</v>
      </c>
      <c r="C21" s="2" t="str">
        <f aca="false">Assumptions!C146</f>
        <v>Electricians</v>
      </c>
      <c r="D21" s="2" t="s">
        <v>321</v>
      </c>
      <c r="E21" s="2" t="str">
        <f aca="false">Assumptions!D146</f>
        <v>CPA</v>
      </c>
      <c r="F21" s="43" t="n">
        <f aca="false">Assumptions!E146</f>
        <v>179</v>
      </c>
      <c r="G21" s="29" t="n">
        <f aca="false">IF(E21="Free","",Assumptions!F146)</f>
        <v>0</v>
      </c>
      <c r="H21" s="43" t="n">
        <f aca="false">MAX(0,IF(OR(E21="CPC",E21="Slot"),IF(N(G21)&gt;0,F21/G21,0),F21))</f>
        <v>179</v>
      </c>
      <c r="I21" s="30" t="n">
        <f aca="false">Assumptions!G146</f>
        <v>0.175</v>
      </c>
      <c r="J21" s="29" t="n">
        <f aca="false">IF(AND(OR(E21="CPC",E21="Slot"),NOT(N(G21)&gt;0)),0,IF(E21="Slot",Assumptions!H146*G21,Assumptions!H146))</f>
        <v>340</v>
      </c>
      <c r="K21" s="32" t="n">
        <f aca="false">J21*I21</f>
        <v>59.5</v>
      </c>
      <c r="L21" s="31" t="n">
        <f aca="false">INDEX(Funnel!$G$5:$G$8,MATCH(C21,Funnel!$A$5:$A$8,0))*M21</f>
        <v>0.315</v>
      </c>
      <c r="M21" s="44" t="n">
        <f aca="false">Assumptions!I146</f>
        <v>1</v>
      </c>
      <c r="N21" s="32" t="n">
        <f aca="false">K21*L21</f>
        <v>18.7425</v>
      </c>
      <c r="O21" s="41" t="n">
        <f aca="false">IF(I21&gt;0,H21/I21,0)</f>
        <v>1022.85714285714</v>
      </c>
      <c r="P21" s="41" t="n">
        <f aca="false">IF(N21&gt;0,(N21/L21/I21*H21+Assumptions!J146)/N21,0)</f>
        <v>3247.16553287982</v>
      </c>
      <c r="Q21" s="45" t="n">
        <f aca="false">P21+ROW()/1000000</f>
        <v>3247.16555387982</v>
      </c>
      <c r="R21" s="29" t="n">
        <f aca="false">SUMPRODUCT(($C$5:$C$34=C21)*($Q$5:$Q$34&lt;Q21))+1</f>
        <v>8</v>
      </c>
      <c r="S21" s="32" t="n">
        <f aca="false">SUMPRODUCT(($C$5:$C$34=C21)*($Q$5:$Q$34&lt;Q21)*$AH$5:$AH$34)</f>
        <v>90.8607057065217</v>
      </c>
      <c r="T21" s="32" t="n">
        <f aca="false">INDEX(Funnel!$B$5:$B$8,MATCH(C21,Funnel!$A$5:$A$8,0))-SUMIFS($AG$5:$AG$34,$C$5:$C$34,C21)</f>
        <v>29.1505850361307</v>
      </c>
      <c r="U21" s="46" t="n">
        <f aca="false">AG21+AI21</f>
        <v>0.230970670391061</v>
      </c>
      <c r="V21" s="32" t="n">
        <f aca="false">IF(L21&gt;0,U21/L21,0)</f>
        <v>0.733240223463687</v>
      </c>
      <c r="W21" s="29" t="n">
        <f aca="false">IF(I21&gt;0,V21/I21,0)</f>
        <v>4.18994413407821</v>
      </c>
      <c r="X21" s="41" t="n">
        <f aca="false">IF(E21="Slot",IF(N(G21)&gt;0,ROUNDUP(W21/G21,0)*MAX(0,F21),0),W21*H21)</f>
        <v>750</v>
      </c>
      <c r="Y21" s="41" t="n">
        <f aca="false">IF(U21&gt;0,Assumptions!J146,0)</f>
        <v>0</v>
      </c>
      <c r="Z21" s="41" t="n">
        <f aca="false">IF(AND(D21="Channel",OR(E21="CPC",E21="CPA"),INDEX(Funnel!$B$5:$B$8,MATCH(C21,Funnel!$A$5:$A$8,0))&gt;0),MIN(Assumptions!$D$49,J21*H21,IF(I21*L21&gt;0,INDEX(Funnel!$B$5:$B$8,MATCH(C21,Funnel!$A$5:$A$8,0))/SUMPRODUCT(($C$5:$C$34=C21)*($D$5:$D$34="Channel")*(($E$5:$E$34="CPC")+($E$5:$E$34="CPA")))/(I21*L21)*H21,0)),0)</f>
        <v>750</v>
      </c>
      <c r="AA21" s="41" t="n">
        <f aca="false">X21+Y21</f>
        <v>750</v>
      </c>
      <c r="AB21" s="41" t="n">
        <f aca="false">IF(U21&gt;0,(X21+Y21)/U21,"–")</f>
        <v>3247.16553287982</v>
      </c>
      <c r="AC21" s="29" t="n">
        <f aca="false">SUMPRODUCT(--($Q$5:$Q$34&lt;Q21))+1</f>
        <v>27</v>
      </c>
      <c r="AD21" s="2" t="str">
        <f aca="false">IF(AND(AH21&gt;0,AI21&gt;=AH21*0.999),"Used to capacity",IF(AI21&gt;0,"Marginal (fills the gap)",IF(Z21&gt;0,"Test only (wk 1–2)","Not used")))</f>
        <v>Test only (wk 1–2)</v>
      </c>
      <c r="AE21" s="32" t="n">
        <f aca="false">IF(H21&gt;0,Z21/H21,0)</f>
        <v>4.18994413407821</v>
      </c>
      <c r="AF21" s="32" t="n">
        <f aca="false">AE21*I21</f>
        <v>0.733240223463687</v>
      </c>
      <c r="AG21" s="32" t="n">
        <f aca="false">AF21*L21</f>
        <v>0.230970670391061</v>
      </c>
      <c r="AH21" s="32" t="n">
        <f aca="false">MAX(0,N21-AG21)</f>
        <v>18.5115293296089</v>
      </c>
      <c r="AI21" s="32" t="n">
        <f aca="false">MIN(AH21,MAX(0,T21-S21))</f>
        <v>0</v>
      </c>
    </row>
    <row r="22" customFormat="false" ht="15" hidden="false" customHeight="false" outlineLevel="0" collapsed="false">
      <c r="A22" s="2" t="str">
        <f aca="false">Assumptions!A147</f>
        <v>C18</v>
      </c>
      <c r="B22" s="2" t="str">
        <f aca="false">Assumptions!B147</f>
        <v>Google Search ads (job-intent keywords)</v>
      </c>
      <c r="C22" s="2" t="str">
        <f aca="false">Assumptions!C147</f>
        <v>Mechatronics</v>
      </c>
      <c r="D22" s="2" t="s">
        <v>321</v>
      </c>
      <c r="E22" s="2" t="str">
        <f aca="false">Assumptions!D147</f>
        <v>CPA</v>
      </c>
      <c r="F22" s="43" t="n">
        <f aca="false">Assumptions!E147</f>
        <v>179</v>
      </c>
      <c r="G22" s="29" t="n">
        <f aca="false">IF(E22="Free","",Assumptions!F147)</f>
        <v>0</v>
      </c>
      <c r="H22" s="43" t="n">
        <f aca="false">MAX(0,IF(OR(E22="CPC",E22="Slot"),IF(N(G22)&gt;0,F22/G22,0),F22))</f>
        <v>179</v>
      </c>
      <c r="I22" s="30" t="n">
        <f aca="false">Assumptions!G147</f>
        <v>0.175</v>
      </c>
      <c r="J22" s="29" t="n">
        <f aca="false">IF(AND(OR(E22="CPC",E22="Slot"),NOT(N(G22)&gt;0)),0,IF(E22="Slot",Assumptions!H147*G22,Assumptions!H147))</f>
        <v>1760</v>
      </c>
      <c r="K22" s="32" t="n">
        <f aca="false">J22*I22</f>
        <v>308</v>
      </c>
      <c r="L22" s="31" t="n">
        <f aca="false">INDEX(Funnel!$G$5:$G$8,MATCH(C22,Funnel!$A$5:$A$8,0))*M22</f>
        <v>0.37125</v>
      </c>
      <c r="M22" s="44" t="n">
        <f aca="false">Assumptions!I147</f>
        <v>1</v>
      </c>
      <c r="N22" s="32" t="n">
        <f aca="false">K22*L22</f>
        <v>114.345</v>
      </c>
      <c r="O22" s="41" t="n">
        <f aca="false">IF(I22&gt;0,H22/I22,0)</f>
        <v>1022.85714285714</v>
      </c>
      <c r="P22" s="41" t="n">
        <f aca="false">IF(N22&gt;0,(N22/L22/I22*H22+Assumptions!J147)/N22,0)</f>
        <v>2755.17075517076</v>
      </c>
      <c r="Q22" s="45" t="n">
        <f aca="false">P22+ROW()/1000000</f>
        <v>2755.17077717076</v>
      </c>
      <c r="R22" s="29" t="n">
        <f aca="false">SUMPRODUCT(($C$5:$C$34=C22)*($Q$5:$Q$34&lt;Q22))+1</f>
        <v>8</v>
      </c>
      <c r="S22" s="32" t="n">
        <f aca="false">SUMPRODUCT(($C$5:$C$34=C22)*($Q$5:$Q$34&lt;Q22)*$AH$5:$AH$34)</f>
        <v>436.616185475544</v>
      </c>
      <c r="T22" s="32" t="n">
        <f aca="false">INDEX(Funnel!$B$5:$B$8,MATCH(C22,Funnel!$A$5:$A$8,0))-SUMIFS($AG$5:$AG$34,$C$5:$C$34,C22)</f>
        <v>43.9989037925826</v>
      </c>
      <c r="U22" s="46" t="n">
        <f aca="false">AG22+AI22</f>
        <v>0.272215432960894</v>
      </c>
      <c r="V22" s="32" t="n">
        <f aca="false">IF(L22&gt;0,U22/L22,0)</f>
        <v>0.733240223463687</v>
      </c>
      <c r="W22" s="29" t="n">
        <f aca="false">IF(I22&gt;0,V22/I22,0)</f>
        <v>4.18994413407821</v>
      </c>
      <c r="X22" s="41" t="n">
        <f aca="false">IF(E22="Slot",IF(N(G22)&gt;0,ROUNDUP(W22/G22,0)*MAX(0,F22),0),W22*H22)</f>
        <v>750</v>
      </c>
      <c r="Y22" s="41" t="n">
        <f aca="false">IF(U22&gt;0,Assumptions!J147,0)</f>
        <v>0</v>
      </c>
      <c r="Z22" s="41" t="n">
        <f aca="false">IF(AND(D22="Channel",OR(E22="CPC",E22="CPA"),INDEX(Funnel!$B$5:$B$8,MATCH(C22,Funnel!$A$5:$A$8,0))&gt;0),MIN(Assumptions!$D$49,J22*H22,IF(I22*L22&gt;0,INDEX(Funnel!$B$5:$B$8,MATCH(C22,Funnel!$A$5:$A$8,0))/SUMPRODUCT(($C$5:$C$34=C22)*($D$5:$D$34="Channel")*(($E$5:$E$34="CPC")+($E$5:$E$34="CPA")))/(I22*L22)*H22,0)),0)</f>
        <v>750</v>
      </c>
      <c r="AA22" s="41" t="n">
        <f aca="false">X22+Y22</f>
        <v>750</v>
      </c>
      <c r="AB22" s="41" t="n">
        <f aca="false">IF(U22&gt;0,(X22+Y22)/U22,"–")</f>
        <v>2755.17075517076</v>
      </c>
      <c r="AC22" s="29" t="n">
        <f aca="false">SUMPRODUCT(--($Q$5:$Q$34&lt;Q22))+1</f>
        <v>26</v>
      </c>
      <c r="AD22" s="2" t="str">
        <f aca="false">IF(AND(AH22&gt;0,AI22&gt;=AH22*0.999),"Used to capacity",IF(AI22&gt;0,"Marginal (fills the gap)",IF(Z22&gt;0,"Test only (wk 1–2)","Not used")))</f>
        <v>Test only (wk 1–2)</v>
      </c>
      <c r="AE22" s="32" t="n">
        <f aca="false">IF(H22&gt;0,Z22/H22,0)</f>
        <v>4.18994413407821</v>
      </c>
      <c r="AF22" s="32" t="n">
        <f aca="false">AE22*I22</f>
        <v>0.733240223463687</v>
      </c>
      <c r="AG22" s="32" t="n">
        <f aca="false">AF22*L22</f>
        <v>0.272215432960894</v>
      </c>
      <c r="AH22" s="32" t="n">
        <f aca="false">MAX(0,N22-AG22)</f>
        <v>114.072784567039</v>
      </c>
      <c r="AI22" s="32" t="n">
        <f aca="false">MIN(AH22,MAX(0,T22-S22))</f>
        <v>0</v>
      </c>
    </row>
    <row r="23" customFormat="false" ht="15" hidden="false" customHeight="false" outlineLevel="0" collapsed="false">
      <c r="A23" s="2" t="str">
        <f aca="false">Assumptions!A148</f>
        <v>C19</v>
      </c>
      <c r="B23" s="2" t="str">
        <f aca="false">Assumptions!B148</f>
        <v>Google Search ads (job-intent keywords)</v>
      </c>
      <c r="C23" s="2" t="str">
        <f aca="false">Assumptions!C148</f>
        <v>Automation</v>
      </c>
      <c r="D23" s="2" t="s">
        <v>321</v>
      </c>
      <c r="E23" s="2" t="str">
        <f aca="false">Assumptions!D148</f>
        <v>CPA</v>
      </c>
      <c r="F23" s="43" t="n">
        <f aca="false">Assumptions!E148</f>
        <v>179</v>
      </c>
      <c r="G23" s="29" t="n">
        <f aca="false">IF(E23="Free","",Assumptions!F148)</f>
        <v>0</v>
      </c>
      <c r="H23" s="43" t="n">
        <f aca="false">MAX(0,IF(OR(E23="CPC",E23="Slot"),IF(N(G23)&gt;0,F23/G23,0),F23))</f>
        <v>179</v>
      </c>
      <c r="I23" s="30" t="n">
        <f aca="false">Assumptions!G148</f>
        <v>0.175</v>
      </c>
      <c r="J23" s="29" t="n">
        <f aca="false">IF(AND(OR(E23="CPC",E23="Slot"),NOT(N(G23)&gt;0)),0,IF(E23="Slot",Assumptions!H148*G23,Assumptions!H148))</f>
        <v>140</v>
      </c>
      <c r="K23" s="32" t="n">
        <f aca="false">J23*I23</f>
        <v>24.5</v>
      </c>
      <c r="L23" s="31" t="n">
        <f aca="false">INDEX(Funnel!$G$5:$G$8,MATCH(C23,Funnel!$A$5:$A$8,0))*M23</f>
        <v>0.2835</v>
      </c>
      <c r="M23" s="44" t="n">
        <f aca="false">Assumptions!I148</f>
        <v>1</v>
      </c>
      <c r="N23" s="32" t="n">
        <f aca="false">K23*L23</f>
        <v>6.94575</v>
      </c>
      <c r="O23" s="41" t="n">
        <f aca="false">IF(I23&gt;0,H23/I23,0)</f>
        <v>1022.85714285714</v>
      </c>
      <c r="P23" s="41" t="n">
        <f aca="false">IF(N23&gt;0,(N23/L23/I23*H23+Assumptions!J148)/N23,0)</f>
        <v>3607.9617031998</v>
      </c>
      <c r="Q23" s="45" t="n">
        <f aca="false">P23+ROW()/1000000</f>
        <v>3607.9617261998</v>
      </c>
      <c r="R23" s="29" t="n">
        <f aca="false">SUMPRODUCT(($C$5:$C$34=C23)*($Q$5:$Q$34&lt;Q23))+1</f>
        <v>7</v>
      </c>
      <c r="S23" s="32" t="n">
        <f aca="false">SUMPRODUCT(($C$5:$C$34=C23)*($Q$5:$Q$34&lt;Q23)*$AH$5:$AH$34)</f>
        <v>40.1672866671196</v>
      </c>
      <c r="T23" s="32" t="n">
        <f aca="false">INDEX(Funnel!$B$5:$B$8,MATCH(C23,Funnel!$A$5:$A$8,0))-SUMIFS($AG$5:$AG$34,$C$5:$C$34,C23)</f>
        <v>13.9966398137676</v>
      </c>
      <c r="U23" s="46" t="n">
        <f aca="false">AG23+AI23</f>
        <v>0.207873603351955</v>
      </c>
      <c r="V23" s="32" t="n">
        <f aca="false">IF(L23&gt;0,U23/L23,0)</f>
        <v>0.733240223463687</v>
      </c>
      <c r="W23" s="29" t="n">
        <f aca="false">IF(I23&gt;0,V23/I23,0)</f>
        <v>4.18994413407821</v>
      </c>
      <c r="X23" s="41" t="n">
        <f aca="false">IF(E23="Slot",IF(N(G23)&gt;0,ROUNDUP(W23/G23,0)*MAX(0,F23),0),W23*H23)</f>
        <v>750</v>
      </c>
      <c r="Y23" s="41" t="n">
        <f aca="false">IF(U23&gt;0,Assumptions!J148,0)</f>
        <v>0</v>
      </c>
      <c r="Z23" s="41" t="n">
        <f aca="false">IF(AND(D23="Channel",OR(E23="CPC",E23="CPA"),INDEX(Funnel!$B$5:$B$8,MATCH(C23,Funnel!$A$5:$A$8,0))&gt;0),MIN(Assumptions!$D$49,J23*H23,IF(I23*L23&gt;0,INDEX(Funnel!$B$5:$B$8,MATCH(C23,Funnel!$A$5:$A$8,0))/SUMPRODUCT(($C$5:$C$34=C23)*($D$5:$D$34="Channel")*(($E$5:$E$34="CPC")+($E$5:$E$34="CPA")))/(I23*L23)*H23,0)),0)</f>
        <v>750</v>
      </c>
      <c r="AA23" s="41" t="n">
        <f aca="false">X23+Y23</f>
        <v>750</v>
      </c>
      <c r="AB23" s="41" t="n">
        <f aca="false">IF(U23&gt;0,(X23+Y23)/U23,"–")</f>
        <v>3607.9617031998</v>
      </c>
      <c r="AC23" s="29" t="n">
        <f aca="false">SUMPRODUCT(--($Q$5:$Q$34&lt;Q23))+1</f>
        <v>29</v>
      </c>
      <c r="AD23" s="2" t="str">
        <f aca="false">IF(AND(AH23&gt;0,AI23&gt;=AH23*0.999),"Used to capacity",IF(AI23&gt;0,"Marginal (fills the gap)",IF(Z23&gt;0,"Test only (wk 1–2)","Not used")))</f>
        <v>Test only (wk 1–2)</v>
      </c>
      <c r="AE23" s="32" t="n">
        <f aca="false">IF(H23&gt;0,Z23/H23,0)</f>
        <v>4.18994413407821</v>
      </c>
      <c r="AF23" s="32" t="n">
        <f aca="false">AE23*I23</f>
        <v>0.733240223463687</v>
      </c>
      <c r="AG23" s="32" t="n">
        <f aca="false">AF23*L23</f>
        <v>0.207873603351955</v>
      </c>
      <c r="AH23" s="32" t="n">
        <f aca="false">MAX(0,N23-AG23)</f>
        <v>6.73787639664804</v>
      </c>
      <c r="AI23" s="32" t="n">
        <f aca="false">MIN(AH23,MAX(0,T23-S23))</f>
        <v>0</v>
      </c>
    </row>
    <row r="24" customFormat="false" ht="15" hidden="false" customHeight="false" outlineLevel="0" collapsed="false">
      <c r="A24" s="2" t="str">
        <f aca="false">Assumptions!A149</f>
        <v>C20</v>
      </c>
      <c r="B24" s="2" t="str">
        <f aca="false">Assumptions!B149</f>
        <v>Google Search ads (job-intent keywords)</v>
      </c>
      <c r="C24" s="2" t="str">
        <f aca="false">Assumptions!C149</f>
        <v>Supervisors</v>
      </c>
      <c r="D24" s="2" t="s">
        <v>321</v>
      </c>
      <c r="E24" s="2" t="str">
        <f aca="false">Assumptions!D149</f>
        <v>CPA</v>
      </c>
      <c r="F24" s="43" t="n">
        <f aca="false">Assumptions!E149</f>
        <v>179</v>
      </c>
      <c r="G24" s="29" t="n">
        <f aca="false">IF(E24="Free","",Assumptions!F149)</f>
        <v>0</v>
      </c>
      <c r="H24" s="43" t="n">
        <f aca="false">MAX(0,IF(OR(E24="CPC",E24="Slot"),IF(N(G24)&gt;0,F24/G24,0),F24))</f>
        <v>179</v>
      </c>
      <c r="I24" s="30" t="n">
        <f aca="false">Assumptions!G149</f>
        <v>0.161</v>
      </c>
      <c r="J24" s="29" t="n">
        <f aca="false">IF(AND(OR(E24="CPC",E24="Slot"),NOT(N(G24)&gt;0)),0,IF(E24="Slot",Assumptions!H149*G24,Assumptions!H149))</f>
        <v>160</v>
      </c>
      <c r="K24" s="32" t="n">
        <f aca="false">J24*I24</f>
        <v>25.76</v>
      </c>
      <c r="L24" s="31" t="n">
        <f aca="false">INDEX(Funnel!$G$5:$G$8,MATCH(C24,Funnel!$A$5:$A$8,0))*M24</f>
        <v>0.238</v>
      </c>
      <c r="M24" s="44" t="n">
        <f aca="false">Assumptions!I149</f>
        <v>1</v>
      </c>
      <c r="N24" s="32" t="n">
        <f aca="false">K24*L24</f>
        <v>6.13088</v>
      </c>
      <c r="O24" s="41" t="n">
        <f aca="false">IF(I24&gt;0,H24/I24,0)</f>
        <v>1111.80124223602</v>
      </c>
      <c r="P24" s="41" t="n">
        <f aca="false">IF(N24&gt;0,(N24/L24/I24*H24+Assumptions!J149)/N24,0)</f>
        <v>4671.43379090767</v>
      </c>
      <c r="Q24" s="45" t="n">
        <f aca="false">P24+ROW()/1000000</f>
        <v>4671.43381490767</v>
      </c>
      <c r="R24" s="29" t="n">
        <f aca="false">SUMPRODUCT(($C$5:$C$34=C24)*($Q$5:$Q$34&lt;Q24))+1</f>
        <v>7</v>
      </c>
      <c r="S24" s="32" t="n">
        <f aca="false">SUMPRODUCT(($C$5:$C$34=C24)*($Q$5:$Q$34&lt;Q24)*$AH$5:$AH$34)</f>
        <v>33.004180375</v>
      </c>
      <c r="T24" s="32" t="n">
        <f aca="false">INDEX(Funnel!$B$5:$B$8,MATCH(C24,Funnel!$A$5:$A$8,0))-SUMIFS($AG$5:$AG$34,$C$5:$C$34,C24)</f>
        <v>9.22505909567039</v>
      </c>
      <c r="U24" s="46" t="n">
        <f aca="false">AG24+AI24</f>
        <v>0.160550279329609</v>
      </c>
      <c r="V24" s="32" t="n">
        <f aca="false">IF(L24&gt;0,U24/L24,0)</f>
        <v>0.674581005586592</v>
      </c>
      <c r="W24" s="29" t="n">
        <f aca="false">IF(I24&gt;0,V24/I24,0)</f>
        <v>4.18994413407821</v>
      </c>
      <c r="X24" s="41" t="n">
        <f aca="false">IF(E24="Slot",IF(N(G24)&gt;0,ROUNDUP(W24/G24,0)*MAX(0,F24),0),W24*H24)</f>
        <v>750</v>
      </c>
      <c r="Y24" s="41" t="n">
        <f aca="false">IF(U24&gt;0,Assumptions!J149,0)</f>
        <v>0</v>
      </c>
      <c r="Z24" s="41" t="n">
        <f aca="false">IF(AND(D24="Channel",OR(E24="CPC",E24="CPA"),INDEX(Funnel!$B$5:$B$8,MATCH(C24,Funnel!$A$5:$A$8,0))&gt;0),MIN(Assumptions!$D$49,J24*H24,IF(I24*L24&gt;0,INDEX(Funnel!$B$5:$B$8,MATCH(C24,Funnel!$A$5:$A$8,0))/SUMPRODUCT(($C$5:$C$34=C24)*($D$5:$D$34="Channel")*(($E$5:$E$34="CPC")+($E$5:$E$34="CPA")))/(I24*L24)*H24,0)),0)</f>
        <v>750</v>
      </c>
      <c r="AA24" s="41" t="n">
        <f aca="false">X24+Y24</f>
        <v>750</v>
      </c>
      <c r="AB24" s="41" t="n">
        <f aca="false">IF(U24&gt;0,(X24+Y24)/U24,"–")</f>
        <v>4671.43379090767</v>
      </c>
      <c r="AC24" s="29" t="n">
        <f aca="false">SUMPRODUCT(--($Q$5:$Q$34&lt;Q24))+1</f>
        <v>30</v>
      </c>
      <c r="AD24" s="2" t="str">
        <f aca="false">IF(AND(AH24&gt;0,AI24&gt;=AH24*0.999),"Used to capacity",IF(AI24&gt;0,"Marginal (fills the gap)",IF(Z24&gt;0,"Test only (wk 1–2)","Not used")))</f>
        <v>Test only (wk 1–2)</v>
      </c>
      <c r="AE24" s="32" t="n">
        <f aca="false">IF(H24&gt;0,Z24/H24,0)</f>
        <v>4.18994413407821</v>
      </c>
      <c r="AF24" s="32" t="n">
        <f aca="false">AE24*I24</f>
        <v>0.674581005586592</v>
      </c>
      <c r="AG24" s="32" t="n">
        <f aca="false">AF24*L24</f>
        <v>0.160550279329609</v>
      </c>
      <c r="AH24" s="32" t="n">
        <f aca="false">MAX(0,N24-AG24)</f>
        <v>5.97032972067039</v>
      </c>
      <c r="AI24" s="32" t="n">
        <f aca="false">MIN(AH24,MAX(0,T24-S24))</f>
        <v>0</v>
      </c>
    </row>
    <row r="25" customFormat="false" ht="15" hidden="false" customHeight="false" outlineLevel="0" collapsed="false">
      <c r="A25" s="2" t="s">
        <v>624</v>
      </c>
      <c r="B25" s="2" t="s">
        <v>625</v>
      </c>
      <c r="C25" s="2" t="s">
        <v>48</v>
      </c>
      <c r="D25" s="2" t="s">
        <v>571</v>
      </c>
      <c r="E25" s="2" t="s">
        <v>339</v>
      </c>
      <c r="F25" s="43" t="n">
        <f aca="false">Initiatives!B11</f>
        <v>2.5</v>
      </c>
      <c r="G25" s="2"/>
      <c r="H25" s="43" t="n">
        <f aca="false">F25</f>
        <v>2.5</v>
      </c>
      <c r="I25" s="30" t="n">
        <f aca="false">Initiatives!B8</f>
        <v>0.5</v>
      </c>
      <c r="J25" s="29" t="n">
        <f aca="false">Initiatives!B7</f>
        <v>7.8</v>
      </c>
      <c r="K25" s="32" t="n">
        <f aca="false">J25*I25</f>
        <v>3.9</v>
      </c>
      <c r="L25" s="31" t="n">
        <f aca="false">INDEX(Funnel!$G$5:$G$8,MATCH(C25,Funnel!$A$5:$A$8,0))*M25</f>
        <v>0.36225</v>
      </c>
      <c r="M25" s="44" t="n">
        <f aca="false">Assumptions!$D$166</f>
        <v>1.15</v>
      </c>
      <c r="N25" s="32" t="n">
        <f aca="false">K25*L25</f>
        <v>1.412775</v>
      </c>
      <c r="O25" s="41" t="n">
        <f aca="false">IF(I25&gt;0,H25/I25,0)</f>
        <v>5</v>
      </c>
      <c r="P25" s="41" t="n">
        <f aca="false">IF(N25&gt;0,(N25/L25/I25*H25+0)/N25,0)</f>
        <v>13.8026224982747</v>
      </c>
      <c r="Q25" s="45" t="n">
        <f aca="false">P25+ROW()/1000000</f>
        <v>13.8026474982747</v>
      </c>
      <c r="R25" s="29" t="n">
        <f aca="false">SUMPRODUCT(($C$5:$C$34=C25)*($Q$5:$Q$34&lt;Q25))+1</f>
        <v>2</v>
      </c>
      <c r="S25" s="32" t="n">
        <f aca="false">SUMPRODUCT(($C$5:$C$34=C25)*($Q$5:$Q$34&lt;Q25)*$AH$5:$AH$34)</f>
        <v>5.788125</v>
      </c>
      <c r="T25" s="32" t="n">
        <f aca="false">INDEX(Funnel!$B$5:$B$8,MATCH(C25,Funnel!$A$5:$A$8,0))-SUMIFS($AG$5:$AG$34,$C$5:$C$34,C25)</f>
        <v>29.1505850361307</v>
      </c>
      <c r="U25" s="46" t="n">
        <f aca="false">AG25+AI25</f>
        <v>1.412775</v>
      </c>
      <c r="V25" s="32" t="n">
        <f aca="false">IF(L25&gt;0,U25/L25,0)</f>
        <v>3.9</v>
      </c>
      <c r="W25" s="29" t="n">
        <f aca="false">IF(I25&gt;0,V25/I25,0)</f>
        <v>7.8</v>
      </c>
      <c r="X25" s="41" t="n">
        <f aca="false">IF(E25="Slot",IF(N(G25)&gt;0,ROUNDUP(W25/G25,0)*MAX(0,F25),0),W25*H25)</f>
        <v>19.5</v>
      </c>
      <c r="Y25" s="41" t="n">
        <f aca="false">IF(U25&gt;0,0,0)</f>
        <v>0</v>
      </c>
      <c r="Z25" s="41" t="n">
        <f aca="false">IF(AND(D25="Channel",OR(E25="CPC",E25="CPA"),INDEX(Funnel!$B$5:$B$8,MATCH(C25,Funnel!$A$5:$A$8,0))&gt;0),MIN(Assumptions!$D$49,J25*H25,IF(I25*L25&gt;0,INDEX(Funnel!$B$5:$B$8,MATCH(C25,Funnel!$A$5:$A$8,0))/SUMPRODUCT(($C$5:$C$34=C25)*($D$5:$D$34="Channel")*(($E$5:$E$34="CPC")+($E$5:$E$34="CPA")))/(I25*L25)*H25,0)),0)</f>
        <v>0</v>
      </c>
      <c r="AA25" s="41" t="n">
        <f aca="false">X25+Y25</f>
        <v>19.5</v>
      </c>
      <c r="AB25" s="41" t="n">
        <f aca="false">IF(U25&gt;0,(X25+Y25)/U25,"–")</f>
        <v>13.8026224982747</v>
      </c>
      <c r="AC25" s="29" t="n">
        <f aca="false">SUMPRODUCT(--($Q$5:$Q$34&lt;Q25))+1</f>
        <v>6</v>
      </c>
      <c r="AD25" s="2" t="str">
        <f aca="false">IF(AND(AH25&gt;0,AI25&gt;=AH25*0.999),"Used to capacity",IF(AI25&gt;0,"Marginal (fills the gap)",IF(Z25&gt;0,"Test only (wk 1–2)","Not used")))</f>
        <v>Used to capacity</v>
      </c>
      <c r="AE25" s="32" t="n">
        <f aca="false">IF(H25&gt;0,Z25/H25,0)</f>
        <v>0</v>
      </c>
      <c r="AF25" s="32" t="n">
        <f aca="false">AE25*I25</f>
        <v>0</v>
      </c>
      <c r="AG25" s="32" t="n">
        <f aca="false">AF25*L25</f>
        <v>0</v>
      </c>
      <c r="AH25" s="32" t="n">
        <f aca="false">MAX(0,N25-AG25)</f>
        <v>1.412775</v>
      </c>
      <c r="AI25" s="32" t="n">
        <f aca="false">MIN(AH25,MAX(0,T25-S25))</f>
        <v>1.412775</v>
      </c>
    </row>
    <row r="26" customFormat="false" ht="15" hidden="false" customHeight="false" outlineLevel="0" collapsed="false">
      <c r="A26" s="2" t="s">
        <v>626</v>
      </c>
      <c r="B26" s="2" t="s">
        <v>625</v>
      </c>
      <c r="C26" s="2" t="s">
        <v>43</v>
      </c>
      <c r="D26" s="2" t="s">
        <v>571</v>
      </c>
      <c r="E26" s="2" t="s">
        <v>339</v>
      </c>
      <c r="F26" s="43" t="n">
        <f aca="false">Initiatives!C11</f>
        <v>2.5</v>
      </c>
      <c r="G26" s="2"/>
      <c r="H26" s="43" t="n">
        <f aca="false">F26</f>
        <v>2.5</v>
      </c>
      <c r="I26" s="30" t="n">
        <f aca="false">Initiatives!C8</f>
        <v>0.5</v>
      </c>
      <c r="J26" s="29" t="n">
        <f aca="false">Initiatives!C7</f>
        <v>9.12</v>
      </c>
      <c r="K26" s="32" t="n">
        <f aca="false">J26*I26</f>
        <v>4.56</v>
      </c>
      <c r="L26" s="31" t="n">
        <f aca="false">INDEX(Funnel!$G$5:$G$8,MATCH(C26,Funnel!$A$5:$A$8,0))*M26</f>
        <v>0.4269375</v>
      </c>
      <c r="M26" s="44" t="n">
        <f aca="false">Assumptions!$D$166</f>
        <v>1.15</v>
      </c>
      <c r="N26" s="32" t="n">
        <f aca="false">K26*L26</f>
        <v>1.946835</v>
      </c>
      <c r="O26" s="41" t="n">
        <f aca="false">IF(I26&gt;0,H26/I26,0)</f>
        <v>5</v>
      </c>
      <c r="P26" s="41" t="n">
        <f aca="false">IF(N26&gt;0,(N26/L26/I26*H26+0)/N26,0)</f>
        <v>11.7113160591421</v>
      </c>
      <c r="Q26" s="45" t="n">
        <f aca="false">P26+ROW()/1000000</f>
        <v>11.7113420591421</v>
      </c>
      <c r="R26" s="29" t="n">
        <f aca="false">SUMPRODUCT(($C$5:$C$34=C26)*($Q$5:$Q$34&lt;Q26))+1</f>
        <v>2</v>
      </c>
      <c r="S26" s="32" t="n">
        <f aca="false">SUMPRODUCT(($C$5:$C$34=C26)*($Q$5:$Q$34&lt;Q26)*$AH$5:$AH$34)</f>
        <v>10.2650625</v>
      </c>
      <c r="T26" s="32" t="n">
        <f aca="false">INDEX(Funnel!$B$5:$B$8,MATCH(C26,Funnel!$A$5:$A$8,0))-SUMIFS($AG$5:$AG$34,$C$5:$C$34,C26)</f>
        <v>43.9989037925826</v>
      </c>
      <c r="U26" s="46" t="n">
        <f aca="false">AG26+AI26</f>
        <v>1.946835</v>
      </c>
      <c r="V26" s="32" t="n">
        <f aca="false">IF(L26&gt;0,U26/L26,0)</f>
        <v>4.56</v>
      </c>
      <c r="W26" s="29" t="n">
        <f aca="false">IF(I26&gt;0,V26/I26,0)</f>
        <v>9.12</v>
      </c>
      <c r="X26" s="41" t="n">
        <f aca="false">IF(E26="Slot",IF(N(G26)&gt;0,ROUNDUP(W26/G26,0)*MAX(0,F26),0),W26*H26)</f>
        <v>22.8</v>
      </c>
      <c r="Y26" s="41" t="n">
        <f aca="false">IF(U26&gt;0,0,0)</f>
        <v>0</v>
      </c>
      <c r="Z26" s="41" t="n">
        <f aca="false">IF(AND(D26="Channel",OR(E26="CPC",E26="CPA"),INDEX(Funnel!$B$5:$B$8,MATCH(C26,Funnel!$A$5:$A$8,0))&gt;0),MIN(Assumptions!$D$49,J26*H26,IF(I26*L26&gt;0,INDEX(Funnel!$B$5:$B$8,MATCH(C26,Funnel!$A$5:$A$8,0))/SUMPRODUCT(($C$5:$C$34=C26)*($D$5:$D$34="Channel")*(($E$5:$E$34="CPC")+($E$5:$E$34="CPA")))/(I26*L26)*H26,0)),0)</f>
        <v>0</v>
      </c>
      <c r="AA26" s="41" t="n">
        <f aca="false">X26+Y26</f>
        <v>22.8</v>
      </c>
      <c r="AB26" s="41" t="n">
        <f aca="false">IF(U26&gt;0,(X26+Y26)/U26,"–")</f>
        <v>11.7113160591421</v>
      </c>
      <c r="AC26" s="29" t="n">
        <f aca="false">SUMPRODUCT(--($Q$5:$Q$34&lt;Q26))+1</f>
        <v>5</v>
      </c>
      <c r="AD26" s="2" t="str">
        <f aca="false">IF(AND(AH26&gt;0,AI26&gt;=AH26*0.999),"Used to capacity",IF(AI26&gt;0,"Marginal (fills the gap)",IF(Z26&gt;0,"Test only (wk 1–2)","Not used")))</f>
        <v>Used to capacity</v>
      </c>
      <c r="AE26" s="32" t="n">
        <f aca="false">IF(H26&gt;0,Z26/H26,0)</f>
        <v>0</v>
      </c>
      <c r="AF26" s="32" t="n">
        <f aca="false">AE26*I26</f>
        <v>0</v>
      </c>
      <c r="AG26" s="32" t="n">
        <f aca="false">AF26*L26</f>
        <v>0</v>
      </c>
      <c r="AH26" s="32" t="n">
        <f aca="false">MAX(0,N26-AG26)</f>
        <v>1.946835</v>
      </c>
      <c r="AI26" s="32" t="n">
        <f aca="false">MIN(AH26,MAX(0,T26-S26))</f>
        <v>1.946835</v>
      </c>
    </row>
    <row r="27" customFormat="false" ht="15" hidden="false" customHeight="false" outlineLevel="0" collapsed="false">
      <c r="A27" s="2" t="s">
        <v>627</v>
      </c>
      <c r="B27" s="2" t="s">
        <v>625</v>
      </c>
      <c r="C27" s="2" t="s">
        <v>52</v>
      </c>
      <c r="D27" s="2" t="s">
        <v>571</v>
      </c>
      <c r="E27" s="2" t="s">
        <v>339</v>
      </c>
      <c r="F27" s="43" t="n">
        <f aca="false">Initiatives!D11</f>
        <v>2.5</v>
      </c>
      <c r="G27" s="2"/>
      <c r="H27" s="43" t="n">
        <f aca="false">F27</f>
        <v>2.5</v>
      </c>
      <c r="I27" s="30" t="n">
        <f aca="false">Initiatives!D8</f>
        <v>0.5</v>
      </c>
      <c r="J27" s="29" t="n">
        <f aca="false">Initiatives!D7</f>
        <v>4.56</v>
      </c>
      <c r="K27" s="32" t="n">
        <f aca="false">J27*I27</f>
        <v>2.28</v>
      </c>
      <c r="L27" s="31" t="n">
        <f aca="false">INDEX(Funnel!$G$5:$G$8,MATCH(C27,Funnel!$A$5:$A$8,0))*M27</f>
        <v>0.326025</v>
      </c>
      <c r="M27" s="44" t="n">
        <f aca="false">Assumptions!$D$166</f>
        <v>1.15</v>
      </c>
      <c r="N27" s="32" t="n">
        <f aca="false">K27*L27</f>
        <v>0.743337</v>
      </c>
      <c r="O27" s="41" t="n">
        <f aca="false">IF(I27&gt;0,H27/I27,0)</f>
        <v>5</v>
      </c>
      <c r="P27" s="41" t="n">
        <f aca="false">IF(N27&gt;0,(N27/L27/I27*H27+0)/N27,0)</f>
        <v>15.3362472203052</v>
      </c>
      <c r="Q27" s="45" t="n">
        <f aca="false">P27+ROW()/1000000</f>
        <v>15.3362742203052</v>
      </c>
      <c r="R27" s="29" t="n">
        <f aca="false">SUMPRODUCT(($C$5:$C$34=C27)*($Q$5:$Q$34&lt;Q27))+1</f>
        <v>2</v>
      </c>
      <c r="S27" s="32" t="n">
        <f aca="false">SUMPRODUCT(($C$5:$C$34=C27)*($Q$5:$Q$34&lt;Q27)*$AH$5:$AH$34)</f>
        <v>2.6294625</v>
      </c>
      <c r="T27" s="32" t="n">
        <f aca="false">INDEX(Funnel!$B$5:$B$8,MATCH(C27,Funnel!$A$5:$A$8,0))-SUMIFS($AG$5:$AG$34,$C$5:$C$34,C27)</f>
        <v>13.9966398137676</v>
      </c>
      <c r="U27" s="46" t="n">
        <f aca="false">AG27+AI27</f>
        <v>0.743337</v>
      </c>
      <c r="V27" s="32" t="n">
        <f aca="false">IF(L27&gt;0,U27/L27,0)</f>
        <v>2.28</v>
      </c>
      <c r="W27" s="29" t="n">
        <f aca="false">IF(I27&gt;0,V27/I27,0)</f>
        <v>4.56</v>
      </c>
      <c r="X27" s="41" t="n">
        <f aca="false">IF(E27="Slot",IF(N(G27)&gt;0,ROUNDUP(W27/G27,0)*MAX(0,F27),0),W27*H27)</f>
        <v>11.4</v>
      </c>
      <c r="Y27" s="41" t="n">
        <f aca="false">IF(U27&gt;0,0,0)</f>
        <v>0</v>
      </c>
      <c r="Z27" s="41" t="n">
        <f aca="false">IF(AND(D27="Channel",OR(E27="CPC",E27="CPA"),INDEX(Funnel!$B$5:$B$8,MATCH(C27,Funnel!$A$5:$A$8,0))&gt;0),MIN(Assumptions!$D$49,J27*H27,IF(I27*L27&gt;0,INDEX(Funnel!$B$5:$B$8,MATCH(C27,Funnel!$A$5:$A$8,0))/SUMPRODUCT(($C$5:$C$34=C27)*($D$5:$D$34="Channel")*(($E$5:$E$34="CPC")+($E$5:$E$34="CPA")))/(I27*L27)*H27,0)),0)</f>
        <v>0</v>
      </c>
      <c r="AA27" s="41" t="n">
        <f aca="false">X27+Y27</f>
        <v>11.4</v>
      </c>
      <c r="AB27" s="41" t="n">
        <f aca="false">IF(U27&gt;0,(X27+Y27)/U27,"–")</f>
        <v>15.3362472203052</v>
      </c>
      <c r="AC27" s="29" t="n">
        <f aca="false">SUMPRODUCT(--($Q$5:$Q$34&lt;Q27))+1</f>
        <v>7</v>
      </c>
      <c r="AD27" s="2" t="str">
        <f aca="false">IF(AND(AH27&gt;0,AI27&gt;=AH27*0.999),"Used to capacity",IF(AI27&gt;0,"Marginal (fills the gap)",IF(Z27&gt;0,"Test only (wk 1–2)","Not used")))</f>
        <v>Used to capacity</v>
      </c>
      <c r="AE27" s="32" t="n">
        <f aca="false">IF(H27&gt;0,Z27/H27,0)</f>
        <v>0</v>
      </c>
      <c r="AF27" s="32" t="n">
        <f aca="false">AE27*I27</f>
        <v>0</v>
      </c>
      <c r="AG27" s="32" t="n">
        <f aca="false">AF27*L27</f>
        <v>0</v>
      </c>
      <c r="AH27" s="32" t="n">
        <f aca="false">MAX(0,N27-AG27)</f>
        <v>0.743337</v>
      </c>
      <c r="AI27" s="32" t="n">
        <f aca="false">MIN(AH27,MAX(0,T27-S27))</f>
        <v>0.743337</v>
      </c>
    </row>
    <row r="28" customFormat="false" ht="15" hidden="false" customHeight="false" outlineLevel="0" collapsed="false">
      <c r="A28" s="2" t="s">
        <v>628</v>
      </c>
      <c r="B28" s="2" t="s">
        <v>625</v>
      </c>
      <c r="C28" s="2" t="s">
        <v>54</v>
      </c>
      <c r="D28" s="2" t="s">
        <v>571</v>
      </c>
      <c r="E28" s="2" t="s">
        <v>339</v>
      </c>
      <c r="F28" s="43" t="n">
        <f aca="false">Initiatives!E11</f>
        <v>2.5</v>
      </c>
      <c r="G28" s="2"/>
      <c r="H28" s="43" t="n">
        <f aca="false">F28</f>
        <v>2.5</v>
      </c>
      <c r="I28" s="30" t="n">
        <f aca="false">Initiatives!E8</f>
        <v>0.5</v>
      </c>
      <c r="J28" s="29" t="n">
        <f aca="false">Initiatives!E7</f>
        <v>3.84</v>
      </c>
      <c r="K28" s="32" t="n">
        <f aca="false">J28*I28</f>
        <v>1.92</v>
      </c>
      <c r="L28" s="31" t="n">
        <f aca="false">INDEX(Funnel!$G$5:$G$8,MATCH(C28,Funnel!$A$5:$A$8,0))*M28</f>
        <v>0.2737</v>
      </c>
      <c r="M28" s="44" t="n">
        <f aca="false">Assumptions!$D$166</f>
        <v>1.15</v>
      </c>
      <c r="N28" s="32" t="n">
        <f aca="false">K28*L28</f>
        <v>0.525504</v>
      </c>
      <c r="O28" s="41" t="n">
        <f aca="false">IF(I28&gt;0,H28/I28,0)</f>
        <v>5</v>
      </c>
      <c r="P28" s="41" t="n">
        <f aca="false">IF(N28&gt;0,(N28/L28/I28*H28+0)/N28,0)</f>
        <v>18.2681768359518</v>
      </c>
      <c r="Q28" s="45" t="n">
        <f aca="false">P28+ROW()/1000000</f>
        <v>18.2682048359518</v>
      </c>
      <c r="R28" s="29" t="n">
        <f aca="false">SUMPRODUCT(($C$5:$C$34=C28)*($Q$5:$Q$34&lt;Q28))+1</f>
        <v>2</v>
      </c>
      <c r="S28" s="32" t="n">
        <f aca="false">SUMPRODUCT(($C$5:$C$34=C28)*($Q$5:$Q$34&lt;Q28)*$AH$5:$AH$34)</f>
        <v>1.34113</v>
      </c>
      <c r="T28" s="32" t="n">
        <f aca="false">INDEX(Funnel!$B$5:$B$8,MATCH(C28,Funnel!$A$5:$A$8,0))-SUMIFS($AG$5:$AG$34,$C$5:$C$34,C28)</f>
        <v>9.22505909567039</v>
      </c>
      <c r="U28" s="46" t="n">
        <f aca="false">AG28+AI28</f>
        <v>0.525504</v>
      </c>
      <c r="V28" s="32" t="n">
        <f aca="false">IF(L28&gt;0,U28/L28,0)</f>
        <v>1.92</v>
      </c>
      <c r="W28" s="29" t="n">
        <f aca="false">IF(I28&gt;0,V28/I28,0)</f>
        <v>3.84</v>
      </c>
      <c r="X28" s="41" t="n">
        <f aca="false">IF(E28="Slot",IF(N(G28)&gt;0,ROUNDUP(W28/G28,0)*MAX(0,F28),0),W28*H28)</f>
        <v>9.6</v>
      </c>
      <c r="Y28" s="41" t="n">
        <f aca="false">IF(U28&gt;0,0,0)</f>
        <v>0</v>
      </c>
      <c r="Z28" s="41" t="n">
        <f aca="false">IF(AND(D28="Channel",OR(E28="CPC",E28="CPA"),INDEX(Funnel!$B$5:$B$8,MATCH(C28,Funnel!$A$5:$A$8,0))&gt;0),MIN(Assumptions!$D$49,J28*H28,IF(I28*L28&gt;0,INDEX(Funnel!$B$5:$B$8,MATCH(C28,Funnel!$A$5:$A$8,0))/SUMPRODUCT(($C$5:$C$34=C28)*($D$5:$D$34="Channel")*(($E$5:$E$34="CPC")+($E$5:$E$34="CPA")))/(I28*L28)*H28,0)),0)</f>
        <v>0</v>
      </c>
      <c r="AA28" s="41" t="n">
        <f aca="false">X28+Y28</f>
        <v>9.6</v>
      </c>
      <c r="AB28" s="41" t="n">
        <f aca="false">IF(U28&gt;0,(X28+Y28)/U28,"–")</f>
        <v>18.2681768359518</v>
      </c>
      <c r="AC28" s="29" t="n">
        <f aca="false">SUMPRODUCT(--($Q$5:$Q$34&lt;Q28))+1</f>
        <v>8</v>
      </c>
      <c r="AD28" s="2" t="str">
        <f aca="false">IF(AND(AH28&gt;0,AI28&gt;=AH28*0.999),"Used to capacity",IF(AI28&gt;0,"Marginal (fills the gap)",IF(Z28&gt;0,"Test only (wk 1–2)","Not used")))</f>
        <v>Used to capacity</v>
      </c>
      <c r="AE28" s="32" t="n">
        <f aca="false">IF(H28&gt;0,Z28/H28,0)</f>
        <v>0</v>
      </c>
      <c r="AF28" s="32" t="n">
        <f aca="false">AE28*I28</f>
        <v>0</v>
      </c>
      <c r="AG28" s="32" t="n">
        <f aca="false">AF28*L28</f>
        <v>0</v>
      </c>
      <c r="AH28" s="32" t="n">
        <f aca="false">MAX(0,N28-AG28)</f>
        <v>0.525504</v>
      </c>
      <c r="AI28" s="32" t="n">
        <f aca="false">MIN(AH28,MAX(0,T28-S28))</f>
        <v>0.525504</v>
      </c>
    </row>
    <row r="29" customFormat="false" ht="15" hidden="false" customHeight="false" outlineLevel="0" collapsed="false">
      <c r="A29" s="2" t="s">
        <v>629</v>
      </c>
      <c r="B29" s="2" t="s">
        <v>630</v>
      </c>
      <c r="C29" s="2" t="s">
        <v>48</v>
      </c>
      <c r="D29" s="2" t="s">
        <v>571</v>
      </c>
      <c r="E29" s="2" t="s">
        <v>339</v>
      </c>
      <c r="F29" s="43" t="n">
        <f aca="false">Initiatives!B17</f>
        <v>163.0125</v>
      </c>
      <c r="G29" s="2"/>
      <c r="H29" s="43" t="n">
        <f aca="false">F29</f>
        <v>163.0125</v>
      </c>
      <c r="I29" s="30" t="n">
        <f aca="false">Initiatives!B14</f>
        <v>0.45</v>
      </c>
      <c r="J29" s="29" t="n">
        <f aca="false">Initiatives!B13</f>
        <v>20</v>
      </c>
      <c r="K29" s="32" t="n">
        <f aca="false">J29*I29</f>
        <v>9</v>
      </c>
      <c r="L29" s="31" t="n">
        <f aca="false">INDEX(Funnel!$G$5:$G$8,MATCH(C29,Funnel!$A$5:$A$8,0))*M29</f>
        <v>0.36225</v>
      </c>
      <c r="M29" s="44" t="n">
        <f aca="false">Assumptions!$D$166</f>
        <v>1.15</v>
      </c>
      <c r="N29" s="32" t="n">
        <f aca="false">K29*L29</f>
        <v>3.26025</v>
      </c>
      <c r="O29" s="41" t="n">
        <f aca="false">IF(I29&gt;0,H29/I29,0)</f>
        <v>362.25</v>
      </c>
      <c r="P29" s="41" t="n">
        <f aca="false">IF(N29&gt;0,(N29/L29/I29*H29+0)/N29,0)</f>
        <v>1000</v>
      </c>
      <c r="Q29" s="45" t="n">
        <f aca="false">P29+ROW()/1000000</f>
        <v>1000.000029</v>
      </c>
      <c r="R29" s="29" t="n">
        <f aca="false">SUMPRODUCT(($C$5:$C$34=C29)*($Q$5:$Q$34&lt;Q29))+1</f>
        <v>3</v>
      </c>
      <c r="S29" s="32" t="n">
        <f aca="false">SUMPRODUCT(($C$5:$C$34=C29)*($Q$5:$Q$34&lt;Q29)*$AH$5:$AH$34)</f>
        <v>7.2009</v>
      </c>
      <c r="T29" s="32" t="n">
        <f aca="false">INDEX(Funnel!$B$5:$B$8,MATCH(C29,Funnel!$A$5:$A$8,0))-SUMIFS($AG$5:$AG$34,$C$5:$C$34,C29)</f>
        <v>29.1505850361307</v>
      </c>
      <c r="U29" s="46" t="n">
        <f aca="false">AG29+AI29</f>
        <v>3.26025</v>
      </c>
      <c r="V29" s="32" t="n">
        <f aca="false">IF(L29&gt;0,U29/L29,0)</f>
        <v>9</v>
      </c>
      <c r="W29" s="29" t="n">
        <f aca="false">IF(I29&gt;0,V29/I29,0)</f>
        <v>20</v>
      </c>
      <c r="X29" s="41" t="n">
        <f aca="false">IF(E29="Slot",IF(N(G29)&gt;0,ROUNDUP(W29/G29,0)*MAX(0,F29),0),W29*H29)</f>
        <v>3260.25</v>
      </c>
      <c r="Y29" s="41" t="n">
        <f aca="false">IF(U29&gt;0,0,0)</f>
        <v>0</v>
      </c>
      <c r="Z29" s="41" t="n">
        <f aca="false">IF(AND(D29="Channel",OR(E29="CPC",E29="CPA"),INDEX(Funnel!$B$5:$B$8,MATCH(C29,Funnel!$A$5:$A$8,0))&gt;0),MIN(Assumptions!$D$49,J29*H29,IF(I29*L29&gt;0,INDEX(Funnel!$B$5:$B$8,MATCH(C29,Funnel!$A$5:$A$8,0))/SUMPRODUCT(($C$5:$C$34=C29)*($D$5:$D$34="Channel")*(($E$5:$E$34="CPC")+($E$5:$E$34="CPA")))/(I29*L29)*H29,0)),0)</f>
        <v>0</v>
      </c>
      <c r="AA29" s="41" t="n">
        <f aca="false">X29+Y29</f>
        <v>3260.25</v>
      </c>
      <c r="AB29" s="41" t="n">
        <f aca="false">IF(U29&gt;0,(X29+Y29)/U29,"–")</f>
        <v>1000</v>
      </c>
      <c r="AC29" s="29" t="n">
        <f aca="false">SUMPRODUCT(--($Q$5:$Q$34&lt;Q29))+1</f>
        <v>10</v>
      </c>
      <c r="AD29" s="2" t="str">
        <f aca="false">IF(AND(AH29&gt;0,AI29&gt;=AH29*0.999),"Used to capacity",IF(AI29&gt;0,"Marginal (fills the gap)",IF(Z29&gt;0,"Test only (wk 1–2)","Not used")))</f>
        <v>Used to capacity</v>
      </c>
      <c r="AE29" s="32" t="n">
        <f aca="false">IF(H29&gt;0,Z29/H29,0)</f>
        <v>0</v>
      </c>
      <c r="AF29" s="32" t="n">
        <f aca="false">AE29*I29</f>
        <v>0</v>
      </c>
      <c r="AG29" s="32" t="n">
        <f aca="false">AF29*L29</f>
        <v>0</v>
      </c>
      <c r="AH29" s="32" t="n">
        <f aca="false">MAX(0,N29-AG29)</f>
        <v>3.26025</v>
      </c>
      <c r="AI29" s="32" t="n">
        <f aca="false">MIN(AH29,MAX(0,T29-S29))</f>
        <v>3.26025</v>
      </c>
    </row>
    <row r="30" customFormat="false" ht="15" hidden="false" customHeight="false" outlineLevel="0" collapsed="false">
      <c r="A30" s="2" t="s">
        <v>631</v>
      </c>
      <c r="B30" s="2" t="s">
        <v>630</v>
      </c>
      <c r="C30" s="2" t="s">
        <v>43</v>
      </c>
      <c r="D30" s="2" t="s">
        <v>571</v>
      </c>
      <c r="E30" s="2" t="s">
        <v>339</v>
      </c>
      <c r="F30" s="43" t="n">
        <f aca="false">Initiatives!C17</f>
        <v>192.121875</v>
      </c>
      <c r="G30" s="2"/>
      <c r="H30" s="43" t="n">
        <f aca="false">F30</f>
        <v>192.121875</v>
      </c>
      <c r="I30" s="30" t="n">
        <f aca="false">Initiatives!C14</f>
        <v>0.45</v>
      </c>
      <c r="J30" s="29" t="n">
        <f aca="false">Initiatives!C13</f>
        <v>26</v>
      </c>
      <c r="K30" s="32" t="n">
        <f aca="false">J30*I30</f>
        <v>11.7</v>
      </c>
      <c r="L30" s="31" t="n">
        <f aca="false">INDEX(Funnel!$G$5:$G$8,MATCH(C30,Funnel!$A$5:$A$8,0))*M30</f>
        <v>0.4269375</v>
      </c>
      <c r="M30" s="44" t="n">
        <f aca="false">Assumptions!$D$166</f>
        <v>1.15</v>
      </c>
      <c r="N30" s="32" t="n">
        <f aca="false">K30*L30</f>
        <v>4.99516875</v>
      </c>
      <c r="O30" s="41" t="n">
        <f aca="false">IF(I30&gt;0,H30/I30,0)</f>
        <v>426.9375</v>
      </c>
      <c r="P30" s="41" t="n">
        <f aca="false">IF(N30&gt;0,(N30/L30/I30*H30+0)/N30,0)</f>
        <v>1000</v>
      </c>
      <c r="Q30" s="45" t="n">
        <f aca="false">P30+ROW()/1000000</f>
        <v>1000.00003</v>
      </c>
      <c r="R30" s="29" t="n">
        <f aca="false">SUMPRODUCT(($C$5:$C$34=C30)*($Q$5:$Q$34&lt;Q30))+1</f>
        <v>4</v>
      </c>
      <c r="S30" s="32" t="n">
        <f aca="false">SUMPRODUCT(($C$5:$C$34=C30)*($Q$5:$Q$34&lt;Q30)*$AH$5:$AH$34)</f>
        <v>30.2118975</v>
      </c>
      <c r="T30" s="32" t="n">
        <f aca="false">INDEX(Funnel!$B$5:$B$8,MATCH(C30,Funnel!$A$5:$A$8,0))-SUMIFS($AG$5:$AG$34,$C$5:$C$34,C30)</f>
        <v>43.9989037925826</v>
      </c>
      <c r="U30" s="46" t="n">
        <f aca="false">AG30+AI30</f>
        <v>4.99516875</v>
      </c>
      <c r="V30" s="32" t="n">
        <f aca="false">IF(L30&gt;0,U30/L30,0)</f>
        <v>11.7</v>
      </c>
      <c r="W30" s="29" t="n">
        <f aca="false">IF(I30&gt;0,V30/I30,0)</f>
        <v>26</v>
      </c>
      <c r="X30" s="41" t="n">
        <f aca="false">IF(E30="Slot",IF(N(G30)&gt;0,ROUNDUP(W30/G30,0)*MAX(0,F30),0),W30*H30)</f>
        <v>4995.16875</v>
      </c>
      <c r="Y30" s="41" t="n">
        <f aca="false">IF(U30&gt;0,0,0)</f>
        <v>0</v>
      </c>
      <c r="Z30" s="41" t="n">
        <f aca="false">IF(AND(D30="Channel",OR(E30="CPC",E30="CPA"),INDEX(Funnel!$B$5:$B$8,MATCH(C30,Funnel!$A$5:$A$8,0))&gt;0),MIN(Assumptions!$D$49,J30*H30,IF(I30*L30&gt;0,INDEX(Funnel!$B$5:$B$8,MATCH(C30,Funnel!$A$5:$A$8,0))/SUMPRODUCT(($C$5:$C$34=C30)*($D$5:$D$34="Channel")*(($E$5:$E$34="CPC")+($E$5:$E$34="CPA")))/(I30*L30)*H30,0)),0)</f>
        <v>0</v>
      </c>
      <c r="AA30" s="41" t="n">
        <f aca="false">X30+Y30</f>
        <v>4995.16875</v>
      </c>
      <c r="AB30" s="41" t="n">
        <f aca="false">IF(U30&gt;0,(X30+Y30)/U30,"–")</f>
        <v>1000</v>
      </c>
      <c r="AC30" s="29" t="n">
        <f aca="false">SUMPRODUCT(--($Q$5:$Q$34&lt;Q30))+1</f>
        <v>11</v>
      </c>
      <c r="AD30" s="2" t="str">
        <f aca="false">IF(AND(AH30&gt;0,AI30&gt;=AH30*0.999),"Used to capacity",IF(AI30&gt;0,"Marginal (fills the gap)",IF(Z30&gt;0,"Test only (wk 1–2)","Not used")))</f>
        <v>Used to capacity</v>
      </c>
      <c r="AE30" s="32" t="n">
        <f aca="false">IF(H30&gt;0,Z30/H30,0)</f>
        <v>0</v>
      </c>
      <c r="AF30" s="32" t="n">
        <f aca="false">AE30*I30</f>
        <v>0</v>
      </c>
      <c r="AG30" s="32" t="n">
        <f aca="false">AF30*L30</f>
        <v>0</v>
      </c>
      <c r="AH30" s="32" t="n">
        <f aca="false">MAX(0,N30-AG30)</f>
        <v>4.99516875</v>
      </c>
      <c r="AI30" s="32" t="n">
        <f aca="false">MIN(AH30,MAX(0,T30-S30))</f>
        <v>4.99516875</v>
      </c>
    </row>
    <row r="31" customFormat="false" ht="15" hidden="false" customHeight="false" outlineLevel="0" collapsed="false">
      <c r="A31" s="2" t="s">
        <v>632</v>
      </c>
      <c r="B31" s="2" t="s">
        <v>630</v>
      </c>
      <c r="C31" s="2" t="s">
        <v>52</v>
      </c>
      <c r="D31" s="2" t="s">
        <v>571</v>
      </c>
      <c r="E31" s="2" t="s">
        <v>339</v>
      </c>
      <c r="F31" s="43" t="n">
        <f aca="false">Initiatives!D17</f>
        <v>146.71125</v>
      </c>
      <c r="G31" s="2"/>
      <c r="H31" s="43" t="n">
        <f aca="false">F31</f>
        <v>146.71125</v>
      </c>
      <c r="I31" s="30" t="n">
        <f aca="false">Initiatives!D14</f>
        <v>0.45</v>
      </c>
      <c r="J31" s="29" t="n">
        <f aca="false">Initiatives!D13</f>
        <v>11</v>
      </c>
      <c r="K31" s="32" t="n">
        <f aca="false">J31*I31</f>
        <v>4.95</v>
      </c>
      <c r="L31" s="31" t="n">
        <f aca="false">INDEX(Funnel!$G$5:$G$8,MATCH(C31,Funnel!$A$5:$A$8,0))*M31</f>
        <v>0.326025</v>
      </c>
      <c r="M31" s="44" t="n">
        <f aca="false">Assumptions!$D$166</f>
        <v>1.15</v>
      </c>
      <c r="N31" s="32" t="n">
        <f aca="false">K31*L31</f>
        <v>1.61382375</v>
      </c>
      <c r="O31" s="41" t="n">
        <f aca="false">IF(I31&gt;0,H31/I31,0)</f>
        <v>326.025</v>
      </c>
      <c r="P31" s="41" t="n">
        <f aca="false">IF(N31&gt;0,(N31/L31/I31*H31+0)/N31,0)</f>
        <v>1000</v>
      </c>
      <c r="Q31" s="45" t="n">
        <f aca="false">P31+ROW()/1000000</f>
        <v>1000.000031</v>
      </c>
      <c r="R31" s="29" t="n">
        <f aca="false">SUMPRODUCT(($C$5:$C$34=C31)*($Q$5:$Q$34&lt;Q31))+1</f>
        <v>3</v>
      </c>
      <c r="S31" s="32" t="n">
        <f aca="false">SUMPRODUCT(($C$5:$C$34=C31)*($Q$5:$Q$34&lt;Q31)*$AH$5:$AH$34)</f>
        <v>3.3727995</v>
      </c>
      <c r="T31" s="32" t="n">
        <f aca="false">INDEX(Funnel!$B$5:$B$8,MATCH(C31,Funnel!$A$5:$A$8,0))-SUMIFS($AG$5:$AG$34,$C$5:$C$34,C31)</f>
        <v>13.9966398137676</v>
      </c>
      <c r="U31" s="46" t="n">
        <f aca="false">AG31+AI31</f>
        <v>1.61382375</v>
      </c>
      <c r="V31" s="32" t="n">
        <f aca="false">IF(L31&gt;0,U31/L31,0)</f>
        <v>4.95</v>
      </c>
      <c r="W31" s="29" t="n">
        <f aca="false">IF(I31&gt;0,V31/I31,0)</f>
        <v>11</v>
      </c>
      <c r="X31" s="41" t="n">
        <f aca="false">IF(E31="Slot",IF(N(G31)&gt;0,ROUNDUP(W31/G31,0)*MAX(0,F31),0),W31*H31)</f>
        <v>1613.82375</v>
      </c>
      <c r="Y31" s="41" t="n">
        <f aca="false">IF(U31&gt;0,0,0)</f>
        <v>0</v>
      </c>
      <c r="Z31" s="41" t="n">
        <f aca="false">IF(AND(D31="Channel",OR(E31="CPC",E31="CPA"),INDEX(Funnel!$B$5:$B$8,MATCH(C31,Funnel!$A$5:$A$8,0))&gt;0),MIN(Assumptions!$D$49,J31*H31,IF(I31*L31&gt;0,INDEX(Funnel!$B$5:$B$8,MATCH(C31,Funnel!$A$5:$A$8,0))/SUMPRODUCT(($C$5:$C$34=C31)*($D$5:$D$34="Channel")*(($E$5:$E$34="CPC")+($E$5:$E$34="CPA")))/(I31*L31)*H31,0)),0)</f>
        <v>0</v>
      </c>
      <c r="AA31" s="41" t="n">
        <f aca="false">X31+Y31</f>
        <v>1613.82375</v>
      </c>
      <c r="AB31" s="41" t="n">
        <f aca="false">IF(U31&gt;0,(X31+Y31)/U31,"–")</f>
        <v>1000</v>
      </c>
      <c r="AC31" s="29" t="n">
        <f aca="false">SUMPRODUCT(--($Q$5:$Q$34&lt;Q31))+1</f>
        <v>12</v>
      </c>
      <c r="AD31" s="2" t="str">
        <f aca="false">IF(AND(AH31&gt;0,AI31&gt;=AH31*0.999),"Used to capacity",IF(AI31&gt;0,"Marginal (fills the gap)",IF(Z31&gt;0,"Test only (wk 1–2)","Not used")))</f>
        <v>Used to capacity</v>
      </c>
      <c r="AE31" s="32" t="n">
        <f aca="false">IF(H31&gt;0,Z31/H31,0)</f>
        <v>0</v>
      </c>
      <c r="AF31" s="32" t="n">
        <f aca="false">AE31*I31</f>
        <v>0</v>
      </c>
      <c r="AG31" s="32" t="n">
        <f aca="false">AF31*L31</f>
        <v>0</v>
      </c>
      <c r="AH31" s="32" t="n">
        <f aca="false">MAX(0,N31-AG31)</f>
        <v>1.61382375</v>
      </c>
      <c r="AI31" s="32" t="n">
        <f aca="false">MIN(AH31,MAX(0,T31-S31))</f>
        <v>1.61382375</v>
      </c>
    </row>
    <row r="32" customFormat="false" ht="15" hidden="false" customHeight="false" outlineLevel="0" collapsed="false">
      <c r="A32" s="2" t="s">
        <v>633</v>
      </c>
      <c r="B32" s="2" t="s">
        <v>630</v>
      </c>
      <c r="C32" s="2" t="s">
        <v>54</v>
      </c>
      <c r="D32" s="2" t="s">
        <v>571</v>
      </c>
      <c r="E32" s="2" t="s">
        <v>339</v>
      </c>
      <c r="F32" s="43" t="n">
        <f aca="false">Initiatives!E17</f>
        <v>123.165</v>
      </c>
      <c r="G32" s="2"/>
      <c r="H32" s="43" t="n">
        <f aca="false">F32</f>
        <v>123.165</v>
      </c>
      <c r="I32" s="30" t="n">
        <f aca="false">Initiatives!E14</f>
        <v>0.45</v>
      </c>
      <c r="J32" s="29" t="n">
        <f aca="false">Initiatives!E13</f>
        <v>9</v>
      </c>
      <c r="K32" s="32" t="n">
        <f aca="false">J32*I32</f>
        <v>4.05</v>
      </c>
      <c r="L32" s="31" t="n">
        <f aca="false">INDEX(Funnel!$G$5:$G$8,MATCH(C32,Funnel!$A$5:$A$8,0))*M32</f>
        <v>0.2737</v>
      </c>
      <c r="M32" s="44" t="n">
        <f aca="false">Assumptions!$D$166</f>
        <v>1.15</v>
      </c>
      <c r="N32" s="32" t="n">
        <f aca="false">K32*L32</f>
        <v>1.108485</v>
      </c>
      <c r="O32" s="41" t="n">
        <f aca="false">IF(I32&gt;0,H32/I32,0)</f>
        <v>273.7</v>
      </c>
      <c r="P32" s="41" t="n">
        <f aca="false">IF(N32&gt;0,(N32/L32/I32*H32+0)/N32,0)</f>
        <v>1000</v>
      </c>
      <c r="Q32" s="45" t="n">
        <f aca="false">P32+ROW()/1000000</f>
        <v>1000.000032</v>
      </c>
      <c r="R32" s="29" t="n">
        <f aca="false">SUMPRODUCT(($C$5:$C$34=C32)*($Q$5:$Q$34&lt;Q32))+1</f>
        <v>3</v>
      </c>
      <c r="S32" s="32" t="n">
        <f aca="false">SUMPRODUCT(($C$5:$C$34=C32)*($Q$5:$Q$34&lt;Q32)*$AH$5:$AH$34)</f>
        <v>1.866634</v>
      </c>
      <c r="T32" s="32" t="n">
        <f aca="false">INDEX(Funnel!$B$5:$B$8,MATCH(C32,Funnel!$A$5:$A$8,0))-SUMIFS($AG$5:$AG$34,$C$5:$C$34,C32)</f>
        <v>9.22505909567039</v>
      </c>
      <c r="U32" s="46" t="n">
        <f aca="false">AG32+AI32</f>
        <v>1.108485</v>
      </c>
      <c r="V32" s="32" t="n">
        <f aca="false">IF(L32&gt;0,U32/L32,0)</f>
        <v>4.05</v>
      </c>
      <c r="W32" s="29" t="n">
        <f aca="false">IF(I32&gt;0,V32/I32,0)</f>
        <v>9</v>
      </c>
      <c r="X32" s="41" t="n">
        <f aca="false">IF(E32="Slot",IF(N(G32)&gt;0,ROUNDUP(W32/G32,0)*MAX(0,F32),0),W32*H32)</f>
        <v>1108.485</v>
      </c>
      <c r="Y32" s="41" t="n">
        <f aca="false">IF(U32&gt;0,0,0)</f>
        <v>0</v>
      </c>
      <c r="Z32" s="41" t="n">
        <f aca="false">IF(AND(D32="Channel",OR(E32="CPC",E32="CPA"),INDEX(Funnel!$B$5:$B$8,MATCH(C32,Funnel!$A$5:$A$8,0))&gt;0),MIN(Assumptions!$D$49,J32*H32,IF(I32*L32&gt;0,INDEX(Funnel!$B$5:$B$8,MATCH(C32,Funnel!$A$5:$A$8,0))/SUMPRODUCT(($C$5:$C$34=C32)*($D$5:$D$34="Channel")*(($E$5:$E$34="CPC")+($E$5:$E$34="CPA")))/(I32*L32)*H32,0)),0)</f>
        <v>0</v>
      </c>
      <c r="AA32" s="41" t="n">
        <f aca="false">X32+Y32</f>
        <v>1108.485</v>
      </c>
      <c r="AB32" s="41" t="n">
        <f aca="false">IF(U32&gt;0,(X32+Y32)/U32,"–")</f>
        <v>1000</v>
      </c>
      <c r="AC32" s="29" t="n">
        <f aca="false">SUMPRODUCT(--($Q$5:$Q$34&lt;Q32))+1</f>
        <v>13</v>
      </c>
      <c r="AD32" s="2" t="str">
        <f aca="false">IF(AND(AH32&gt;0,AI32&gt;=AH32*0.999),"Used to capacity",IF(AI32&gt;0,"Marginal (fills the gap)",IF(Z32&gt;0,"Test only (wk 1–2)","Not used")))</f>
        <v>Used to capacity</v>
      </c>
      <c r="AE32" s="32" t="n">
        <f aca="false">IF(H32&gt;0,Z32/H32,0)</f>
        <v>0</v>
      </c>
      <c r="AF32" s="32" t="n">
        <f aca="false">AE32*I32</f>
        <v>0</v>
      </c>
      <c r="AG32" s="32" t="n">
        <f aca="false">AF32*L32</f>
        <v>0</v>
      </c>
      <c r="AH32" s="32" t="n">
        <f aca="false">MAX(0,N32-AG32)</f>
        <v>1.108485</v>
      </c>
      <c r="AI32" s="32" t="n">
        <f aca="false">MIN(AH32,MAX(0,T32-S32))</f>
        <v>1.108485</v>
      </c>
    </row>
    <row r="33" customFormat="false" ht="15" hidden="false" customHeight="false" outlineLevel="0" collapsed="false">
      <c r="A33" s="2" t="s">
        <v>634</v>
      </c>
      <c r="B33" s="2" t="s">
        <v>635</v>
      </c>
      <c r="C33" s="2" t="s">
        <v>48</v>
      </c>
      <c r="D33" s="2" t="s">
        <v>571</v>
      </c>
      <c r="E33" s="2" t="s">
        <v>339</v>
      </c>
      <c r="F33" s="43" t="n">
        <f aca="false">Initiatives!B27</f>
        <v>84</v>
      </c>
      <c r="G33" s="2"/>
      <c r="H33" s="43" t="n">
        <f aca="false">F33</f>
        <v>84</v>
      </c>
      <c r="I33" s="30" t="n">
        <f aca="false">Initiatives!B28</f>
        <v>0.25</v>
      </c>
      <c r="J33" s="29" t="n">
        <f aca="false">Initiatives!B26</f>
        <v>118</v>
      </c>
      <c r="K33" s="32" t="n">
        <f aca="false">J33*I33</f>
        <v>29.5</v>
      </c>
      <c r="L33" s="31" t="n">
        <f aca="false">INDEX(Funnel!$G$5:$G$8,MATCH(C33,Funnel!$A$5:$A$8,0))*M33</f>
        <v>0.2835</v>
      </c>
      <c r="M33" s="44" t="n">
        <f aca="false">Assumptions!$D$171</f>
        <v>0.9</v>
      </c>
      <c r="N33" s="32" t="n">
        <f aca="false">K33*L33</f>
        <v>8.36325</v>
      </c>
      <c r="O33" s="41" t="n">
        <f aca="false">IF(I33&gt;0,H33/I33,0)</f>
        <v>336</v>
      </c>
      <c r="P33" s="41" t="n">
        <f aca="false">IF(N33&gt;0,(N33/L33/I33*H33+Initiatives!B33)/N33,0)</f>
        <v>1328.67007443279</v>
      </c>
      <c r="Q33" s="45" t="n">
        <f aca="false">P33+ROW()/1000000</f>
        <v>1328.67010743279</v>
      </c>
      <c r="R33" s="29" t="n">
        <f aca="false">SUMPRODUCT(($C$5:$C$34=C33)*($Q$5:$Q$34&lt;Q33))+1</f>
        <v>4</v>
      </c>
      <c r="S33" s="32" t="n">
        <f aca="false">SUMPRODUCT(($C$5:$C$34=C33)*($Q$5:$Q$34&lt;Q33)*$AH$5:$AH$34)</f>
        <v>10.46115</v>
      </c>
      <c r="T33" s="32" t="n">
        <f aca="false">INDEX(Funnel!$B$5:$B$8,MATCH(C33,Funnel!$A$5:$A$8,0))-SUMIFS($AG$5:$AG$34,$C$5:$C$34,C33)</f>
        <v>29.1505850361307</v>
      </c>
      <c r="U33" s="46" t="n">
        <f aca="false">AG33+AI33</f>
        <v>8.36325</v>
      </c>
      <c r="V33" s="32" t="n">
        <f aca="false">IF(L33&gt;0,U33/L33,0)</f>
        <v>29.5</v>
      </c>
      <c r="W33" s="29" t="n">
        <f aca="false">IF(I33&gt;0,V33/I33,0)</f>
        <v>118</v>
      </c>
      <c r="X33" s="41" t="n">
        <f aca="false">IF(E33="Slot",IF(N(G33)&gt;0,ROUNDUP(W33/G33,0)*MAX(0,F33),0),W33*H33)</f>
        <v>9912</v>
      </c>
      <c r="Y33" s="41" t="n">
        <f aca="false">IF(U33&gt;0,Initiatives!B33,0)</f>
        <v>1200</v>
      </c>
      <c r="Z33" s="41" t="n">
        <f aca="false">IF(AND(D33="Channel",OR(E33="CPC",E33="CPA"),INDEX(Funnel!$B$5:$B$8,MATCH(C33,Funnel!$A$5:$A$8,0))&gt;0),MIN(Assumptions!$D$49,J33*H33,IF(I33*L33&gt;0,INDEX(Funnel!$B$5:$B$8,MATCH(C33,Funnel!$A$5:$A$8,0))/SUMPRODUCT(($C$5:$C$34=C33)*($D$5:$D$34="Channel")*(($E$5:$E$34="CPC")+($E$5:$E$34="CPA")))/(I33*L33)*H33,0)),0)</f>
        <v>0</v>
      </c>
      <c r="AA33" s="41" t="n">
        <f aca="false">X33+Y33</f>
        <v>11112</v>
      </c>
      <c r="AB33" s="41" t="n">
        <f aca="false">IF(U33&gt;0,(X33+Y33)/U33,"–")</f>
        <v>1328.67007443279</v>
      </c>
      <c r="AC33" s="29" t="n">
        <f aca="false">SUMPRODUCT(--($Q$5:$Q$34&lt;Q33))+1</f>
        <v>14</v>
      </c>
      <c r="AD33" s="2" t="str">
        <f aca="false">IF(AND(AH33&gt;0,AI33&gt;=AH33*0.999),"Used to capacity",IF(AI33&gt;0,"Marginal (fills the gap)",IF(Z33&gt;0,"Test only (wk 1–2)","Not used")))</f>
        <v>Used to capacity</v>
      </c>
      <c r="AE33" s="32" t="n">
        <f aca="false">IF(H33&gt;0,Z33/H33,0)</f>
        <v>0</v>
      </c>
      <c r="AF33" s="32" t="n">
        <f aca="false">AE33*I33</f>
        <v>0</v>
      </c>
      <c r="AG33" s="32" t="n">
        <f aca="false">AF33*L33</f>
        <v>0</v>
      </c>
      <c r="AH33" s="32" t="n">
        <f aca="false">MAX(0,N33-AG33)</f>
        <v>8.36325</v>
      </c>
      <c r="AI33" s="32" t="n">
        <f aca="false">MIN(AH33,MAX(0,T33-S33))</f>
        <v>8.36325</v>
      </c>
    </row>
    <row r="34" customFormat="false" ht="15" hidden="false" customHeight="false" outlineLevel="0" collapsed="false">
      <c r="A34" s="2" t="s">
        <v>636</v>
      </c>
      <c r="B34" s="2" t="s">
        <v>637</v>
      </c>
      <c r="C34" s="2" t="s">
        <v>43</v>
      </c>
      <c r="D34" s="2" t="s">
        <v>571</v>
      </c>
      <c r="E34" s="2" t="s">
        <v>339</v>
      </c>
      <c r="F34" s="43" t="n">
        <f aca="false">Initiatives!B38</f>
        <v>18.75</v>
      </c>
      <c r="G34" s="2"/>
      <c r="H34" s="43" t="n">
        <f aca="false">F34</f>
        <v>18.75</v>
      </c>
      <c r="I34" s="30" t="n">
        <f aca="false">Initiatives!B39</f>
        <v>0.14</v>
      </c>
      <c r="J34" s="29" t="n">
        <f aca="false">Initiatives!B40</f>
        <v>350</v>
      </c>
      <c r="K34" s="32" t="n">
        <f aca="false">J34*I34</f>
        <v>49</v>
      </c>
      <c r="L34" s="31" t="n">
        <f aca="false">INDEX(Funnel!$G$5:$G$8,MATCH(C34,Funnel!$A$5:$A$8,0))*M34</f>
        <v>0.37125</v>
      </c>
      <c r="M34" s="44" t="n">
        <f aca="false">Assumptions!$D$176</f>
        <v>1</v>
      </c>
      <c r="N34" s="32" t="n">
        <f aca="false">MIN(K34*L34,Initiatives!B42)</f>
        <v>18</v>
      </c>
      <c r="O34" s="41" t="n">
        <f aca="false">IF(I34&gt;0,H34/I34,0)</f>
        <v>133.928571428571</v>
      </c>
      <c r="P34" s="41" t="n">
        <f aca="false">IF(N34&gt;0,(N34/L34/I34*H34+Initiatives!B46)/N34,0)</f>
        <v>382.972582972583</v>
      </c>
      <c r="Q34" s="45" t="n">
        <f aca="false">P34+ROW()/1000000</f>
        <v>382.972616972583</v>
      </c>
      <c r="R34" s="29" t="n">
        <f aca="false">SUMPRODUCT(($C$5:$C$34=C34)*($Q$5:$Q$34&lt;Q34))+1</f>
        <v>3</v>
      </c>
      <c r="S34" s="32" t="n">
        <f aca="false">SUMPRODUCT(($C$5:$C$34=C34)*($Q$5:$Q$34&lt;Q34)*$AH$5:$AH$34)</f>
        <v>12.2118975</v>
      </c>
      <c r="T34" s="32" t="n">
        <f aca="false">INDEX(Funnel!$B$5:$B$8,MATCH(C34,Funnel!$A$5:$A$8,0))-SUMIFS($AG$5:$AG$34,$C$5:$C$34,C34)</f>
        <v>43.9989037925826</v>
      </c>
      <c r="U34" s="46" t="n">
        <f aca="false">AG34+AI34</f>
        <v>18</v>
      </c>
      <c r="V34" s="32" t="n">
        <f aca="false">IF(L34&gt;0,U34/L34,0)</f>
        <v>48.4848484848485</v>
      </c>
      <c r="W34" s="29" t="n">
        <f aca="false">IF(I34&gt;0,V34/I34,0)</f>
        <v>346.320346320346</v>
      </c>
      <c r="X34" s="41" t="n">
        <f aca="false">IF(E34="Slot",IF(N(G34)&gt;0,ROUNDUP(W34/G34,0)*MAX(0,F34),0),W34*H34)</f>
        <v>6493.50649350649</v>
      </c>
      <c r="Y34" s="41" t="n">
        <f aca="false">IF(U34&gt;0,Initiatives!B46,0)</f>
        <v>400</v>
      </c>
      <c r="Z34" s="41" t="n">
        <f aca="false">IF(AND(D34="Channel",OR(E34="CPC",E34="CPA"),INDEX(Funnel!$B$5:$B$8,MATCH(C34,Funnel!$A$5:$A$8,0))&gt;0),MIN(Assumptions!$D$49,J34*H34,IF(I34*L34&gt;0,INDEX(Funnel!$B$5:$B$8,MATCH(C34,Funnel!$A$5:$A$8,0))/SUMPRODUCT(($C$5:$C$34=C34)*($D$5:$D$34="Channel")*(($E$5:$E$34="CPC")+($E$5:$E$34="CPA")))/(I34*L34)*H34,0)),0)</f>
        <v>0</v>
      </c>
      <c r="AA34" s="41" t="n">
        <f aca="false">X34+Y34</f>
        <v>6893.50649350649</v>
      </c>
      <c r="AB34" s="41" t="n">
        <f aca="false">IF(U34&gt;0,(X34+Y34)/U34,"–")</f>
        <v>382.972582972583</v>
      </c>
      <c r="AC34" s="29" t="n">
        <f aca="false">SUMPRODUCT(--($Q$5:$Q$34&lt;Q34))+1</f>
        <v>9</v>
      </c>
      <c r="AD34" s="2" t="str">
        <f aca="false">IF(AND(AH34&gt;0,AI34&gt;=AH34*0.999),"Used to capacity",IF(AI34&gt;0,"Marginal (fills the gap)",IF(Z34&gt;0,"Test only (wk 1–2)","Not used")))</f>
        <v>Used to capacity</v>
      </c>
      <c r="AE34" s="32" t="n">
        <f aca="false">IF(H34&gt;0,Z34/H34,0)</f>
        <v>0</v>
      </c>
      <c r="AF34" s="32" t="n">
        <f aca="false">AE34*I34</f>
        <v>0</v>
      </c>
      <c r="AG34" s="32" t="n">
        <f aca="false">AF34*L34</f>
        <v>0</v>
      </c>
      <c r="AH34" s="32" t="n">
        <f aca="false">MAX(0,N34-AG34)</f>
        <v>18</v>
      </c>
      <c r="AI34" s="32" t="n">
        <f aca="false">MIN(AH34,MAX(0,T34-S34))</f>
        <v>18</v>
      </c>
    </row>
    <row r="35" customFormat="false" ht="15" hidden="false" customHeight="false" outlineLevel="0" collapsed="false">
      <c r="A35" s="28" t="s">
        <v>463</v>
      </c>
      <c r="J35" s="33" t="n">
        <f aca="false">SUM(J5:J34)</f>
        <v>10564.32</v>
      </c>
      <c r="K35" s="35" t="n">
        <f aca="false">SUM(K5:K34)</f>
        <v>2169.059</v>
      </c>
      <c r="N35" s="35" t="n">
        <f aca="false">SUM(N5:N34)</f>
        <v>749.5696905</v>
      </c>
      <c r="U35" s="35" t="n">
        <f aca="false">SUM(U5:U34)</f>
        <v>100</v>
      </c>
      <c r="V35" s="35" t="n">
        <f aca="false">SUM(V5:V34)</f>
        <v>307.973076082958</v>
      </c>
      <c r="W35" s="33" t="n">
        <f aca="false">SUM(W5:W34)</f>
        <v>1494.57524317419</v>
      </c>
      <c r="X35" s="42" t="n">
        <f aca="false">SUM(X5:X34)</f>
        <v>100655.847555873</v>
      </c>
      <c r="Y35" s="42" t="n">
        <f aca="false">SUM(Y5:Y34)</f>
        <v>1600</v>
      </c>
      <c r="Z35" s="42" t="n">
        <f aca="false">SUM(Z5:Z34)</f>
        <v>9000</v>
      </c>
      <c r="AA35" s="42" t="n">
        <f aca="false">SUM(AA5:AA34)</f>
        <v>102255.847555873</v>
      </c>
      <c r="AB35" s="42" t="n">
        <f aca="false">IF(U35&gt;0,(X35+Y35)/U35,0)</f>
        <v>1022.55847555873</v>
      </c>
      <c r="AE35" s="33" t="n">
        <f aca="false">SUM(AE5:AE34)</f>
        <v>68.8754597661265</v>
      </c>
      <c r="AF35" s="35" t="n">
        <f aca="false">SUM(AF5:AF34)</f>
        <v>12.1883544710087</v>
      </c>
      <c r="AG35" s="35" t="n">
        <f aca="false">SUM(AG5:AG34)</f>
        <v>3.62881226184874</v>
      </c>
      <c r="AI35" s="35" t="n">
        <f aca="false">SUM(AI5:AI34)</f>
        <v>96.3711877381513</v>
      </c>
    </row>
    <row r="37" customFormat="false" ht="15" hidden="false" customHeight="false" outlineLevel="0" collapsed="false">
      <c r="A37" s="28" t="s">
        <v>638</v>
      </c>
    </row>
    <row r="38" customFormat="false" ht="64.9" hidden="false" customHeight="false" outlineLevel="0" collapsed="false">
      <c r="A38" s="12"/>
      <c r="B38" s="12" t="s">
        <v>322</v>
      </c>
      <c r="C38" s="12" t="s">
        <v>47</v>
      </c>
      <c r="D38" s="12" t="s">
        <v>639</v>
      </c>
      <c r="E38" s="12" t="s">
        <v>640</v>
      </c>
    </row>
    <row r="39" customFormat="false" ht="15" hidden="false" customHeight="false" outlineLevel="0" collapsed="false">
      <c r="B39" s="2" t="s">
        <v>48</v>
      </c>
      <c r="C39" s="29" t="n">
        <f aca="false">Funnel!B5</f>
        <v>30</v>
      </c>
      <c r="D39" s="32" t="n">
        <f aca="false">SUMIFS($U$5:$U$34,$C$5:$C$34,B39)</f>
        <v>30</v>
      </c>
      <c r="E39" s="32" t="n">
        <f aca="false">IF(C39-D39&gt;0.05,C39-D39,0)</f>
        <v>0</v>
      </c>
    </row>
    <row r="40" customFormat="false" ht="15" hidden="false" customHeight="false" outlineLevel="0" collapsed="false">
      <c r="B40" s="2" t="s">
        <v>43</v>
      </c>
      <c r="C40" s="29" t="n">
        <f aca="false">Funnel!B6</f>
        <v>45</v>
      </c>
      <c r="D40" s="32" t="n">
        <f aca="false">SUMIFS($U$5:$U$34,$C$5:$C$34,B40)</f>
        <v>45</v>
      </c>
      <c r="E40" s="32" t="n">
        <f aca="false">IF(C40-D40&gt;0.05,C40-D40,0)</f>
        <v>0</v>
      </c>
    </row>
    <row r="41" customFormat="false" ht="15" hidden="false" customHeight="false" outlineLevel="0" collapsed="false">
      <c r="B41" s="2" t="s">
        <v>52</v>
      </c>
      <c r="C41" s="29" t="n">
        <f aca="false">Funnel!B7</f>
        <v>15</v>
      </c>
      <c r="D41" s="32" t="n">
        <f aca="false">SUMIFS($U$5:$U$34,$C$5:$C$34,B41)</f>
        <v>15</v>
      </c>
      <c r="E41" s="32" t="n">
        <f aca="false">IF(C41-D41&gt;0.05,C41-D41,0)</f>
        <v>0</v>
      </c>
    </row>
    <row r="42" customFormat="false" ht="15" hidden="false" customHeight="false" outlineLevel="0" collapsed="false">
      <c r="B42" s="2" t="s">
        <v>54</v>
      </c>
      <c r="C42" s="29" t="n">
        <f aca="false">Funnel!B8</f>
        <v>10</v>
      </c>
      <c r="D42" s="32" t="n">
        <f aca="false">SUMIFS($U$5:$U$34,$C$5:$C$34,B42)</f>
        <v>10</v>
      </c>
      <c r="E42" s="32" t="n">
        <f aca="false">IF(C42-D42&gt;0.05,C42-D42,0)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P9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1" outlineLevelCol="0"/>
  <cols>
    <col collapsed="false" customWidth="true" hidden="false" outlineLevel="0" max="1" min="1" style="0" width="8"/>
    <col collapsed="false" customWidth="true" hidden="false" outlineLevel="0" max="2" min="2" style="0" width="50"/>
    <col collapsed="false" customWidth="true" hidden="false" outlineLevel="0" max="9" min="3" style="0" width="16"/>
    <col collapsed="false" customWidth="true" hidden="false" outlineLevel="0" max="15" min="10" style="0" width="13"/>
  </cols>
  <sheetData>
    <row r="1" customFormat="false" ht="17.35" hidden="false" customHeight="false" outlineLevel="0" collapsed="false">
      <c r="B1" s="1" t="s">
        <v>641</v>
      </c>
    </row>
    <row r="2" customFormat="false" ht="15" hidden="false" customHeight="false" outlineLevel="0" collapsed="false">
      <c r="B2" s="2" t="str">
        <f aca="false">"How: planned spend = paid media + initiatives + set-up (from Channels); reserve = "&amp;TEXT(Assumptions!$D$48,"0%")&amp;" of the total; rounded up to the next €"&amp;TEXT(Assumptions!$D$51,"#,##0")&amp;"."</f>
        <v>How: planned spend = paid media + initiatives + set-up (from Channels); reserve = 15% of the total; rounded up to the next €2,500.</v>
      </c>
    </row>
    <row r="4" customFormat="false" ht="15" hidden="false" customHeight="false" outlineLevel="0" collapsed="false">
      <c r="B4" s="2" t="s">
        <v>642</v>
      </c>
      <c r="C4" s="41" t="n">
        <f aca="false">SUMIFS(Channels!X5:X34,Channels!D5:D34,"Channel")</f>
        <v>73209.313562367</v>
      </c>
    </row>
    <row r="5" customFormat="false" ht="15" hidden="false" customHeight="false" outlineLevel="0" collapsed="false">
      <c r="B5" s="2" t="s">
        <v>643</v>
      </c>
      <c r="C5" s="41" t="n">
        <f aca="false">SUMIFS(Channels!X5:X34,Channels!D5:D34,"Initiative")</f>
        <v>27446.5339935065</v>
      </c>
    </row>
    <row r="6" customFormat="false" ht="15" hidden="false" customHeight="false" outlineLevel="0" collapsed="false">
      <c r="B6" s="2" t="s">
        <v>644</v>
      </c>
      <c r="C6" s="41" t="n">
        <f aca="false">Channels!Y35</f>
        <v>1600</v>
      </c>
    </row>
    <row r="7" customFormat="false" ht="15" hidden="false" customHeight="false" outlineLevel="0" collapsed="false">
      <c r="B7" s="2" t="s">
        <v>645</v>
      </c>
      <c r="C7" s="41" t="n">
        <f aca="false">C4+C5+C6</f>
        <v>102255.847555873</v>
      </c>
    </row>
    <row r="8" customFormat="false" ht="15" hidden="false" customHeight="false" outlineLevel="0" collapsed="false">
      <c r="B8" s="2" t="s">
        <v>646</v>
      </c>
      <c r="C8" s="41" t="n">
        <f aca="false">Channels!Z35</f>
        <v>9000</v>
      </c>
    </row>
    <row r="9" customFormat="false" ht="15" hidden="false" customHeight="false" outlineLevel="0" collapsed="false">
      <c r="B9" s="2" t="s">
        <v>647</v>
      </c>
      <c r="C9" s="41" t="n">
        <f aca="false">C7</f>
        <v>102255.847555873</v>
      </c>
    </row>
    <row r="10" customFormat="false" ht="15" hidden="false" customHeight="false" outlineLevel="0" collapsed="false">
      <c r="B10" s="2" t="s">
        <v>648</v>
      </c>
      <c r="C10" s="41" t="n">
        <f aca="false">IF(Assumptions!$D$48&lt;1,C9/(1-Assumptions!$D$48)*Assumptions!$D$48,0)</f>
        <v>18045.1495686836</v>
      </c>
    </row>
    <row r="11" customFormat="false" ht="15" hidden="false" customHeight="false" outlineLevel="0" collapsed="false">
      <c r="B11" s="2" t="s">
        <v>649</v>
      </c>
      <c r="C11" s="41" t="n">
        <f aca="false">C9+C10</f>
        <v>120300.997124557</v>
      </c>
    </row>
    <row r="12" customFormat="false" ht="15" hidden="false" customHeight="false" outlineLevel="0" collapsed="false">
      <c r="B12" s="28" t="s">
        <v>650</v>
      </c>
      <c r="C12" s="4" t="n">
        <f aca="false">IF(Assumptions!$D$51&gt;0,ROUNDUP(C11/Assumptions!$D$51,0)*Assumptions!$D$51,C11)</f>
        <v>122500</v>
      </c>
    </row>
    <row r="13" customFormat="false" ht="15" hidden="false" customHeight="false" outlineLevel="0" collapsed="false">
      <c r="B13" s="2" t="s">
        <v>651</v>
      </c>
      <c r="C13" s="46" t="n">
        <f aca="false">MIN(Channels!U35,Funnel!B26)</f>
        <v>100</v>
      </c>
    </row>
    <row r="14" customFormat="false" ht="15" hidden="false" customHeight="false" outlineLevel="0" collapsed="false">
      <c r="B14" s="2" t="s">
        <v>652</v>
      </c>
      <c r="C14" s="47" t="n">
        <f aca="false">IF(C13&gt;0,C9/C13,0)</f>
        <v>1022.55847555873</v>
      </c>
    </row>
    <row r="15" customFormat="false" ht="15" hidden="false" customHeight="false" outlineLevel="0" collapsed="false">
      <c r="B15" s="2" t="s">
        <v>653</v>
      </c>
      <c r="C15" s="41" t="n">
        <f aca="false">IF(C13&gt;0,C12/C13,0)</f>
        <v>1225</v>
      </c>
    </row>
    <row r="16" customFormat="false" ht="15" hidden="false" customHeight="false" outlineLevel="0" collapsed="false">
      <c r="B16" s="2" t="s">
        <v>654</v>
      </c>
      <c r="C16" s="30" t="n">
        <f aca="false">IF(C12&gt;0,Weekly!N5/C12,0)</f>
        <v>0.397471746280603</v>
      </c>
    </row>
    <row r="19" customFormat="false" ht="15" hidden="false" customHeight="false" outlineLevel="0" collapsed="false">
      <c r="B19" s="28" t="s">
        <v>655</v>
      </c>
    </row>
    <row r="20" customFormat="false" ht="26.85" hidden="false" customHeight="false" outlineLevel="0" collapsed="false">
      <c r="A20" s="12"/>
      <c r="B20" s="12" t="s">
        <v>322</v>
      </c>
      <c r="C20" s="12" t="s">
        <v>656</v>
      </c>
      <c r="D20" s="12" t="s">
        <v>613</v>
      </c>
      <c r="E20" s="12" t="s">
        <v>657</v>
      </c>
      <c r="F20" s="12" t="s">
        <v>615</v>
      </c>
      <c r="G20" s="12" t="s">
        <v>658</v>
      </c>
      <c r="H20" s="12" t="s">
        <v>659</v>
      </c>
      <c r="I20" s="12" t="s">
        <v>660</v>
      </c>
    </row>
    <row r="21" customFormat="false" ht="15" hidden="false" customHeight="false" outlineLevel="0" collapsed="false">
      <c r="B21" s="2" t="s">
        <v>48</v>
      </c>
      <c r="C21" s="41" t="n">
        <f aca="false">SUMIFS(Channels!$X$5:$X$34,Channels!$C$5:$C$34,B21)</f>
        <v>37932.7629215808</v>
      </c>
      <c r="D21" s="41" t="n">
        <f aca="false">SUMIFS(Channels!$Y$5:$Y$34,Channels!$C$5:$C$34,B21)</f>
        <v>1200</v>
      </c>
      <c r="E21" s="41" t="n">
        <f aca="false">SUMIFS(Channels!$Z$5:$Z$34,Channels!$C$5:$C$34,B21)</f>
        <v>2250</v>
      </c>
      <c r="F21" s="41" t="n">
        <f aca="false">C21+D21</f>
        <v>39132.7629215808</v>
      </c>
      <c r="G21" s="32" t="n">
        <f aca="false">SUMIFS(Channels!$U$5:$U$34,Channels!$C$5:$C$34,B21)</f>
        <v>30</v>
      </c>
      <c r="H21" s="41" t="n">
        <f aca="false">IF(G21&gt;0,F21/G21,0)</f>
        <v>1304.42543071936</v>
      </c>
      <c r="I21" s="32" t="n">
        <f aca="false">SUMIFS(Channels!$V$5:$V$34,Channels!$C$5:$C$34,B21)</f>
        <v>96.2530952380952</v>
      </c>
    </row>
    <row r="22" customFormat="false" ht="15" hidden="false" customHeight="false" outlineLevel="0" collapsed="false">
      <c r="B22" s="2" t="s">
        <v>43</v>
      </c>
      <c r="C22" s="41" t="n">
        <f aca="false">SUMIFS(Channels!$X$5:$X$34,Channels!$C$5:$C$34,B22)</f>
        <v>29741.0596128987</v>
      </c>
      <c r="D22" s="41" t="n">
        <f aca="false">SUMIFS(Channels!$Y$5:$Y$34,Channels!$C$5:$C$34,B22)</f>
        <v>400</v>
      </c>
      <c r="E22" s="41" t="n">
        <f aca="false">SUMIFS(Channels!$Z$5:$Z$34,Channels!$C$5:$C$34,B22)</f>
        <v>2250</v>
      </c>
      <c r="F22" s="41" t="n">
        <f aca="false">C22+D22</f>
        <v>30141.0596128987</v>
      </c>
      <c r="G22" s="32" t="n">
        <f aca="false">SUMIFS(Channels!$U$5:$U$34,Channels!$C$5:$C$34,B22)</f>
        <v>45</v>
      </c>
      <c r="H22" s="41" t="n">
        <f aca="false">IF(G22&gt;0,F22/G22,0)</f>
        <v>669.801324731083</v>
      </c>
      <c r="I22" s="32" t="n">
        <f aca="false">SUMIFS(Channels!$V$5:$V$34,Channels!$C$5:$C$34,B22)</f>
        <v>118.773121212121</v>
      </c>
    </row>
    <row r="23" customFormat="false" ht="15" hidden="false" customHeight="false" outlineLevel="0" collapsed="false">
      <c r="B23" s="2" t="s">
        <v>52</v>
      </c>
      <c r="C23" s="41" t="n">
        <f aca="false">SUMIFS(Channels!$X$5:$X$34,Channels!$C$5:$C$34,B23)</f>
        <v>17435.2721940006</v>
      </c>
      <c r="D23" s="41" t="n">
        <f aca="false">SUMIFS(Channels!$Y$5:$Y$34,Channels!$C$5:$C$34,B23)</f>
        <v>0</v>
      </c>
      <c r="E23" s="41" t="n">
        <f aca="false">SUMIFS(Channels!$Z$5:$Z$34,Channels!$C$5:$C$34,B23)</f>
        <v>2250</v>
      </c>
      <c r="F23" s="41" t="n">
        <f aca="false">C23+D23</f>
        <v>17435.2721940006</v>
      </c>
      <c r="G23" s="32" t="n">
        <f aca="false">SUMIFS(Channels!$U$5:$U$34,Channels!$C$5:$C$34,B23)</f>
        <v>15</v>
      </c>
      <c r="H23" s="41" t="n">
        <f aca="false">IF(G23&gt;0,F23/G23,0)</f>
        <v>1162.35147960004</v>
      </c>
      <c r="I23" s="32" t="n">
        <f aca="false">SUMIFS(Channels!$V$5:$V$34,Channels!$C$5:$C$34,B23)</f>
        <v>51.8255529100529</v>
      </c>
    </row>
    <row r="24" customFormat="false" ht="15" hidden="false" customHeight="false" outlineLevel="0" collapsed="false">
      <c r="B24" s="2" t="s">
        <v>54</v>
      </c>
      <c r="C24" s="41" t="n">
        <f aca="false">SUMIFS(Channels!$X$5:$X$34,Channels!$C$5:$C$34,B24)</f>
        <v>15546.7528273933</v>
      </c>
      <c r="D24" s="41" t="n">
        <f aca="false">SUMIFS(Channels!$Y$5:$Y$34,Channels!$C$5:$C$34,B24)</f>
        <v>0</v>
      </c>
      <c r="E24" s="41" t="n">
        <f aca="false">SUMIFS(Channels!$Z$5:$Z$34,Channels!$C$5:$C$34,B24)</f>
        <v>2250</v>
      </c>
      <c r="F24" s="41" t="n">
        <f aca="false">C24+D24</f>
        <v>15546.7528273933</v>
      </c>
      <c r="G24" s="32" t="n">
        <f aca="false">SUMIFS(Channels!$U$5:$U$34,Channels!$C$5:$C$34,B24)</f>
        <v>10</v>
      </c>
      <c r="H24" s="41" t="n">
        <f aca="false">IF(G24&gt;0,F24/G24,0)</f>
        <v>1554.67528273933</v>
      </c>
      <c r="I24" s="32" t="n">
        <f aca="false">SUMIFS(Channels!$V$5:$V$34,Channels!$C$5:$C$34,B24)</f>
        <v>41.1213067226891</v>
      </c>
    </row>
    <row r="25" customFormat="false" ht="15" hidden="false" customHeight="false" outlineLevel="0" collapsed="false">
      <c r="B25" s="28" t="s">
        <v>463</v>
      </c>
      <c r="C25" s="42" t="n">
        <f aca="false">SUM(C21:C24)</f>
        <v>100655.847555873</v>
      </c>
      <c r="D25" s="42" t="n">
        <f aca="false">SUM(D21:D24)</f>
        <v>1600</v>
      </c>
      <c r="E25" s="42" t="n">
        <f aca="false">SUM(E21:E24)</f>
        <v>9000</v>
      </c>
      <c r="F25" s="42" t="n">
        <f aca="false">SUM(F21:F24)</f>
        <v>102255.847555873</v>
      </c>
      <c r="G25" s="35" t="n">
        <f aca="false">SUM(G21:G24)</f>
        <v>100</v>
      </c>
      <c r="H25" s="42" t="n">
        <f aca="false">IF(G25&gt;0,F25/G25,0)</f>
        <v>1022.55847555873</v>
      </c>
      <c r="I25" s="35" t="n">
        <f aca="false">SUM(I21:I24)</f>
        <v>307.973076082958</v>
      </c>
    </row>
    <row r="27" customFormat="false" ht="15" hidden="false" customHeight="false" outlineLevel="0" collapsed="false">
      <c r="B27" s="28" t="s">
        <v>661</v>
      </c>
    </row>
    <row r="28" customFormat="false" ht="26.85" hidden="false" customHeight="false" outlineLevel="0" collapsed="false">
      <c r="A28" s="12"/>
      <c r="B28" s="12" t="s">
        <v>321</v>
      </c>
      <c r="C28" s="12" t="s">
        <v>615</v>
      </c>
      <c r="D28" s="12" t="s">
        <v>658</v>
      </c>
      <c r="E28" s="12" t="s">
        <v>659</v>
      </c>
      <c r="F28" s="12" t="s">
        <v>662</v>
      </c>
    </row>
    <row r="29" customFormat="false" ht="15" hidden="false" customHeight="false" outlineLevel="0" collapsed="false">
      <c r="B29" s="2" t="s">
        <v>331</v>
      </c>
      <c r="C29" s="41" t="n">
        <f aca="false">SUMIFS(Channels!$AA$5:$AA$34,Channels!$B$5:$B$34,B29)</f>
        <v>0</v>
      </c>
      <c r="D29" s="32" t="n">
        <f aca="false">SUMIFS(Channels!$U$5:$U$34,Channels!$B$5:$B$34,B29)</f>
        <v>20.02378</v>
      </c>
      <c r="E29" s="41" t="n">
        <f aca="false">IF(D29&gt;0,C29/D29,"–")</f>
        <v>0</v>
      </c>
      <c r="F29" s="30" t="n">
        <f aca="false">IF($C$9&gt;0,C29/$C$9,0)</f>
        <v>0</v>
      </c>
    </row>
    <row r="30" customFormat="false" ht="15" hidden="false" customHeight="false" outlineLevel="0" collapsed="false">
      <c r="B30" s="2" t="s">
        <v>338</v>
      </c>
      <c r="C30" s="41" t="n">
        <f aca="false">SUMIFS(Channels!$AA$5:$AA$34,Channels!$B$5:$B$34,B30)</f>
        <v>35674.597290973</v>
      </c>
      <c r="D30" s="32" t="n">
        <f aca="false">SUMIFS(Channels!$U$5:$U$34,Channels!$B$5:$B$34,B30)</f>
        <v>16.6582030911356</v>
      </c>
      <c r="E30" s="41" t="n">
        <f aca="false">IF(D30&gt;0,C30/D30,"–")</f>
        <v>2141.56335445068</v>
      </c>
      <c r="F30" s="30" t="n">
        <f aca="false">IF($C$9&gt;0,C30/$C$9,0)</f>
        <v>0.348875865230887</v>
      </c>
    </row>
    <row r="31" customFormat="false" ht="15" hidden="false" customHeight="false" outlineLevel="0" collapsed="false">
      <c r="B31" s="2" t="s">
        <v>345</v>
      </c>
      <c r="C31" s="41" t="n">
        <f aca="false">SUMIFS(Channels!$AA$5:$AA$34,Channels!$B$5:$B$34,B31)</f>
        <v>5796</v>
      </c>
      <c r="D31" s="32" t="n">
        <f aca="false">SUMIFS(Channels!$U$5:$U$34,Channels!$B$5:$B$34,B31)</f>
        <v>3.70575</v>
      </c>
      <c r="E31" s="41" t="n">
        <f aca="false">IF(D31&gt;0,C31/D31,"–")</f>
        <v>1564.05585913783</v>
      </c>
      <c r="F31" s="30" t="n">
        <f aca="false">IF($C$9&gt;0,C31/$C$9,0)</f>
        <v>0.0566813550377451</v>
      </c>
    </row>
    <row r="32" customFormat="false" ht="15" hidden="false" customHeight="false" outlineLevel="0" collapsed="false">
      <c r="B32" s="2" t="s">
        <v>352</v>
      </c>
      <c r="C32" s="41" t="n">
        <f aca="false">SUMIFS(Channels!$AA$5:$AA$34,Channels!$B$5:$B$34,B32)</f>
        <v>27238.7162713939</v>
      </c>
      <c r="D32" s="32" t="n">
        <f aca="false">SUMIFS(Channels!$U$5:$U$34,Channels!$B$5:$B$34,B32)</f>
        <v>16.143187128188</v>
      </c>
      <c r="E32" s="41" t="n">
        <f aca="false">IF(D32&gt;0,C32/D32,"–")</f>
        <v>1687.31961384699</v>
      </c>
      <c r="F32" s="30" t="n">
        <f aca="false">IF($C$9&gt;0,C32/$C$9,0)</f>
        <v>0.266378079322167</v>
      </c>
    </row>
    <row r="33" customFormat="false" ht="15" hidden="false" customHeight="false" outlineLevel="0" collapsed="false">
      <c r="B33" s="2" t="s">
        <v>356</v>
      </c>
      <c r="C33" s="41" t="n">
        <f aca="false">SUMIFS(Channels!$AA$5:$AA$34,Channels!$B$5:$B$34,B33)</f>
        <v>1500</v>
      </c>
      <c r="D33" s="32" t="n">
        <f aca="false">SUMIFS(Channels!$U$5:$U$34,Channels!$B$5:$B$34,B33)</f>
        <v>0.628041294642857</v>
      </c>
      <c r="E33" s="41" t="n">
        <f aca="false">IF(D33&gt;0,C33/D33,"–")</f>
        <v>2388.37798214048</v>
      </c>
      <c r="F33" s="30" t="n">
        <f aca="false">IF($C$9&gt;0,C33/$C$9,0)</f>
        <v>0.0146690877426876</v>
      </c>
    </row>
    <row r="34" customFormat="false" ht="15" hidden="false" customHeight="false" outlineLevel="0" collapsed="false">
      <c r="B34" s="2" t="s">
        <v>360</v>
      </c>
      <c r="C34" s="41" t="n">
        <f aca="false">SUMIFS(Channels!$AA$5:$AA$34,Channels!$B$5:$B$34,B34)</f>
        <v>3000</v>
      </c>
      <c r="D34" s="32" t="n">
        <f aca="false">SUMIFS(Channels!$U$5:$U$34,Channels!$B$5:$B$34,B34)</f>
        <v>0.87160998603352</v>
      </c>
      <c r="E34" s="41" t="n">
        <f aca="false">IF(D34&gt;0,C34/D34,"–")</f>
        <v>3441.90641235337</v>
      </c>
      <c r="F34" s="30" t="n">
        <f aca="false">IF($C$9&gt;0,C34/$C$9,0)</f>
        <v>0.0293381754853753</v>
      </c>
    </row>
    <row r="35" customFormat="false" ht="15" hidden="false" customHeight="false" outlineLevel="0" collapsed="false">
      <c r="B35" s="2" t="s">
        <v>625</v>
      </c>
      <c r="C35" s="41" t="n">
        <f aca="false">SUMIFS(Channels!$AA$5:$AA$34,Channels!$B$5:$B$34,B35)</f>
        <v>63.3</v>
      </c>
      <c r="D35" s="32" t="n">
        <f aca="false">SUMIFS(Channels!$U$5:$U$34,Channels!$B$5:$B$34,B35)</f>
        <v>4.628451</v>
      </c>
      <c r="E35" s="41" t="n">
        <f aca="false">IF(D35&gt;0,C35/D35,"–")</f>
        <v>13.6762817625162</v>
      </c>
      <c r="F35" s="30" t="n">
        <f aca="false">IF($C$9&gt;0,C35/$C$9,0)</f>
        <v>0.000619035502741419</v>
      </c>
    </row>
    <row r="36" customFormat="false" ht="15" hidden="false" customHeight="false" outlineLevel="0" collapsed="false">
      <c r="B36" s="2" t="s">
        <v>630</v>
      </c>
      <c r="C36" s="41" t="n">
        <f aca="false">SUMIFS(Channels!$AA$5:$AA$34,Channels!$B$5:$B$34,B36)</f>
        <v>10977.7275</v>
      </c>
      <c r="D36" s="32" t="n">
        <f aca="false">SUMIFS(Channels!$U$5:$U$34,Channels!$B$5:$B$34,B36)</f>
        <v>10.9777275</v>
      </c>
      <c r="E36" s="41" t="n">
        <f aca="false">IF(D36&gt;0,C36/D36,"–")</f>
        <v>1000</v>
      </c>
      <c r="F36" s="30" t="n">
        <f aca="false">IF($C$9&gt;0,C36/$C$9,0)</f>
        <v>0.107355498608543</v>
      </c>
    </row>
    <row r="37" customFormat="false" ht="15" hidden="false" customHeight="false" outlineLevel="0" collapsed="false">
      <c r="B37" s="2" t="s">
        <v>635</v>
      </c>
      <c r="C37" s="41" t="n">
        <f aca="false">SUMIFS(Channels!$AA$5:$AA$34,Channels!$B$5:$B$34,B37)</f>
        <v>11112</v>
      </c>
      <c r="D37" s="32" t="n">
        <f aca="false">SUMIFS(Channels!$U$5:$U$34,Channels!$B$5:$B$34,B37)</f>
        <v>8.36325</v>
      </c>
      <c r="E37" s="41" t="n">
        <f aca="false">IF(D37&gt;0,C37/D37,"–")</f>
        <v>1328.67007443279</v>
      </c>
      <c r="F37" s="30" t="n">
        <f aca="false">IF($C$9&gt;0,C37/$C$9,0)</f>
        <v>0.10866860199783</v>
      </c>
    </row>
    <row r="38" customFormat="false" ht="15" hidden="false" customHeight="false" outlineLevel="0" collapsed="false">
      <c r="B38" s="2" t="s">
        <v>637</v>
      </c>
      <c r="C38" s="41" t="n">
        <f aca="false">SUMIFS(Channels!$AA$5:$AA$34,Channels!$B$5:$B$34,B38)</f>
        <v>6893.50649350649</v>
      </c>
      <c r="D38" s="32" t="n">
        <f aca="false">SUMIFS(Channels!$U$5:$U$34,Channels!$B$5:$B$34,B38)</f>
        <v>18</v>
      </c>
      <c r="E38" s="41" t="n">
        <f aca="false">IF(D38&gt;0,C38/D38,"–")</f>
        <v>382.972582972583</v>
      </c>
      <c r="F38" s="30" t="n">
        <f aca="false">IF($C$9&gt;0,C38/$C$9,0)</f>
        <v>0.0674143010720225</v>
      </c>
    </row>
    <row r="39" customFormat="false" ht="15" hidden="false" customHeight="false" outlineLevel="0" collapsed="false">
      <c r="B39" s="28" t="s">
        <v>463</v>
      </c>
      <c r="C39" s="42" t="n">
        <f aca="false">SUM(C29:C38)</f>
        <v>102255.847555873</v>
      </c>
      <c r="D39" s="35" t="n">
        <f aca="false">SUM(D29:D38)</f>
        <v>100</v>
      </c>
    </row>
    <row r="40" customFormat="false" ht="15" hidden="false" customHeight="false" outlineLevel="0" collapsed="false">
      <c r="B40" s="2" t="str">
        <f aca="false">IF(LEFT(Summary!$C$19,1)&lt;&gt;"✓",Summary!$C$19,IF(Assumptions!$D$48&gt;=1,"✗ reserve share must be below 100%",IF(ABS(C39-C9)&lt;1,"✓ ties to planned spend","✗ check: channel totals ≠ planned spend")))</f>
        <v>✓ ties to planned spend</v>
      </c>
    </row>
    <row r="42" customFormat="false" ht="15" hidden="false" customHeight="false" outlineLevel="0" collapsed="false">
      <c r="B42" s="28" t="s">
        <v>663</v>
      </c>
    </row>
    <row r="43" customFormat="false" ht="52.2" hidden="false" customHeight="false" outlineLevel="0" collapsed="false">
      <c r="B43" s="13" t="str">
        <f aca="false">"If money is cut: drop the most expensive cost-per-hire cells first and keep the reserve at "&amp;TEXT(Assumptions!$D$48,"0%")&amp;". If assessment slots run out, hires are capped (scenario detail below)."</f>
        <v>If money is cut: drop the most expensive cost-per-hire cells first and keep the reserve at 15%. If assessment slots run out, hires are capped (scenario detail below).</v>
      </c>
    </row>
    <row r="44" customFormat="false" ht="15" hidden="false" customHeight="false" outlineLevel="0" collapsed="false">
      <c r="A44" s="12"/>
      <c r="B44" s="12" t="s">
        <v>664</v>
      </c>
      <c r="C44" s="12" t="s">
        <v>665</v>
      </c>
      <c r="D44" s="12" t="s">
        <v>48</v>
      </c>
      <c r="E44" s="12" t="s">
        <v>43</v>
      </c>
      <c r="F44" s="12" t="s">
        <v>52</v>
      </c>
      <c r="G44" s="12" t="s">
        <v>54</v>
      </c>
      <c r="H44" s="12" t="s">
        <v>666</v>
      </c>
      <c r="I44" s="12" t="s">
        <v>659</v>
      </c>
    </row>
    <row r="45" customFormat="false" ht="15" hidden="false" customHeight="false" outlineLevel="0" collapsed="false">
      <c r="B45" s="30" t="n">
        <f aca="false">Budget!F51</f>
        <v>1</v>
      </c>
      <c r="C45" s="41" t="n">
        <f aca="false">Budget!F52</f>
        <v>122500</v>
      </c>
      <c r="D45" s="32" t="n">
        <f aca="false">Budget!F87</f>
        <v>30</v>
      </c>
      <c r="E45" s="32" t="n">
        <f aca="false">Budget!F88</f>
        <v>45</v>
      </c>
      <c r="F45" s="32" t="n">
        <f aca="false">Budget!F89</f>
        <v>15</v>
      </c>
      <c r="G45" s="32" t="n">
        <f aca="false">Budget!F90</f>
        <v>10</v>
      </c>
      <c r="H45" s="35" t="n">
        <f aca="false">SUM(D45:G45)</f>
        <v>100</v>
      </c>
      <c r="I45" s="41" t="n">
        <f aca="false">IF(H45&gt;0,C45/H45,0)</f>
        <v>1225</v>
      </c>
    </row>
    <row r="46" customFormat="false" ht="15" hidden="false" customHeight="false" outlineLevel="0" collapsed="false">
      <c r="B46" s="30" t="n">
        <f aca="false">Budget!G51</f>
        <v>0.7</v>
      </c>
      <c r="C46" s="41" t="n">
        <f aca="false">Budget!G52</f>
        <v>85750</v>
      </c>
      <c r="D46" s="32" t="n">
        <f aca="false">Budget!G87</f>
        <v>20.5254</v>
      </c>
      <c r="E46" s="32" t="n">
        <f aca="false">Budget!G88</f>
        <v>43.9800408706604</v>
      </c>
      <c r="F46" s="32" t="n">
        <f aca="false">Budget!G89</f>
        <v>14.4949796575176</v>
      </c>
      <c r="G46" s="32" t="n">
        <f aca="false">Budget!G90</f>
        <v>8.05738580303432</v>
      </c>
      <c r="H46" s="35" t="n">
        <f aca="false">SUM(D46:G46)</f>
        <v>87.0578063312124</v>
      </c>
      <c r="I46" s="41" t="n">
        <f aca="false">IF(H46&gt;0,C46/H46,0)</f>
        <v>984.977724728822</v>
      </c>
    </row>
    <row r="49" customFormat="false" ht="17.35" hidden="false" customHeight="false" outlineLevel="0" collapsed="false">
      <c r="A49" s="1" t="s">
        <v>667</v>
      </c>
    </row>
    <row r="50" customFormat="false" ht="15" hidden="false" customHeight="false" outlineLevel="0" collapsed="false">
      <c r="A50" s="2" t="s">
        <v>668</v>
      </c>
    </row>
    <row r="51" customFormat="false" ht="15" hidden="false" customHeight="false" outlineLevel="0" collapsed="false">
      <c r="E51" s="28" t="s">
        <v>669</v>
      </c>
      <c r="F51" s="48" t="n">
        <f aca="false">1</f>
        <v>1</v>
      </c>
      <c r="G51" s="48" t="n">
        <f aca="false">1-Assumptions!$D$52</f>
        <v>0.7</v>
      </c>
    </row>
    <row r="52" customFormat="false" ht="15" hidden="false" customHeight="false" outlineLevel="0" collapsed="false">
      <c r="E52" s="2" t="s">
        <v>665</v>
      </c>
      <c r="F52" s="41" t="n">
        <f aca="false">Budget!$C$12*F51</f>
        <v>122500</v>
      </c>
      <c r="G52" s="41" t="n">
        <f aca="false">Budget!$C$12*G51</f>
        <v>85750</v>
      </c>
    </row>
    <row r="53" customFormat="false" ht="15" hidden="false" customHeight="false" outlineLevel="0" collapsed="false">
      <c r="E53" s="2" t="s">
        <v>670</v>
      </c>
      <c r="F53" s="41" t="n">
        <f aca="false">F52*(1-Assumptions!$D$48)</f>
        <v>104125</v>
      </c>
      <c r="G53" s="41" t="n">
        <f aca="false">G52*(1-Assumptions!$D$48)</f>
        <v>72887.5</v>
      </c>
    </row>
    <row r="54" customFormat="false" ht="15" hidden="false" customHeight="false" outlineLevel="0" collapsed="false">
      <c r="E54" s="2" t="s">
        <v>671</v>
      </c>
      <c r="F54" s="41" t="n">
        <f aca="false">MAX(0,Budget!$C$9-F53)</f>
        <v>0</v>
      </c>
      <c r="G54" s="41" t="n">
        <f aca="false">MAX(0,Budget!$C$9-G53)</f>
        <v>29368.3475558735</v>
      </c>
    </row>
    <row r="55" customFormat="false" ht="39.55" hidden="false" customHeight="false" outlineLevel="0" collapsed="false">
      <c r="A55" s="12" t="s">
        <v>672</v>
      </c>
      <c r="B55" s="12" t="s">
        <v>322</v>
      </c>
      <c r="C55" s="12" t="s">
        <v>673</v>
      </c>
      <c r="D55" s="12" t="s">
        <v>674</v>
      </c>
      <c r="E55" s="12" t="s">
        <v>658</v>
      </c>
      <c r="F55" s="12" t="s">
        <v>675</v>
      </c>
      <c r="G55" s="12" t="s">
        <v>676</v>
      </c>
      <c r="H55" s="12"/>
      <c r="I55" s="12"/>
      <c r="J55" s="12" t="s">
        <v>677</v>
      </c>
      <c r="K55" s="12" t="s">
        <v>678</v>
      </c>
      <c r="L55" s="12"/>
      <c r="M55" s="12"/>
      <c r="N55" s="12" t="s">
        <v>656</v>
      </c>
      <c r="O55" s="12" t="s">
        <v>679</v>
      </c>
      <c r="P55" s="12" t="s">
        <v>680</v>
      </c>
    </row>
    <row r="56" customFormat="false" ht="15" hidden="true" customHeight="false" outlineLevel="1" collapsed="false">
      <c r="A56" s="2" t="str">
        <f aca="false">Channels!A5</f>
        <v>C01</v>
      </c>
      <c r="B56" s="2" t="str">
        <f aca="false">Channels!C5</f>
        <v>Electricians</v>
      </c>
      <c r="C56" s="41" t="n">
        <f aca="false">Channels!AA5</f>
        <v>0</v>
      </c>
      <c r="D56" s="45" t="n">
        <f aca="false">IF(ISNUMBER(Channels!AB5),Channels!AB5,0)+ROW()/1000000</f>
        <v>5.6E-005</v>
      </c>
      <c r="E56" s="32" t="n">
        <f aca="false">Channels!U5</f>
        <v>5.788125</v>
      </c>
      <c r="F56" s="32" t="n">
        <f aca="false">IF(N56&gt;0,E56*MAX(0,N56-MIN(J56,N56))/N56,IF(C56&gt;0,E56*(1-J56/C56),E56))</f>
        <v>5.788125</v>
      </c>
      <c r="G56" s="32" t="n">
        <f aca="false">IF(N56&gt;0,E56*MAX(0,N56-MIN(K56,N56))/N56,IF(C56&gt;0,E56*(1-K56/C56),E56))</f>
        <v>5.788125</v>
      </c>
      <c r="J56" s="41" t="n">
        <f aca="false">MIN(C56,MAX(0,F$54-SUMPRODUCT(($D$56:$D$85&gt;D56)*$C$56:$C$85)))</f>
        <v>0</v>
      </c>
      <c r="K56" s="41" t="n">
        <f aca="false">MIN(C56,MAX(0,G$54-SUMPRODUCT(($D$56:$D$85&gt;D56)*$C$56:$C$85)))</f>
        <v>0</v>
      </c>
      <c r="N56" s="41" t="n">
        <f aca="false">Channels!X5</f>
        <v>0</v>
      </c>
      <c r="O56" s="32" t="n">
        <f aca="false">IF(E56&gt;0,F56*Channels!V5/E56,0)</f>
        <v>18.375</v>
      </c>
      <c r="P56" s="32" t="n">
        <f aca="false">IF(E56&gt;0,G56*Channels!V5/E56,0)</f>
        <v>18.375</v>
      </c>
    </row>
    <row r="57" customFormat="false" ht="15" hidden="true" customHeight="false" outlineLevel="1" collapsed="false">
      <c r="A57" s="2" t="str">
        <f aca="false">Channels!A6</f>
        <v>C02</v>
      </c>
      <c r="B57" s="2" t="str">
        <f aca="false">Channels!C6</f>
        <v>Mechatronics</v>
      </c>
      <c r="C57" s="41" t="n">
        <f aca="false">Channels!AA6</f>
        <v>0</v>
      </c>
      <c r="D57" s="45" t="n">
        <f aca="false">IF(ISNUMBER(Channels!AB6),Channels!AB6,0)+ROW()/1000000</f>
        <v>5.7E-005</v>
      </c>
      <c r="E57" s="32" t="n">
        <f aca="false">Channels!U6</f>
        <v>10.2650625</v>
      </c>
      <c r="F57" s="32" t="n">
        <f aca="false">IF(N57&gt;0,E57*MAX(0,N57-MIN(J57,N57))/N57,IF(C57&gt;0,E57*(1-J57/C57),E57))</f>
        <v>10.2650625</v>
      </c>
      <c r="G57" s="32" t="n">
        <f aca="false">IF(N57&gt;0,E57*MAX(0,N57-MIN(K57,N57))/N57,IF(C57&gt;0,E57*(1-K57/C57),E57))</f>
        <v>10.2650625</v>
      </c>
      <c r="J57" s="41" t="n">
        <f aca="false">MIN(C57,MAX(0,F$54-SUMPRODUCT(($D$56:$D$85&gt;D57)*$C$56:$C$85)))</f>
        <v>0</v>
      </c>
      <c r="K57" s="41" t="n">
        <f aca="false">MIN(C57,MAX(0,G$54-SUMPRODUCT(($D$56:$D$85&gt;D57)*$C$56:$C$85)))</f>
        <v>0</v>
      </c>
      <c r="N57" s="41" t="n">
        <f aca="false">Channels!X6</f>
        <v>0</v>
      </c>
      <c r="O57" s="32" t="n">
        <f aca="false">IF(E57&gt;0,F57*Channels!V6/E57,0)</f>
        <v>27.65</v>
      </c>
      <c r="P57" s="32" t="n">
        <f aca="false">IF(E57&gt;0,G57*Channels!V6/E57,0)</f>
        <v>27.65</v>
      </c>
    </row>
    <row r="58" customFormat="false" ht="15" hidden="true" customHeight="false" outlineLevel="1" collapsed="false">
      <c r="A58" s="2" t="str">
        <f aca="false">Channels!A7</f>
        <v>C03</v>
      </c>
      <c r="B58" s="2" t="str">
        <f aca="false">Channels!C7</f>
        <v>Automation</v>
      </c>
      <c r="C58" s="41" t="n">
        <f aca="false">Channels!AA7</f>
        <v>0</v>
      </c>
      <c r="D58" s="45" t="n">
        <f aca="false">IF(ISNUMBER(Channels!AB7),Channels!AB7,0)+ROW()/1000000</f>
        <v>5.8E-005</v>
      </c>
      <c r="E58" s="32" t="n">
        <f aca="false">Channels!U7</f>
        <v>2.6294625</v>
      </c>
      <c r="F58" s="32" t="n">
        <f aca="false">IF(N58&gt;0,E58*MAX(0,N58-MIN(J58,N58))/N58,IF(C58&gt;0,E58*(1-J58/C58),E58))</f>
        <v>2.6294625</v>
      </c>
      <c r="G58" s="32" t="n">
        <f aca="false">IF(N58&gt;0,E58*MAX(0,N58-MIN(K58,N58))/N58,IF(C58&gt;0,E58*(1-K58/C58),E58))</f>
        <v>2.6294625</v>
      </c>
      <c r="J58" s="41" t="n">
        <f aca="false">MIN(C58,MAX(0,F$54-SUMPRODUCT(($D$56:$D$85&gt;D58)*$C$56:$C$85)))</f>
        <v>0</v>
      </c>
      <c r="K58" s="41" t="n">
        <f aca="false">MIN(C58,MAX(0,G$54-SUMPRODUCT(($D$56:$D$85&gt;D58)*$C$56:$C$85)))</f>
        <v>0</v>
      </c>
      <c r="N58" s="41" t="n">
        <f aca="false">Channels!X7</f>
        <v>0</v>
      </c>
      <c r="O58" s="32" t="n">
        <f aca="false">IF(E58&gt;0,F58*Channels!V7/E58,0)</f>
        <v>9.275</v>
      </c>
      <c r="P58" s="32" t="n">
        <f aca="false">IF(E58&gt;0,G58*Channels!V7/E58,0)</f>
        <v>9.275</v>
      </c>
    </row>
    <row r="59" customFormat="false" ht="15" hidden="true" customHeight="false" outlineLevel="1" collapsed="false">
      <c r="A59" s="2" t="str">
        <f aca="false">Channels!A8</f>
        <v>C04</v>
      </c>
      <c r="B59" s="2" t="str">
        <f aca="false">Channels!C8</f>
        <v>Supervisors</v>
      </c>
      <c r="C59" s="41" t="n">
        <f aca="false">Channels!AA8</f>
        <v>0</v>
      </c>
      <c r="D59" s="45" t="n">
        <f aca="false">IF(ISNUMBER(Channels!AB8),Channels!AB8,0)+ROW()/1000000</f>
        <v>5.9E-005</v>
      </c>
      <c r="E59" s="32" t="n">
        <f aca="false">Channels!U8</f>
        <v>1.34113</v>
      </c>
      <c r="F59" s="32" t="n">
        <f aca="false">IF(N59&gt;0,E59*MAX(0,N59-MIN(J59,N59))/N59,IF(C59&gt;0,E59*(1-J59/C59),E59))</f>
        <v>1.34113</v>
      </c>
      <c r="G59" s="32" t="n">
        <f aca="false">IF(N59&gt;0,E59*MAX(0,N59-MIN(K59,N59))/N59,IF(C59&gt;0,E59*(1-K59/C59),E59))</f>
        <v>1.34113</v>
      </c>
      <c r="J59" s="41" t="n">
        <f aca="false">MIN(C59,MAX(0,F$54-SUMPRODUCT(($D$56:$D$85&gt;D59)*$C$56:$C$85)))</f>
        <v>0</v>
      </c>
      <c r="K59" s="41" t="n">
        <f aca="false">MIN(C59,MAX(0,G$54-SUMPRODUCT(($D$56:$D$85&gt;D59)*$C$56:$C$85)))</f>
        <v>0</v>
      </c>
      <c r="N59" s="41" t="n">
        <f aca="false">Channels!X8</f>
        <v>0</v>
      </c>
      <c r="O59" s="32" t="n">
        <f aca="false">IF(E59&gt;0,F59*Channels!V8/E59,0)</f>
        <v>5.635</v>
      </c>
      <c r="P59" s="32" t="n">
        <f aca="false">IF(E59&gt;0,G59*Channels!V8/E59,0)</f>
        <v>5.635</v>
      </c>
    </row>
    <row r="60" customFormat="false" ht="15" hidden="true" customHeight="false" outlineLevel="1" collapsed="false">
      <c r="A60" s="2" t="str">
        <f aca="false">Channels!A9</f>
        <v>C05</v>
      </c>
      <c r="B60" s="2" t="str">
        <f aca="false">Channels!C9</f>
        <v>Electricians</v>
      </c>
      <c r="C60" s="41" t="n">
        <f aca="false">Channels!AA9</f>
        <v>20343.0129215808</v>
      </c>
      <c r="D60" s="45" t="n">
        <f aca="false">IF(ISNUMBER(Channels!AB9),Channels!AB9,0)+ROW()/1000000</f>
        <v>2271.6049982716</v>
      </c>
      <c r="E60" s="32" t="n">
        <f aca="false">Channels!U9</f>
        <v>8.95534807960894</v>
      </c>
      <c r="F60" s="32" t="n">
        <f aca="false">IF(N60&gt;0,E60*MAX(0,N60-MIN(J60,N60))/N60,IF(C60&gt;0,E60*(1-J60/C60),E60))</f>
        <v>8.95534807960894</v>
      </c>
      <c r="G60" s="32" t="n">
        <f aca="false">IF(N60&gt;0,E60*MAX(0,N60-MIN(K60,N60))/N60,IF(C60&gt;0,E60*(1-K60/C60),E60))</f>
        <v>0</v>
      </c>
      <c r="J60" s="41" t="n">
        <f aca="false">MIN(C60,MAX(0,F$54-SUMPRODUCT(($D$56:$D$85&gt;D60)*$C$56:$C$85)))</f>
        <v>0</v>
      </c>
      <c r="K60" s="41" t="n">
        <f aca="false">MIN(C60,MAX(0,G$54-SUMPRODUCT(($D$56:$D$85&gt;D60)*$C$56:$C$85)))</f>
        <v>20343.0129215808</v>
      </c>
      <c r="N60" s="41" t="n">
        <f aca="false">Channels!X9</f>
        <v>20343.0129215808</v>
      </c>
      <c r="O60" s="32" t="n">
        <f aca="false">IF(E60&gt;0,F60*Channels!V9/E60,0)</f>
        <v>28.429676443203</v>
      </c>
      <c r="P60" s="32" t="n">
        <f aca="false">IF(E60&gt;0,G60*Channels!V9/E60,0)</f>
        <v>0</v>
      </c>
    </row>
    <row r="61" customFormat="false" ht="15" hidden="true" customHeight="false" outlineLevel="1" collapsed="false">
      <c r="A61" s="2" t="str">
        <f aca="false">Channels!A10</f>
        <v>C06</v>
      </c>
      <c r="B61" s="2" t="str">
        <f aca="false">Channels!C10</f>
        <v>Mechatronics</v>
      </c>
      <c r="C61" s="41" t="n">
        <f aca="false">Channels!AA10</f>
        <v>13831.5843693922</v>
      </c>
      <c r="D61" s="45" t="n">
        <f aca="false">IF(ISNUMBER(Channels!AB10),Channels!AB10,0)+ROW()/1000000</f>
        <v>1927.42243286682</v>
      </c>
      <c r="E61" s="32" t="n">
        <f aca="false">Channels!U10</f>
        <v>7.17620827239625</v>
      </c>
      <c r="F61" s="32" t="n">
        <f aca="false">IF(N61&gt;0,E61*MAX(0,N61-MIN(J61,N61))/N61,IF(C61&gt;0,E61*(1-J61/C61),E61))</f>
        <v>7.17620827239625</v>
      </c>
      <c r="G61" s="32" t="n">
        <f aca="false">IF(N61&gt;0,E61*MAX(0,N61-MIN(K61,N61))/N61,IF(C61&gt;0,E61*(1-K61/C61),E61))</f>
        <v>7.17620827239625</v>
      </c>
      <c r="J61" s="41" t="n">
        <f aca="false">MIN(C61,MAX(0,F$54-SUMPRODUCT(($D$56:$D$85&gt;D61)*$C$56:$C$85)))</f>
        <v>0</v>
      </c>
      <c r="K61" s="41" t="n">
        <f aca="false">MIN(C61,MAX(0,G$54-SUMPRODUCT(($D$56:$D$85&gt;D61)*$C$56:$C$85)))</f>
        <v>0</v>
      </c>
      <c r="N61" s="41" t="n">
        <f aca="false">Channels!X10</f>
        <v>13831.5843693922</v>
      </c>
      <c r="O61" s="32" t="n">
        <f aca="false">IF(E61&gt;0,F61*Channels!V10/E61,0)</f>
        <v>19.3298539323805</v>
      </c>
      <c r="P61" s="32" t="n">
        <f aca="false">IF(E61&gt;0,G61*Channels!V10/E61,0)</f>
        <v>19.3298539323805</v>
      </c>
    </row>
    <row r="62" customFormat="false" ht="15" hidden="true" customHeight="false" outlineLevel="1" collapsed="false">
      <c r="A62" s="2" t="str">
        <f aca="false">Channels!A11</f>
        <v>C07</v>
      </c>
      <c r="B62" s="2" t="str">
        <f aca="false">Channels!C11</f>
        <v>Automation</v>
      </c>
      <c r="C62" s="41" t="n">
        <f aca="false">Channels!AA11</f>
        <v>750</v>
      </c>
      <c r="D62" s="45" t="n">
        <f aca="false">IF(ISNUMBER(Channels!AB11),Channels!AB11,0)+ROW()/1000000</f>
        <v>2524.00554896845</v>
      </c>
      <c r="E62" s="32" t="n">
        <f aca="false">Channels!U11</f>
        <v>0.297146739130435</v>
      </c>
      <c r="F62" s="32" t="n">
        <f aca="false">IF(N62&gt;0,E62*MAX(0,N62-MIN(J62,N62))/N62,IF(C62&gt;0,E62*(1-J62/C62),E62))</f>
        <v>0.297146739130435</v>
      </c>
      <c r="G62" s="32" t="n">
        <f aca="false">IF(N62&gt;0,E62*MAX(0,N62-MIN(K62,N62))/N62,IF(C62&gt;0,E62*(1-K62/C62),E62))</f>
        <v>0</v>
      </c>
      <c r="J62" s="41" t="n">
        <f aca="false">MIN(C62,MAX(0,F$54-SUMPRODUCT(($D$56:$D$85&gt;D62)*$C$56:$C$85)))</f>
        <v>0</v>
      </c>
      <c r="K62" s="41" t="n">
        <f aca="false">MIN(C62,MAX(0,G$54-SUMPRODUCT(($D$56:$D$85&gt;D62)*$C$56:$C$85)))</f>
        <v>750</v>
      </c>
      <c r="N62" s="41" t="n">
        <f aca="false">Channels!X11</f>
        <v>750</v>
      </c>
      <c r="O62" s="32" t="n">
        <f aca="false">IF(E62&gt;0,F62*Channels!V11/E62,0)</f>
        <v>1.04813664596273</v>
      </c>
      <c r="P62" s="32" t="n">
        <f aca="false">IF(E62&gt;0,G62*Channels!V11/E62,0)</f>
        <v>0</v>
      </c>
    </row>
    <row r="63" customFormat="false" ht="15" hidden="true" customHeight="false" outlineLevel="1" collapsed="false">
      <c r="A63" s="2" t="str">
        <f aca="false">Channels!A12</f>
        <v>C08</v>
      </c>
      <c r="B63" s="2" t="str">
        <f aca="false">Channels!C12</f>
        <v>Supervisors</v>
      </c>
      <c r="C63" s="41" t="n">
        <f aca="false">Channels!AA12</f>
        <v>750</v>
      </c>
      <c r="D63" s="45" t="n">
        <f aca="false">IF(ISNUMBER(Channels!AB12),Channels!AB12,0)+ROW()/1000000</f>
        <v>3267.97391920915</v>
      </c>
      <c r="E63" s="32" t="n">
        <f aca="false">Channels!U12</f>
        <v>0.2295</v>
      </c>
      <c r="F63" s="32" t="n">
        <f aca="false">IF(N63&gt;0,E63*MAX(0,N63-MIN(J63,N63))/N63,IF(C63&gt;0,E63*(1-J63/C63),E63))</f>
        <v>0.2295</v>
      </c>
      <c r="G63" s="32" t="n">
        <f aca="false">IF(N63&gt;0,E63*MAX(0,N63-MIN(K63,N63))/N63,IF(C63&gt;0,E63*(1-K63/C63),E63))</f>
        <v>0</v>
      </c>
      <c r="J63" s="41" t="n">
        <f aca="false">MIN(C63,MAX(0,F$54-SUMPRODUCT(($D$56:$D$85&gt;D63)*$C$56:$C$85)))</f>
        <v>0</v>
      </c>
      <c r="K63" s="41" t="n">
        <f aca="false">MIN(C63,MAX(0,G$54-SUMPRODUCT(($D$56:$D$85&gt;D63)*$C$56:$C$85)))</f>
        <v>750</v>
      </c>
      <c r="N63" s="41" t="n">
        <f aca="false">Channels!X12</f>
        <v>750</v>
      </c>
      <c r="O63" s="32" t="n">
        <f aca="false">IF(E63&gt;0,F63*Channels!V12/E63,0)</f>
        <v>0.964285714285714</v>
      </c>
      <c r="P63" s="32" t="n">
        <f aca="false">IF(E63&gt;0,G63*Channels!V12/E63,0)</f>
        <v>0</v>
      </c>
    </row>
    <row r="64" customFormat="false" ht="15" hidden="true" customHeight="false" outlineLevel="1" collapsed="false">
      <c r="A64" s="2" t="str">
        <f aca="false">Channels!A13</f>
        <v>C09</v>
      </c>
      <c r="B64" s="2" t="str">
        <f aca="false">Channels!C13</f>
        <v>Electricians</v>
      </c>
      <c r="C64" s="41" t="n">
        <f aca="false">Channels!AA13</f>
        <v>2898</v>
      </c>
      <c r="D64" s="45" t="n">
        <f aca="false">IF(ISNUMBER(Channels!AB13),Channels!AB13,0)+ROW()/1000000</f>
        <v>1703.7037677037</v>
      </c>
      <c r="E64" s="32" t="n">
        <f aca="false">Channels!U13</f>
        <v>1.701</v>
      </c>
      <c r="F64" s="32" t="n">
        <f aca="false">IF(N64&gt;0,E64*MAX(0,N64-MIN(J64,N64))/N64,IF(C64&gt;0,E64*(1-J64/C64),E64))</f>
        <v>1.701</v>
      </c>
      <c r="G64" s="32" t="n">
        <f aca="false">IF(N64&gt;0,E64*MAX(0,N64-MIN(K64,N64))/N64,IF(C64&gt;0,E64*(1-K64/C64),E64))</f>
        <v>1.701</v>
      </c>
      <c r="J64" s="41" t="n">
        <f aca="false">MIN(C64,MAX(0,F$54-SUMPRODUCT(($D$56:$D$85&gt;D64)*$C$56:$C$85)))</f>
        <v>0</v>
      </c>
      <c r="K64" s="41" t="n">
        <f aca="false">MIN(C64,MAX(0,G$54-SUMPRODUCT(($D$56:$D$85&gt;D64)*$C$56:$C$85)))</f>
        <v>0</v>
      </c>
      <c r="N64" s="41" t="n">
        <f aca="false">Channels!X13</f>
        <v>2898</v>
      </c>
      <c r="O64" s="32" t="n">
        <f aca="false">IF(E64&gt;0,F64*Channels!V13/E64,0)</f>
        <v>5.4</v>
      </c>
      <c r="P64" s="32" t="n">
        <f aca="false">IF(E64&gt;0,G64*Channels!V13/E64,0)</f>
        <v>5.4</v>
      </c>
    </row>
    <row r="65" customFormat="false" ht="15" hidden="true" customHeight="false" outlineLevel="1" collapsed="false">
      <c r="A65" s="2" t="str">
        <f aca="false">Channels!A14</f>
        <v>C10</v>
      </c>
      <c r="B65" s="2" t="str">
        <f aca="false">Channels!C14</f>
        <v>Mechatronics</v>
      </c>
      <c r="C65" s="41" t="n">
        <f aca="false">Channels!AA14</f>
        <v>2898</v>
      </c>
      <c r="D65" s="45" t="n">
        <f aca="false">IF(ISNUMBER(Channels!AB14),Channels!AB14,0)+ROW()/1000000</f>
        <v>1445.56684390011</v>
      </c>
      <c r="E65" s="32" t="n">
        <f aca="false">Channels!U14</f>
        <v>2.00475</v>
      </c>
      <c r="F65" s="32" t="n">
        <f aca="false">IF(N65&gt;0,E65*MAX(0,N65-MIN(J65,N65))/N65,IF(C65&gt;0,E65*(1-J65/C65),E65))</f>
        <v>2.00475</v>
      </c>
      <c r="G65" s="32" t="n">
        <f aca="false">IF(N65&gt;0,E65*MAX(0,N65-MIN(K65,N65))/N65,IF(C65&gt;0,E65*(1-K65/C65),E65))</f>
        <v>2.00475</v>
      </c>
      <c r="J65" s="41" t="n">
        <f aca="false">MIN(C65,MAX(0,F$54-SUMPRODUCT(($D$56:$D$85&gt;D65)*$C$56:$C$85)))</f>
        <v>0</v>
      </c>
      <c r="K65" s="41" t="n">
        <f aca="false">MIN(C65,MAX(0,G$54-SUMPRODUCT(($D$56:$D$85&gt;D65)*$C$56:$C$85)))</f>
        <v>0</v>
      </c>
      <c r="N65" s="41" t="n">
        <f aca="false">Channels!X14</f>
        <v>2898</v>
      </c>
      <c r="O65" s="32" t="n">
        <f aca="false">IF(E65&gt;0,F65*Channels!V14/E65,0)</f>
        <v>5.4</v>
      </c>
      <c r="P65" s="32" t="n">
        <f aca="false">IF(E65&gt;0,G65*Channels!V14/E65,0)</f>
        <v>5.4</v>
      </c>
    </row>
    <row r="66" customFormat="false" ht="15" hidden="true" customHeight="false" outlineLevel="1" collapsed="false">
      <c r="A66" s="2" t="str">
        <f aca="false">Channels!A15</f>
        <v>C11</v>
      </c>
      <c r="B66" s="2" t="str">
        <f aca="false">Channels!C15</f>
        <v>Automation</v>
      </c>
      <c r="C66" s="41" t="n">
        <f aca="false">Channels!AA15</f>
        <v>0</v>
      </c>
      <c r="D66" s="45" t="n">
        <f aca="false">IF(ISNUMBER(Channels!AB15),Channels!AB15,0)+ROW()/1000000</f>
        <v>6.6E-005</v>
      </c>
      <c r="E66" s="32" t="n">
        <f aca="false">Channels!U15</f>
        <v>0</v>
      </c>
      <c r="F66" s="32" t="n">
        <f aca="false">IF(N66&gt;0,E66*MAX(0,N66-MIN(J66,N66))/N66,IF(C66&gt;0,E66*(1-J66/C66),E66))</f>
        <v>0</v>
      </c>
      <c r="G66" s="32" t="n">
        <f aca="false">IF(N66&gt;0,E66*MAX(0,N66-MIN(K66,N66))/N66,IF(C66&gt;0,E66*(1-K66/C66),E66))</f>
        <v>0</v>
      </c>
      <c r="J66" s="41" t="n">
        <f aca="false">MIN(C66,MAX(0,F$54-SUMPRODUCT(($D$56:$D$85&gt;D66)*$C$56:$C$85)))</f>
        <v>0</v>
      </c>
      <c r="K66" s="41" t="n">
        <f aca="false">MIN(C66,MAX(0,G$54-SUMPRODUCT(($D$56:$D$85&gt;D66)*$C$56:$C$85)))</f>
        <v>0</v>
      </c>
      <c r="N66" s="41" t="n">
        <f aca="false">Channels!X15</f>
        <v>0</v>
      </c>
      <c r="O66" s="32" t="n">
        <f aca="false">IF(E66&gt;0,F66*Channels!V15/E66,0)</f>
        <v>0</v>
      </c>
      <c r="P66" s="32" t="n">
        <f aca="false">IF(E66&gt;0,G66*Channels!V15/E66,0)</f>
        <v>0</v>
      </c>
    </row>
    <row r="67" customFormat="false" ht="15" hidden="true" customHeight="false" outlineLevel="1" collapsed="false">
      <c r="A67" s="2" t="str">
        <f aca="false">Channels!A16</f>
        <v>C12</v>
      </c>
      <c r="B67" s="2" t="str">
        <f aca="false">Channels!C16</f>
        <v>Supervisors</v>
      </c>
      <c r="C67" s="41" t="n">
        <f aca="false">Channels!AA16</f>
        <v>0</v>
      </c>
      <c r="D67" s="45" t="n">
        <f aca="false">IF(ISNUMBER(Channels!AB16),Channels!AB16,0)+ROW()/1000000</f>
        <v>6.7E-005</v>
      </c>
      <c r="E67" s="32" t="n">
        <f aca="false">Channels!U16</f>
        <v>0</v>
      </c>
      <c r="F67" s="32" t="n">
        <f aca="false">IF(N67&gt;0,E67*MAX(0,N67-MIN(J67,N67))/N67,IF(C67&gt;0,E67*(1-J67/C67),E67))</f>
        <v>0</v>
      </c>
      <c r="G67" s="32" t="n">
        <f aca="false">IF(N67&gt;0,E67*MAX(0,N67-MIN(K67,N67))/N67,IF(C67&gt;0,E67*(1-K67/C67),E67))</f>
        <v>0</v>
      </c>
      <c r="J67" s="41" t="n">
        <f aca="false">MIN(C67,MAX(0,F$54-SUMPRODUCT(($D$56:$D$85&gt;D67)*$C$56:$C$85)))</f>
        <v>0</v>
      </c>
      <c r="K67" s="41" t="n">
        <f aca="false">MIN(C67,MAX(0,G$54-SUMPRODUCT(($D$56:$D$85&gt;D67)*$C$56:$C$85)))</f>
        <v>0</v>
      </c>
      <c r="N67" s="41" t="n">
        <f aca="false">Channels!X16</f>
        <v>0</v>
      </c>
      <c r="O67" s="32" t="n">
        <f aca="false">IF(E67&gt;0,F67*Channels!V16/E67,0)</f>
        <v>0</v>
      </c>
      <c r="P67" s="32" t="n">
        <f aca="false">IF(E67&gt;0,G67*Channels!V16/E67,0)</f>
        <v>0</v>
      </c>
    </row>
    <row r="68" customFormat="false" ht="15" hidden="true" customHeight="false" outlineLevel="1" collapsed="false">
      <c r="A68" s="2" t="str">
        <f aca="false">Channels!A17</f>
        <v>C13</v>
      </c>
      <c r="B68" s="2" t="str">
        <f aca="false">Channels!C17</f>
        <v>Automation</v>
      </c>
      <c r="C68" s="41" t="n">
        <f aca="false">Channels!AA17</f>
        <v>14310.0484440006</v>
      </c>
      <c r="D68" s="45" t="n">
        <f aca="false">IF(ISNUMBER(Channels!AB17),Channels!AB17,0)+ROW()/1000000</f>
        <v>1504.99712855262</v>
      </c>
      <c r="E68" s="32" t="n">
        <f aca="false">Channels!U17</f>
        <v>9.50835640751761</v>
      </c>
      <c r="F68" s="32" t="n">
        <f aca="false">IF(N68&gt;0,E68*MAX(0,N68-MIN(J68,N68))/N68,IF(C68&gt;0,E68*(1-J68/C68),E68))</f>
        <v>9.50835640751761</v>
      </c>
      <c r="G68" s="32" t="n">
        <f aca="false">IF(N68&gt;0,E68*MAX(0,N68-MIN(K68,N68))/N68,IF(C68&gt;0,E68*(1-K68/C68),E68))</f>
        <v>9.50835640751761</v>
      </c>
      <c r="J68" s="41" t="n">
        <f aca="false">MIN(C68,MAX(0,F$54-SUMPRODUCT(($D$56:$D$85&gt;D68)*$C$56:$C$85)))</f>
        <v>0</v>
      </c>
      <c r="K68" s="41" t="n">
        <f aca="false">MIN(C68,MAX(0,G$54-SUMPRODUCT(($D$56:$D$85&gt;D68)*$C$56:$C$85)))</f>
        <v>0</v>
      </c>
      <c r="N68" s="41" t="n">
        <f aca="false">Channels!X17</f>
        <v>14310.0484440006</v>
      </c>
      <c r="O68" s="32" t="n">
        <f aca="false">IF(E68&gt;0,F68*Channels!V17/E68,0)</f>
        <v>33.5391760406265</v>
      </c>
      <c r="P68" s="32" t="n">
        <f aca="false">IF(E68&gt;0,G68*Channels!V17/E68,0)</f>
        <v>33.5391760406265</v>
      </c>
    </row>
    <row r="69" customFormat="false" ht="15" hidden="true" customHeight="false" outlineLevel="1" collapsed="false">
      <c r="A69" s="2" t="str">
        <f aca="false">Channels!A18</f>
        <v>C14</v>
      </c>
      <c r="B69" s="2" t="str">
        <f aca="false">Channels!C18</f>
        <v>Supervisors</v>
      </c>
      <c r="C69" s="41" t="n">
        <f aca="false">Channels!AA18</f>
        <v>12928.6678273933</v>
      </c>
      <c r="D69" s="45" t="n">
        <f aca="false">IF(ISNUMBER(Channels!AB18),Channels!AB18,0)+ROW()/1000000</f>
        <v>1948.60559816819</v>
      </c>
      <c r="E69" s="32" t="n">
        <f aca="false">Channels!U18</f>
        <v>6.63483072067039</v>
      </c>
      <c r="F69" s="32" t="n">
        <f aca="false">IF(N69&gt;0,E69*MAX(0,N69-MIN(J69,N69))/N69,IF(C69&gt;0,E69*(1-J69/C69),E69))</f>
        <v>6.63483072067039</v>
      </c>
      <c r="G69" s="32" t="n">
        <f aca="false">IF(N69&gt;0,E69*MAX(0,N69-MIN(K69,N69))/N69,IF(C69&gt;0,E69*(1-K69/C69),E69))</f>
        <v>5.08226680303432</v>
      </c>
      <c r="J69" s="41" t="n">
        <f aca="false">MIN(C69,MAX(0,F$54-SUMPRODUCT(($D$56:$D$85&gt;D69)*$C$56:$C$85)))</f>
        <v>0</v>
      </c>
      <c r="K69" s="41" t="n">
        <f aca="false">MIN(C69,MAX(0,G$54-SUMPRODUCT(($D$56:$D$85&gt;D69)*$C$56:$C$85)))</f>
        <v>3025.33463429267</v>
      </c>
      <c r="N69" s="41" t="n">
        <f aca="false">Channels!X18</f>
        <v>12928.6678273933</v>
      </c>
      <c r="O69" s="32" t="n">
        <f aca="false">IF(E69&gt;0,F69*Channels!V18/E69,0)</f>
        <v>27.8774400028168</v>
      </c>
      <c r="P69" s="32" t="n">
        <f aca="false">IF(E69&gt;0,G69*Channels!V18/E69,0)</f>
        <v>21.3540621976232</v>
      </c>
    </row>
    <row r="70" customFormat="false" ht="15" hidden="true" customHeight="false" outlineLevel="1" collapsed="false">
      <c r="A70" s="2" t="str">
        <f aca="false">Channels!A19</f>
        <v>C15</v>
      </c>
      <c r="B70" s="2" t="str">
        <f aca="false">Channels!C19</f>
        <v>Electricians</v>
      </c>
      <c r="C70" s="41" t="n">
        <f aca="false">Channels!AA19</f>
        <v>750</v>
      </c>
      <c r="D70" s="45" t="n">
        <f aca="false">IF(ISNUMBER(Channels!AB19),Channels!AB19,0)+ROW()/1000000</f>
        <v>2601.62608626016</v>
      </c>
      <c r="E70" s="32" t="n">
        <f aca="false">Channels!U19</f>
        <v>0.28828125</v>
      </c>
      <c r="F70" s="32" t="n">
        <f aca="false">IF(N70&gt;0,E70*MAX(0,N70-MIN(J70,N70))/N70,IF(C70&gt;0,E70*(1-J70/C70),E70))</f>
        <v>0.28828125</v>
      </c>
      <c r="G70" s="32" t="n">
        <f aca="false">IF(N70&gt;0,E70*MAX(0,N70-MIN(K70,N70))/N70,IF(C70&gt;0,E70*(1-K70/C70),E70))</f>
        <v>0</v>
      </c>
      <c r="J70" s="41" t="n">
        <f aca="false">MIN(C70,MAX(0,F$54-SUMPRODUCT(($D$56:$D$85&gt;D70)*$C$56:$C$85)))</f>
        <v>0</v>
      </c>
      <c r="K70" s="41" t="n">
        <f aca="false">MIN(C70,MAX(0,G$54-SUMPRODUCT(($D$56:$D$85&gt;D70)*$C$56:$C$85)))</f>
        <v>750</v>
      </c>
      <c r="N70" s="41" t="n">
        <f aca="false">Channels!X19</f>
        <v>750</v>
      </c>
      <c r="O70" s="32" t="n">
        <f aca="false">IF(E70&gt;0,F70*Channels!V19/E70,0)</f>
        <v>0.915178571428571</v>
      </c>
      <c r="P70" s="32" t="n">
        <f aca="false">IF(E70&gt;0,G70*Channels!V19/E70,0)</f>
        <v>0</v>
      </c>
    </row>
    <row r="71" customFormat="false" ht="15" hidden="true" customHeight="false" outlineLevel="1" collapsed="false">
      <c r="A71" s="2" t="str">
        <f aca="false">Channels!A20</f>
        <v>C16</v>
      </c>
      <c r="B71" s="2" t="str">
        <f aca="false">Channels!C20</f>
        <v>Mechatronics</v>
      </c>
      <c r="C71" s="41" t="n">
        <f aca="false">Channels!AA20</f>
        <v>750</v>
      </c>
      <c r="D71" s="45" t="n">
        <f aca="false">IF(ISNUMBER(Channels!AB20),Channels!AB20,0)+ROW()/1000000</f>
        <v>2207.44032722074</v>
      </c>
      <c r="E71" s="32" t="n">
        <f aca="false">Channels!U20</f>
        <v>0.339760044642857</v>
      </c>
      <c r="F71" s="32" t="n">
        <f aca="false">IF(N71&gt;0,E71*MAX(0,N71-MIN(J71,N71))/N71,IF(C71&gt;0,E71*(1-J71/C71),E71))</f>
        <v>0.339760044642857</v>
      </c>
      <c r="G71" s="32" t="n">
        <f aca="false">IF(N71&gt;0,E71*MAX(0,N71-MIN(K71,N71))/N71,IF(C71&gt;0,E71*(1-K71/C71),E71))</f>
        <v>0</v>
      </c>
      <c r="J71" s="41" t="n">
        <f aca="false">MIN(C71,MAX(0,F$54-SUMPRODUCT(($D$56:$D$85&gt;D71)*$C$56:$C$85)))</f>
        <v>0</v>
      </c>
      <c r="K71" s="41" t="n">
        <f aca="false">MIN(C71,MAX(0,G$54-SUMPRODUCT(($D$56:$D$85&gt;D71)*$C$56:$C$85)))</f>
        <v>750</v>
      </c>
      <c r="N71" s="41" t="n">
        <f aca="false">Channels!X20</f>
        <v>750</v>
      </c>
      <c r="O71" s="32" t="n">
        <f aca="false">IF(E71&gt;0,F71*Channels!V20/E71,0)</f>
        <v>0.915178571428571</v>
      </c>
      <c r="P71" s="32" t="n">
        <f aca="false">IF(E71&gt;0,G71*Channels!V20/E71,0)</f>
        <v>0</v>
      </c>
    </row>
    <row r="72" customFormat="false" ht="15" hidden="true" customHeight="false" outlineLevel="1" collapsed="false">
      <c r="A72" s="2" t="str">
        <f aca="false">Channels!A21</f>
        <v>C17</v>
      </c>
      <c r="B72" s="2" t="str">
        <f aca="false">Channels!C21</f>
        <v>Electricians</v>
      </c>
      <c r="C72" s="41" t="n">
        <f aca="false">Channels!AA21</f>
        <v>750</v>
      </c>
      <c r="D72" s="45" t="n">
        <f aca="false">IF(ISNUMBER(Channels!AB21),Channels!AB21,0)+ROW()/1000000</f>
        <v>3247.16560487982</v>
      </c>
      <c r="E72" s="32" t="n">
        <f aca="false">Channels!U21</f>
        <v>0.230970670391061</v>
      </c>
      <c r="F72" s="32" t="n">
        <f aca="false">IF(N72&gt;0,E72*MAX(0,N72-MIN(J72,N72))/N72,IF(C72&gt;0,E72*(1-J72/C72),E72))</f>
        <v>0.230970670391061</v>
      </c>
      <c r="G72" s="32" t="n">
        <f aca="false">IF(N72&gt;0,E72*MAX(0,N72-MIN(K72,N72))/N72,IF(C72&gt;0,E72*(1-K72/C72),E72))</f>
        <v>0</v>
      </c>
      <c r="J72" s="41" t="n">
        <f aca="false">MIN(C72,MAX(0,F$54-SUMPRODUCT(($D$56:$D$85&gt;D72)*$C$56:$C$85)))</f>
        <v>0</v>
      </c>
      <c r="K72" s="41" t="n">
        <f aca="false">MIN(C72,MAX(0,G$54-SUMPRODUCT(($D$56:$D$85&gt;D72)*$C$56:$C$85)))</f>
        <v>750</v>
      </c>
      <c r="N72" s="41" t="n">
        <f aca="false">Channels!X21</f>
        <v>750</v>
      </c>
      <c r="O72" s="32" t="n">
        <f aca="false">IF(E72&gt;0,F72*Channels!V21/E72,0)</f>
        <v>0.733240223463687</v>
      </c>
      <c r="P72" s="32" t="n">
        <f aca="false">IF(E72&gt;0,G72*Channels!V21/E72,0)</f>
        <v>0</v>
      </c>
    </row>
    <row r="73" customFormat="false" ht="15" hidden="true" customHeight="false" outlineLevel="1" collapsed="false">
      <c r="A73" s="2" t="str">
        <f aca="false">Channels!A22</f>
        <v>C18</v>
      </c>
      <c r="B73" s="2" t="str">
        <f aca="false">Channels!C22</f>
        <v>Mechatronics</v>
      </c>
      <c r="C73" s="41" t="n">
        <f aca="false">Channels!AA22</f>
        <v>750</v>
      </c>
      <c r="D73" s="45" t="n">
        <f aca="false">IF(ISNUMBER(Channels!AB22),Channels!AB22,0)+ROW()/1000000</f>
        <v>2755.17082817076</v>
      </c>
      <c r="E73" s="32" t="n">
        <f aca="false">Channels!U22</f>
        <v>0.272215432960894</v>
      </c>
      <c r="F73" s="32" t="n">
        <f aca="false">IF(N73&gt;0,E73*MAX(0,N73-MIN(J73,N73))/N73,IF(C73&gt;0,E73*(1-J73/C73),E73))</f>
        <v>0.272215432960894</v>
      </c>
      <c r="G73" s="32" t="n">
        <f aca="false">IF(N73&gt;0,E73*MAX(0,N73-MIN(K73,N73))/N73,IF(C73&gt;0,E73*(1-K73/C73),E73))</f>
        <v>0</v>
      </c>
      <c r="J73" s="41" t="n">
        <f aca="false">MIN(C73,MAX(0,F$54-SUMPRODUCT(($D$56:$D$85&gt;D73)*$C$56:$C$85)))</f>
        <v>0</v>
      </c>
      <c r="K73" s="41" t="n">
        <f aca="false">MIN(C73,MAX(0,G$54-SUMPRODUCT(($D$56:$D$85&gt;D73)*$C$56:$C$85)))</f>
        <v>750</v>
      </c>
      <c r="N73" s="41" t="n">
        <f aca="false">Channels!X22</f>
        <v>750</v>
      </c>
      <c r="O73" s="32" t="n">
        <f aca="false">IF(E73&gt;0,F73*Channels!V22/E73,0)</f>
        <v>0.733240223463687</v>
      </c>
      <c r="P73" s="32" t="n">
        <f aca="false">IF(E73&gt;0,G73*Channels!V22/E73,0)</f>
        <v>0</v>
      </c>
    </row>
    <row r="74" customFormat="false" ht="15" hidden="true" customHeight="false" outlineLevel="1" collapsed="false">
      <c r="A74" s="2" t="str">
        <f aca="false">Channels!A23</f>
        <v>C19</v>
      </c>
      <c r="B74" s="2" t="str">
        <f aca="false">Channels!C23</f>
        <v>Automation</v>
      </c>
      <c r="C74" s="41" t="n">
        <f aca="false">Channels!AA23</f>
        <v>750</v>
      </c>
      <c r="D74" s="45" t="n">
        <f aca="false">IF(ISNUMBER(Channels!AB23),Channels!AB23,0)+ROW()/1000000</f>
        <v>3607.9617771998</v>
      </c>
      <c r="E74" s="32" t="n">
        <f aca="false">Channels!U23</f>
        <v>0.207873603351955</v>
      </c>
      <c r="F74" s="32" t="n">
        <f aca="false">IF(N74&gt;0,E74*MAX(0,N74-MIN(J74,N74))/N74,IF(C74&gt;0,E74*(1-J74/C74),E74))</f>
        <v>0.207873603351955</v>
      </c>
      <c r="G74" s="32" t="n">
        <f aca="false">IF(N74&gt;0,E74*MAX(0,N74-MIN(K74,N74))/N74,IF(C74&gt;0,E74*(1-K74/C74),E74))</f>
        <v>0</v>
      </c>
      <c r="J74" s="41" t="n">
        <f aca="false">MIN(C74,MAX(0,F$54-SUMPRODUCT(($D$56:$D$85&gt;D74)*$C$56:$C$85)))</f>
        <v>0</v>
      </c>
      <c r="K74" s="41" t="n">
        <f aca="false">MIN(C74,MAX(0,G$54-SUMPRODUCT(($D$56:$D$85&gt;D74)*$C$56:$C$85)))</f>
        <v>750</v>
      </c>
      <c r="N74" s="41" t="n">
        <f aca="false">Channels!X23</f>
        <v>750</v>
      </c>
      <c r="O74" s="32" t="n">
        <f aca="false">IF(E74&gt;0,F74*Channels!V23/E74,0)</f>
        <v>0.733240223463687</v>
      </c>
      <c r="P74" s="32" t="n">
        <f aca="false">IF(E74&gt;0,G74*Channels!V23/E74,0)</f>
        <v>0</v>
      </c>
    </row>
    <row r="75" customFormat="false" ht="15" hidden="true" customHeight="false" outlineLevel="1" collapsed="false">
      <c r="A75" s="2" t="str">
        <f aca="false">Channels!A24</f>
        <v>C20</v>
      </c>
      <c r="B75" s="2" t="str">
        <f aca="false">Channels!C24</f>
        <v>Supervisors</v>
      </c>
      <c r="C75" s="41" t="n">
        <f aca="false">Channels!AA24</f>
        <v>750</v>
      </c>
      <c r="D75" s="45" t="n">
        <f aca="false">IF(ISNUMBER(Channels!AB24),Channels!AB24,0)+ROW()/1000000</f>
        <v>4671.43386590767</v>
      </c>
      <c r="E75" s="32" t="n">
        <f aca="false">Channels!U24</f>
        <v>0.160550279329609</v>
      </c>
      <c r="F75" s="32" t="n">
        <f aca="false">IF(N75&gt;0,E75*MAX(0,N75-MIN(J75,N75))/N75,IF(C75&gt;0,E75*(1-J75/C75),E75))</f>
        <v>0.160550279329609</v>
      </c>
      <c r="G75" s="32" t="n">
        <f aca="false">IF(N75&gt;0,E75*MAX(0,N75-MIN(K75,N75))/N75,IF(C75&gt;0,E75*(1-K75/C75),E75))</f>
        <v>0</v>
      </c>
      <c r="J75" s="41" t="n">
        <f aca="false">MIN(C75,MAX(0,F$54-SUMPRODUCT(($D$56:$D$85&gt;D75)*$C$56:$C$85)))</f>
        <v>0</v>
      </c>
      <c r="K75" s="41" t="n">
        <f aca="false">MIN(C75,MAX(0,G$54-SUMPRODUCT(($D$56:$D$85&gt;D75)*$C$56:$C$85)))</f>
        <v>750</v>
      </c>
      <c r="N75" s="41" t="n">
        <f aca="false">Channels!X24</f>
        <v>750</v>
      </c>
      <c r="O75" s="32" t="n">
        <f aca="false">IF(E75&gt;0,F75*Channels!V24/E75,0)</f>
        <v>0.674581005586592</v>
      </c>
      <c r="P75" s="32" t="n">
        <f aca="false">IF(E75&gt;0,G75*Channels!V24/E75,0)</f>
        <v>0</v>
      </c>
    </row>
    <row r="76" customFormat="false" ht="15" hidden="true" customHeight="false" outlineLevel="1" collapsed="false">
      <c r="A76" s="2" t="str">
        <f aca="false">Channels!A25</f>
        <v>I1a-E</v>
      </c>
      <c r="B76" s="2" t="str">
        <f aca="false">Channels!C25</f>
        <v>Electricians</v>
      </c>
      <c r="C76" s="41" t="n">
        <f aca="false">Channels!AA25</f>
        <v>19.5</v>
      </c>
      <c r="D76" s="45" t="n">
        <f aca="false">IF(ISNUMBER(Channels!AB25),Channels!AB25,0)+ROW()/1000000</f>
        <v>13.8026984982747</v>
      </c>
      <c r="E76" s="32" t="n">
        <f aca="false">Channels!U25</f>
        <v>1.412775</v>
      </c>
      <c r="F76" s="32" t="n">
        <f aca="false">IF(N76&gt;0,E76*MAX(0,N76-MIN(J76,N76))/N76,IF(C76&gt;0,E76*(1-J76/C76),E76))</f>
        <v>1.412775</v>
      </c>
      <c r="G76" s="32" t="n">
        <f aca="false">IF(N76&gt;0,E76*MAX(0,N76-MIN(K76,N76))/N76,IF(C76&gt;0,E76*(1-K76/C76),E76))</f>
        <v>1.412775</v>
      </c>
      <c r="J76" s="41" t="n">
        <f aca="false">MIN(C76,MAX(0,F$54-SUMPRODUCT(($D$56:$D$85&gt;D76)*$C$56:$C$85)))</f>
        <v>0</v>
      </c>
      <c r="K76" s="41" t="n">
        <f aca="false">MIN(C76,MAX(0,G$54-SUMPRODUCT(($D$56:$D$85&gt;D76)*$C$56:$C$85)))</f>
        <v>0</v>
      </c>
      <c r="N76" s="41" t="n">
        <f aca="false">Channels!X25</f>
        <v>19.5</v>
      </c>
      <c r="O76" s="32" t="n">
        <f aca="false">IF(E76&gt;0,F76*Channels!V25/E76,0)</f>
        <v>3.9</v>
      </c>
      <c r="P76" s="32" t="n">
        <f aca="false">IF(E76&gt;0,G76*Channels!V25/E76,0)</f>
        <v>3.9</v>
      </c>
    </row>
    <row r="77" customFormat="false" ht="15" hidden="true" customHeight="false" outlineLevel="1" collapsed="false">
      <c r="A77" s="2" t="str">
        <f aca="false">Channels!A26</f>
        <v>I1a-M</v>
      </c>
      <c r="B77" s="2" t="str">
        <f aca="false">Channels!C26</f>
        <v>Mechatronics</v>
      </c>
      <c r="C77" s="41" t="n">
        <f aca="false">Channels!AA26</f>
        <v>22.8</v>
      </c>
      <c r="D77" s="45" t="n">
        <f aca="false">IF(ISNUMBER(Channels!AB26),Channels!AB26,0)+ROW()/1000000</f>
        <v>11.7113930591421</v>
      </c>
      <c r="E77" s="32" t="n">
        <f aca="false">Channels!U26</f>
        <v>1.946835</v>
      </c>
      <c r="F77" s="32" t="n">
        <f aca="false">IF(N77&gt;0,E77*MAX(0,N77-MIN(J77,N77))/N77,IF(C77&gt;0,E77*(1-J77/C77),E77))</f>
        <v>1.946835</v>
      </c>
      <c r="G77" s="32" t="n">
        <f aca="false">IF(N77&gt;0,E77*MAX(0,N77-MIN(K77,N77))/N77,IF(C77&gt;0,E77*(1-K77/C77),E77))</f>
        <v>1.946835</v>
      </c>
      <c r="J77" s="41" t="n">
        <f aca="false">MIN(C77,MAX(0,F$54-SUMPRODUCT(($D$56:$D$85&gt;D77)*$C$56:$C$85)))</f>
        <v>0</v>
      </c>
      <c r="K77" s="41" t="n">
        <f aca="false">MIN(C77,MAX(0,G$54-SUMPRODUCT(($D$56:$D$85&gt;D77)*$C$56:$C$85)))</f>
        <v>0</v>
      </c>
      <c r="N77" s="41" t="n">
        <f aca="false">Channels!X26</f>
        <v>22.8</v>
      </c>
      <c r="O77" s="32" t="n">
        <f aca="false">IF(E77&gt;0,F77*Channels!V26/E77,0)</f>
        <v>4.56</v>
      </c>
      <c r="P77" s="32" t="n">
        <f aca="false">IF(E77&gt;0,G77*Channels!V26/E77,0)</f>
        <v>4.56</v>
      </c>
    </row>
    <row r="78" customFormat="false" ht="15" hidden="true" customHeight="false" outlineLevel="1" collapsed="false">
      <c r="A78" s="2" t="str">
        <f aca="false">Channels!A27</f>
        <v>I1a-A</v>
      </c>
      <c r="B78" s="2" t="str">
        <f aca="false">Channels!C27</f>
        <v>Automation</v>
      </c>
      <c r="C78" s="41" t="n">
        <f aca="false">Channels!AA27</f>
        <v>11.4</v>
      </c>
      <c r="D78" s="45" t="n">
        <f aca="false">IF(ISNUMBER(Channels!AB27),Channels!AB27,0)+ROW()/1000000</f>
        <v>15.3363252203052</v>
      </c>
      <c r="E78" s="32" t="n">
        <f aca="false">Channels!U27</f>
        <v>0.743337</v>
      </c>
      <c r="F78" s="32" t="n">
        <f aca="false">IF(N78&gt;0,E78*MAX(0,N78-MIN(J78,N78))/N78,IF(C78&gt;0,E78*(1-J78/C78),E78))</f>
        <v>0.743337</v>
      </c>
      <c r="G78" s="32" t="n">
        <f aca="false">IF(N78&gt;0,E78*MAX(0,N78-MIN(K78,N78))/N78,IF(C78&gt;0,E78*(1-K78/C78),E78))</f>
        <v>0.743337</v>
      </c>
      <c r="J78" s="41" t="n">
        <f aca="false">MIN(C78,MAX(0,F$54-SUMPRODUCT(($D$56:$D$85&gt;D78)*$C$56:$C$85)))</f>
        <v>0</v>
      </c>
      <c r="K78" s="41" t="n">
        <f aca="false">MIN(C78,MAX(0,G$54-SUMPRODUCT(($D$56:$D$85&gt;D78)*$C$56:$C$85)))</f>
        <v>0</v>
      </c>
      <c r="N78" s="41" t="n">
        <f aca="false">Channels!X27</f>
        <v>11.4</v>
      </c>
      <c r="O78" s="32" t="n">
        <f aca="false">IF(E78&gt;0,F78*Channels!V27/E78,0)</f>
        <v>2.28</v>
      </c>
      <c r="P78" s="32" t="n">
        <f aca="false">IF(E78&gt;0,G78*Channels!V27/E78,0)</f>
        <v>2.28</v>
      </c>
    </row>
    <row r="79" customFormat="false" ht="15" hidden="true" customHeight="false" outlineLevel="1" collapsed="false">
      <c r="A79" s="2" t="str">
        <f aca="false">Channels!A28</f>
        <v>I1a-S</v>
      </c>
      <c r="B79" s="2" t="str">
        <f aca="false">Channels!C28</f>
        <v>Supervisors</v>
      </c>
      <c r="C79" s="41" t="n">
        <f aca="false">Channels!AA28</f>
        <v>9.6</v>
      </c>
      <c r="D79" s="45" t="n">
        <f aca="false">IF(ISNUMBER(Channels!AB28),Channels!AB28,0)+ROW()/1000000</f>
        <v>18.2682558359518</v>
      </c>
      <c r="E79" s="32" t="n">
        <f aca="false">Channels!U28</f>
        <v>0.525504</v>
      </c>
      <c r="F79" s="32" t="n">
        <f aca="false">IF(N79&gt;0,E79*MAX(0,N79-MIN(J79,N79))/N79,IF(C79&gt;0,E79*(1-J79/C79),E79))</f>
        <v>0.525504</v>
      </c>
      <c r="G79" s="32" t="n">
        <f aca="false">IF(N79&gt;0,E79*MAX(0,N79-MIN(K79,N79))/N79,IF(C79&gt;0,E79*(1-K79/C79),E79))</f>
        <v>0.525504</v>
      </c>
      <c r="J79" s="41" t="n">
        <f aca="false">MIN(C79,MAX(0,F$54-SUMPRODUCT(($D$56:$D$85&gt;D79)*$C$56:$C$85)))</f>
        <v>0</v>
      </c>
      <c r="K79" s="41" t="n">
        <f aca="false">MIN(C79,MAX(0,G$54-SUMPRODUCT(($D$56:$D$85&gt;D79)*$C$56:$C$85)))</f>
        <v>0</v>
      </c>
      <c r="N79" s="41" t="n">
        <f aca="false">Channels!X28</f>
        <v>9.6</v>
      </c>
      <c r="O79" s="32" t="n">
        <f aca="false">IF(E79&gt;0,F79*Channels!V28/E79,0)</f>
        <v>1.92</v>
      </c>
      <c r="P79" s="32" t="n">
        <f aca="false">IF(E79&gt;0,G79*Channels!V28/E79,0)</f>
        <v>1.92</v>
      </c>
    </row>
    <row r="80" customFormat="false" ht="15" hidden="true" customHeight="false" outlineLevel="1" collapsed="false">
      <c r="A80" s="2" t="str">
        <f aca="false">Channels!A29</f>
        <v>I1b-E</v>
      </c>
      <c r="B80" s="2" t="str">
        <f aca="false">Channels!C29</f>
        <v>Electricians</v>
      </c>
      <c r="C80" s="41" t="n">
        <f aca="false">Channels!AA29</f>
        <v>3260.25</v>
      </c>
      <c r="D80" s="45" t="n">
        <f aca="false">IF(ISNUMBER(Channels!AB29),Channels!AB29,0)+ROW()/1000000</f>
        <v>1000.00008</v>
      </c>
      <c r="E80" s="32" t="n">
        <f aca="false">Channels!U29</f>
        <v>3.26025</v>
      </c>
      <c r="F80" s="32" t="n">
        <f aca="false">IF(N80&gt;0,E80*MAX(0,N80-MIN(J80,N80))/N80,IF(C80&gt;0,E80*(1-J80/C80),E80))</f>
        <v>3.26025</v>
      </c>
      <c r="G80" s="32" t="n">
        <f aca="false">IF(N80&gt;0,E80*MAX(0,N80-MIN(K80,N80))/N80,IF(C80&gt;0,E80*(1-K80/C80),E80))</f>
        <v>3.26025</v>
      </c>
      <c r="J80" s="41" t="n">
        <f aca="false">MIN(C80,MAX(0,F$54-SUMPRODUCT(($D$56:$D$85&gt;D80)*$C$56:$C$85)))</f>
        <v>0</v>
      </c>
      <c r="K80" s="41" t="n">
        <f aca="false">MIN(C80,MAX(0,G$54-SUMPRODUCT(($D$56:$D$85&gt;D80)*$C$56:$C$85)))</f>
        <v>0</v>
      </c>
      <c r="N80" s="41" t="n">
        <f aca="false">Channels!X29</f>
        <v>3260.25</v>
      </c>
      <c r="O80" s="32" t="n">
        <f aca="false">IF(E80&gt;0,F80*Channels!V29/E80,0)</f>
        <v>9</v>
      </c>
      <c r="P80" s="32" t="n">
        <f aca="false">IF(E80&gt;0,G80*Channels!V29/E80,0)</f>
        <v>9</v>
      </c>
    </row>
    <row r="81" customFormat="false" ht="15" hidden="true" customHeight="false" outlineLevel="1" collapsed="false">
      <c r="A81" s="2" t="str">
        <f aca="false">Channels!A30</f>
        <v>I1b-M</v>
      </c>
      <c r="B81" s="2" t="str">
        <f aca="false">Channels!C30</f>
        <v>Mechatronics</v>
      </c>
      <c r="C81" s="41" t="n">
        <f aca="false">Channels!AA30</f>
        <v>4995.16875</v>
      </c>
      <c r="D81" s="45" t="n">
        <f aca="false">IF(ISNUMBER(Channels!AB30),Channels!AB30,0)+ROW()/1000000</f>
        <v>1000.000081</v>
      </c>
      <c r="E81" s="32" t="n">
        <f aca="false">Channels!U30</f>
        <v>4.99516875</v>
      </c>
      <c r="F81" s="32" t="n">
        <f aca="false">IF(N81&gt;0,E81*MAX(0,N81-MIN(J81,N81))/N81,IF(C81&gt;0,E81*(1-J81/C81),E81))</f>
        <v>4.99516875</v>
      </c>
      <c r="G81" s="32" t="n">
        <f aca="false">IF(N81&gt;0,E81*MAX(0,N81-MIN(K81,N81))/N81,IF(C81&gt;0,E81*(1-K81/C81),E81))</f>
        <v>4.99516875</v>
      </c>
      <c r="J81" s="41" t="n">
        <f aca="false">MIN(C81,MAX(0,F$54-SUMPRODUCT(($D$56:$D$85&gt;D81)*$C$56:$C$85)))</f>
        <v>0</v>
      </c>
      <c r="K81" s="41" t="n">
        <f aca="false">MIN(C81,MAX(0,G$54-SUMPRODUCT(($D$56:$D$85&gt;D81)*$C$56:$C$85)))</f>
        <v>0</v>
      </c>
      <c r="N81" s="41" t="n">
        <f aca="false">Channels!X30</f>
        <v>4995.16875</v>
      </c>
      <c r="O81" s="32" t="n">
        <f aca="false">IF(E81&gt;0,F81*Channels!V30/E81,0)</f>
        <v>11.7</v>
      </c>
      <c r="P81" s="32" t="n">
        <f aca="false">IF(E81&gt;0,G81*Channels!V30/E81,0)</f>
        <v>11.7</v>
      </c>
    </row>
    <row r="82" customFormat="false" ht="15" hidden="true" customHeight="false" outlineLevel="1" collapsed="false">
      <c r="A82" s="2" t="str">
        <f aca="false">Channels!A31</f>
        <v>I1b-A</v>
      </c>
      <c r="B82" s="2" t="str">
        <f aca="false">Channels!C31</f>
        <v>Automation</v>
      </c>
      <c r="C82" s="41" t="n">
        <f aca="false">Channels!AA31</f>
        <v>1613.82375</v>
      </c>
      <c r="D82" s="45" t="n">
        <f aca="false">IF(ISNUMBER(Channels!AB31),Channels!AB31,0)+ROW()/1000000</f>
        <v>1000.000082</v>
      </c>
      <c r="E82" s="32" t="n">
        <f aca="false">Channels!U31</f>
        <v>1.61382375</v>
      </c>
      <c r="F82" s="32" t="n">
        <f aca="false">IF(N82&gt;0,E82*MAX(0,N82-MIN(J82,N82))/N82,IF(C82&gt;0,E82*(1-J82/C82),E82))</f>
        <v>1.61382375</v>
      </c>
      <c r="G82" s="32" t="n">
        <f aca="false">IF(N82&gt;0,E82*MAX(0,N82-MIN(K82,N82))/N82,IF(C82&gt;0,E82*(1-K82/C82),E82))</f>
        <v>1.61382375</v>
      </c>
      <c r="J82" s="41" t="n">
        <f aca="false">MIN(C82,MAX(0,F$54-SUMPRODUCT(($D$56:$D$85&gt;D82)*$C$56:$C$85)))</f>
        <v>0</v>
      </c>
      <c r="K82" s="41" t="n">
        <f aca="false">MIN(C82,MAX(0,G$54-SUMPRODUCT(($D$56:$D$85&gt;D82)*$C$56:$C$85)))</f>
        <v>0</v>
      </c>
      <c r="N82" s="41" t="n">
        <f aca="false">Channels!X31</f>
        <v>1613.82375</v>
      </c>
      <c r="O82" s="32" t="n">
        <f aca="false">IF(E82&gt;0,F82*Channels!V31/E82,0)</f>
        <v>4.95</v>
      </c>
      <c r="P82" s="32" t="n">
        <f aca="false">IF(E82&gt;0,G82*Channels!V31/E82,0)</f>
        <v>4.95</v>
      </c>
    </row>
    <row r="83" customFormat="false" ht="15" hidden="true" customHeight="false" outlineLevel="1" collapsed="false">
      <c r="A83" s="2" t="str">
        <f aca="false">Channels!A32</f>
        <v>I1b-S</v>
      </c>
      <c r="B83" s="2" t="str">
        <f aca="false">Channels!C32</f>
        <v>Supervisors</v>
      </c>
      <c r="C83" s="41" t="n">
        <f aca="false">Channels!AA32</f>
        <v>1108.485</v>
      </c>
      <c r="D83" s="45" t="n">
        <f aca="false">IF(ISNUMBER(Channels!AB32),Channels!AB32,0)+ROW()/1000000</f>
        <v>1000.000083</v>
      </c>
      <c r="E83" s="32" t="n">
        <f aca="false">Channels!U32</f>
        <v>1.108485</v>
      </c>
      <c r="F83" s="32" t="n">
        <f aca="false">IF(N83&gt;0,E83*MAX(0,N83-MIN(J83,N83))/N83,IF(C83&gt;0,E83*(1-J83/C83),E83))</f>
        <v>1.108485</v>
      </c>
      <c r="G83" s="32" t="n">
        <f aca="false">IF(N83&gt;0,E83*MAX(0,N83-MIN(K83,N83))/N83,IF(C83&gt;0,E83*(1-K83/C83),E83))</f>
        <v>1.108485</v>
      </c>
      <c r="J83" s="41" t="n">
        <f aca="false">MIN(C83,MAX(0,F$54-SUMPRODUCT(($D$56:$D$85&gt;D83)*$C$56:$C$85)))</f>
        <v>0</v>
      </c>
      <c r="K83" s="41" t="n">
        <f aca="false">MIN(C83,MAX(0,G$54-SUMPRODUCT(($D$56:$D$85&gt;D83)*$C$56:$C$85)))</f>
        <v>0</v>
      </c>
      <c r="N83" s="41" t="n">
        <f aca="false">Channels!X32</f>
        <v>1108.485</v>
      </c>
      <c r="O83" s="32" t="n">
        <f aca="false">IF(E83&gt;0,F83*Channels!V32/E83,0)</f>
        <v>4.05</v>
      </c>
      <c r="P83" s="32" t="n">
        <f aca="false">IF(E83&gt;0,G83*Channels!V32/E83,0)</f>
        <v>4.05</v>
      </c>
    </row>
    <row r="84" customFormat="false" ht="15" hidden="true" customHeight="false" outlineLevel="1" collapsed="false">
      <c r="A84" s="2" t="str">
        <f aca="false">Channels!A33</f>
        <v>I2-E</v>
      </c>
      <c r="B84" s="2" t="str">
        <f aca="false">Channels!C33</f>
        <v>Electricians</v>
      </c>
      <c r="C84" s="41" t="n">
        <f aca="false">Channels!AA33</f>
        <v>11112</v>
      </c>
      <c r="D84" s="45" t="n">
        <f aca="false">IF(ISNUMBER(Channels!AB33),Channels!AB33,0)+ROW()/1000000</f>
        <v>1328.67015843279</v>
      </c>
      <c r="E84" s="32" t="n">
        <f aca="false">Channels!U33</f>
        <v>8.36325</v>
      </c>
      <c r="F84" s="32" t="n">
        <f aca="false">IF(N84&gt;0,E84*MAX(0,N84-MIN(J84,N84))/N84,IF(C84&gt;0,E84*(1-J84/C84),E84))</f>
        <v>8.36325</v>
      </c>
      <c r="G84" s="32" t="n">
        <f aca="false">IF(N84&gt;0,E84*MAX(0,N84-MIN(K84,N84))/N84,IF(C84&gt;0,E84*(1-K84/C84),E84))</f>
        <v>8.36325</v>
      </c>
      <c r="J84" s="41" t="n">
        <f aca="false">MIN(C84,MAX(0,F$54-SUMPRODUCT(($D$56:$D$85&gt;D84)*$C$56:$C$85)))</f>
        <v>0</v>
      </c>
      <c r="K84" s="41" t="n">
        <f aca="false">MIN(C84,MAX(0,G$54-SUMPRODUCT(($D$56:$D$85&gt;D84)*$C$56:$C$85)))</f>
        <v>0</v>
      </c>
      <c r="N84" s="41" t="n">
        <f aca="false">Channels!X33</f>
        <v>9912</v>
      </c>
      <c r="O84" s="32" t="n">
        <f aca="false">IF(E84&gt;0,F84*Channels!V33/E84,0)</f>
        <v>29.5</v>
      </c>
      <c r="P84" s="32" t="n">
        <f aca="false">IF(E84&gt;0,G84*Channels!V33/E84,0)</f>
        <v>29.5</v>
      </c>
    </row>
    <row r="85" customFormat="false" ht="15" hidden="true" customHeight="false" outlineLevel="1" collapsed="false">
      <c r="A85" s="2" t="str">
        <f aca="false">Channels!A34</f>
        <v>I3-M</v>
      </c>
      <c r="B85" s="2" t="str">
        <f aca="false">Channels!C34</f>
        <v>Mechatronics</v>
      </c>
      <c r="C85" s="41" t="n">
        <f aca="false">Channels!AA34</f>
        <v>6893.50649350649</v>
      </c>
      <c r="D85" s="45" t="n">
        <f aca="false">IF(ISNUMBER(Channels!AB34),Channels!AB34,0)+ROW()/1000000</f>
        <v>382.972667972583</v>
      </c>
      <c r="E85" s="32" t="n">
        <f aca="false">Channels!U34</f>
        <v>18</v>
      </c>
      <c r="F85" s="32" t="n">
        <f aca="false">IF(Assumptions!$D$10&gt;=1,IF(N85&gt;0,E85*MAX(0,N85-MIN(J85,N85))/N85,IF(C85&gt;0,E85*(1-J85/C85),E85)),MIN(IF(N85&gt;0,E85*MAX(0,N85-MIN(J85,N85))/N85,IF(C85&gt;0,E85*(1-J85/C85),E85)),Assumptions!$D$10/(1-Assumptions!$D$10)*SUMIFS(F$56:F$84,$B$56:$B$84,"Mechatronics")))</f>
        <v>18</v>
      </c>
      <c r="G85" s="32" t="n">
        <f aca="false">IF(Assumptions!$D$10&gt;=1,IF(N85&gt;0,E85*MAX(0,N85-MIN(K85,N85))/N85,IF(C85&gt;0,E85*(1-K85/C85),E85)),MIN(IF(N85&gt;0,E85*MAX(0,N85-MIN(K85,N85))/N85,IF(C85&gt;0,E85*(1-K85/C85),E85)),Assumptions!$D$10/(1-Assumptions!$D$10)*SUMIFS(G$56:G$84,$B$56:$B$84,"Mechatronics")))</f>
        <v>17.5920163482642</v>
      </c>
      <c r="J85" s="41" t="n">
        <f aca="false">MIN(C85,MAX(0,F$54-SUMPRODUCT(($D$56:$D$85&gt;D85)*$C$56:$C$85)))</f>
        <v>0</v>
      </c>
      <c r="K85" s="41" t="n">
        <f aca="false">MIN(C85,MAX(0,G$54-SUMPRODUCT(($D$56:$D$85&gt;D85)*$C$56:$C$85)))</f>
        <v>0</v>
      </c>
      <c r="N85" s="41" t="n">
        <f aca="false">Channels!X34</f>
        <v>6493.50649350649</v>
      </c>
      <c r="O85" s="32" t="n">
        <f aca="false">IF(E85&gt;0,F85*Channels!V34/E85,0)</f>
        <v>48.4848484848485</v>
      </c>
      <c r="P85" s="32" t="n">
        <f aca="false">IF(E85&gt;0,G85*Channels!V34/E85,0)</f>
        <v>47.385902621587</v>
      </c>
    </row>
    <row r="86" customFormat="false" ht="15" hidden="false" customHeight="false" outlineLevel="0" collapsed="false">
      <c r="E86" s="28" t="s">
        <v>681</v>
      </c>
    </row>
    <row r="87" customFormat="false" ht="15" hidden="false" customHeight="false" outlineLevel="0" collapsed="false">
      <c r="E87" s="2" t="s">
        <v>48</v>
      </c>
      <c r="F87" s="32" t="n">
        <f aca="false">SUMIFS(F$56:F$85,$B$56:$B$85,$E87)*F$95</f>
        <v>30</v>
      </c>
      <c r="G87" s="32" t="n">
        <f aca="false">SUMIFS(G$56:G$85,$B$56:$B$85,$E87)*G$95</f>
        <v>20.5254</v>
      </c>
    </row>
    <row r="88" customFormat="false" ht="15" hidden="false" customHeight="false" outlineLevel="0" collapsed="false">
      <c r="E88" s="2" t="s">
        <v>43</v>
      </c>
      <c r="F88" s="32" t="n">
        <f aca="false">SUMIFS(F$56:F$85,$B$56:$B$85,$E88)*F$95</f>
        <v>45</v>
      </c>
      <c r="G88" s="32" t="n">
        <f aca="false">SUMIFS(G$56:G$85,$B$56:$B$85,$E88)*G$95</f>
        <v>43.9800408706604</v>
      </c>
    </row>
    <row r="89" customFormat="false" ht="15" hidden="false" customHeight="false" outlineLevel="0" collapsed="false">
      <c r="E89" s="2" t="s">
        <v>52</v>
      </c>
      <c r="F89" s="32" t="n">
        <f aca="false">SUMIFS(F$56:F$85,$B$56:$B$85,$E89)*F$95</f>
        <v>15</v>
      </c>
      <c r="G89" s="32" t="n">
        <f aca="false">SUMIFS(G$56:G$85,$B$56:$B$85,$E89)*G$95</f>
        <v>14.4949796575176</v>
      </c>
    </row>
    <row r="90" customFormat="false" ht="15" hidden="false" customHeight="false" outlineLevel="0" collapsed="false">
      <c r="E90" s="2" t="s">
        <v>54</v>
      </c>
      <c r="F90" s="32" t="n">
        <f aca="false">SUMIFS(F$56:F$85,$B$56:$B$85,$E90)*F$95</f>
        <v>10</v>
      </c>
      <c r="G90" s="32" t="n">
        <f aca="false">SUMIFS(G$56:G$85,$B$56:$B$85,$E90)*G$95</f>
        <v>8.05738580303432</v>
      </c>
    </row>
    <row r="91" customFormat="false" ht="15" hidden="false" customHeight="false" outlineLevel="0" collapsed="false">
      <c r="E91" s="28" t="s">
        <v>463</v>
      </c>
      <c r="F91" s="35" t="n">
        <f aca="false">SUM(F87:F90)</f>
        <v>100</v>
      </c>
      <c r="G91" s="35" t="n">
        <f aca="false">SUM(G87:G90)</f>
        <v>87.0578063312124</v>
      </c>
    </row>
    <row r="92" customFormat="false" ht="15" hidden="false" customHeight="false" outlineLevel="0" collapsed="false">
      <c r="E92" s="2" t="s">
        <v>659</v>
      </c>
      <c r="F92" s="41" t="n">
        <f aca="false">IF(F91&gt;0,F52/F91,0)</f>
        <v>1225</v>
      </c>
      <c r="G92" s="41" t="n">
        <f aca="false">IF(G91&gt;0,G52/G91,0)</f>
        <v>984.977724728822</v>
      </c>
    </row>
    <row r="94" customFormat="false" ht="15" hidden="false" customHeight="false" outlineLevel="0" collapsed="false">
      <c r="E94" s="2" t="s">
        <v>682</v>
      </c>
      <c r="F94" s="32" t="n">
        <f aca="false">SUM(O56:O85)</f>
        <v>307.973076082958</v>
      </c>
      <c r="G94" s="32" t="n">
        <f aca="false">SUM(P56:P85)</f>
        <v>265.203994792217</v>
      </c>
    </row>
    <row r="95" customFormat="false" ht="15" hidden="false" customHeight="false" outlineLevel="0" collapsed="false">
      <c r="E95" s="2" t="s">
        <v>683</v>
      </c>
      <c r="F95" s="30" t="n">
        <f aca="false">IF(F94&gt;0,MIN(1,Funnel!$B$22/F94),1)</f>
        <v>1</v>
      </c>
      <c r="G95" s="30" t="n">
        <f aca="false">IF(G94&gt;0,MIN(1,Funnel!$B$22/G94),1)</f>
        <v>1</v>
      </c>
    </row>
    <row r="97" customFormat="false" ht="407.45" hidden="false" customHeight="false" outlineLevel="0" collapsed="false">
      <c r="A97" s="13" t="s">
        <v>684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EA9DB"/>
    <pageSetUpPr fitToPage="false"/>
  </sheetPr>
  <dimension ref="A1:AG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1"/>
  <cols>
    <col collapsed="false" customWidth="true" hidden="false" outlineLevel="0" max="1" min="1" style="0" width="7"/>
    <col collapsed="false" customWidth="true" hidden="false" outlineLevel="0" max="3" min="2" style="0" width="13"/>
    <col collapsed="false" customWidth="true" hidden="false" outlineLevel="0" max="5" min="4" style="0" width="12"/>
    <col collapsed="false" customWidth="true" hidden="false" outlineLevel="0" max="6" min="6" style="0" width="14"/>
    <col collapsed="false" customWidth="true" hidden="false" outlineLevel="0" max="23" min="7" style="0" width="12"/>
    <col collapsed="false" customWidth="true" hidden="true" outlineLevel="1" max="26" min="24" style="0" width="12"/>
  </cols>
  <sheetData>
    <row r="1" customFormat="false" ht="17.35" hidden="false" customHeight="false" outlineLevel="0" collapsed="false">
      <c r="A1" s="1" t="s">
        <v>685</v>
      </c>
    </row>
    <row r="2" customFormat="false" ht="508.95" hidden="false" customHeight="false" outlineLevel="0" collapsed="false">
      <c r="A2" s="13" t="s">
        <v>686</v>
      </c>
    </row>
    <row r="3" customFormat="false" ht="45" hidden="false" customHeight="true" outlineLevel="0" collapsed="false">
      <c r="A3" s="12" t="s">
        <v>687</v>
      </c>
      <c r="B3" s="12" t="s">
        <v>688</v>
      </c>
      <c r="C3" s="12" t="s">
        <v>689</v>
      </c>
      <c r="D3" s="12" t="s">
        <v>690</v>
      </c>
      <c r="E3" s="12" t="s">
        <v>691</v>
      </c>
      <c r="F3" s="12" t="s">
        <v>692</v>
      </c>
      <c r="G3" s="12" t="s">
        <v>693</v>
      </c>
      <c r="H3" s="12" t="s">
        <v>694</v>
      </c>
      <c r="I3" s="12" t="s">
        <v>695</v>
      </c>
      <c r="J3" s="12" t="s">
        <v>696</v>
      </c>
      <c r="K3" s="12" t="s">
        <v>697</v>
      </c>
      <c r="L3" s="12" t="s">
        <v>698</v>
      </c>
      <c r="M3" s="12" t="s">
        <v>699</v>
      </c>
      <c r="N3" s="12" t="s">
        <v>700</v>
      </c>
      <c r="O3" s="12" t="s">
        <v>701</v>
      </c>
      <c r="P3" s="12" t="s">
        <v>702</v>
      </c>
      <c r="Q3" s="12" t="s">
        <v>703</v>
      </c>
      <c r="R3" s="12" t="s">
        <v>704</v>
      </c>
      <c r="S3" s="12" t="s">
        <v>705</v>
      </c>
      <c r="T3" s="12" t="s">
        <v>706</v>
      </c>
      <c r="U3" s="12" t="s">
        <v>707</v>
      </c>
      <c r="V3" s="12" t="s">
        <v>708</v>
      </c>
      <c r="W3" s="12" t="s">
        <v>709</v>
      </c>
      <c r="X3" s="12" t="s">
        <v>710</v>
      </c>
      <c r="Y3" s="12" t="s">
        <v>711</v>
      </c>
      <c r="Z3" s="49" t="s">
        <v>712</v>
      </c>
      <c r="AA3" s="49" t="s">
        <v>713</v>
      </c>
      <c r="AB3" s="49" t="s">
        <v>714</v>
      </c>
      <c r="AC3" s="49" t="s">
        <v>715</v>
      </c>
      <c r="AD3" s="49" t="s">
        <v>716</v>
      </c>
      <c r="AE3" s="49" t="s">
        <v>717</v>
      </c>
      <c r="AF3" s="49" t="s">
        <v>718</v>
      </c>
      <c r="AG3" s="49" t="s">
        <v>719</v>
      </c>
    </row>
    <row r="4" customFormat="false" ht="15" hidden="false" customHeight="false" outlineLevel="0" collapsed="false">
      <c r="A4" s="29" t="n">
        <v>1</v>
      </c>
      <c r="B4" s="50" t="n">
        <f aca="false">Assumptions!$D$7+7*(A4-1)</f>
        <v>46315</v>
      </c>
      <c r="C4" s="50" t="n">
        <f aca="false">MIN(B4+6,Assumptions!$D$8)</f>
        <v>46321</v>
      </c>
      <c r="D4" s="30" t="n">
        <f aca="false">IF(SUMPRODUCT(($B$4:$B$14&lt;=Funnel!$B$19)*$Z$4:$Z$14)&gt;0,IF(B4&lt;=Funnel!$B$19,Z4,0)/SUMPRODUCT(($B$4:$B$14&lt;=Funnel!$B$19)*$Z$4:$Z$14),0)</f>
        <v>0.316</v>
      </c>
      <c r="E4" s="30" t="n">
        <f aca="false">IF(SUM($AA$4:$AA$14)&gt;0,AA4/SUM($AA$4:$AA$14),0)</f>
        <v>0.392129055132069</v>
      </c>
      <c r="F4" s="30" t="n">
        <f aca="false">IF(A4-ROUNDUP(Funnel!$B$15/7,0)&gt;=1,INDEX($D$4:$D$14,A4-ROUNDUP(Funnel!$B$15/7,0)),0)</f>
        <v>0</v>
      </c>
      <c r="G4" s="30" t="n">
        <f aca="false">IF(A4-ROUNDUP(Funnel!$B$16/7,0)&gt;=1,INDEX($E$4:$E$14,A4-ROUNDUP(Funnel!$B$16/7,0)),0)</f>
        <v>0</v>
      </c>
      <c r="H4" s="41" t="n">
        <f aca="false">($F$19-$L$19-$L$23)*D4+$L$19*AB4+$L$23*AC4+$F$20*E4+$F$31*Y4</f>
        <v>21493.923944841</v>
      </c>
      <c r="I4" s="41" t="n">
        <f aca="false">IF(A4=1,$F$21,0)</f>
        <v>5796</v>
      </c>
      <c r="J4" s="41" t="n">
        <f aca="false">$F$22*F4+$F$23*G4</f>
        <v>0</v>
      </c>
      <c r="K4" s="41" t="n">
        <f aca="false">IF(A4=1,Budget!$C$6,0)</f>
        <v>1600</v>
      </c>
      <c r="L4" s="41" t="n">
        <f aca="false">$F$24*X4</f>
        <v>3600</v>
      </c>
      <c r="M4" s="41" t="n">
        <f aca="false">SUM(H4:L4)</f>
        <v>32489.923944841</v>
      </c>
      <c r="N4" s="41" t="n">
        <f aca="false">SUM($M$4:M4)</f>
        <v>32489.923944841</v>
      </c>
      <c r="O4" s="29" t="n">
        <f aca="false">(Funnel!$M$5+Funnel!$M$6+Funnel!$M$7-$F$27-$F$34-$L$20-$L$24)*D4+$L$20*AB4+$L$24*AC4+(Funnel!$M$8-$F$28-$F$35)*E4+($F$27+$F$28)*X4+($F$34+$F$35)*Y4</f>
        <v>376.189537902275</v>
      </c>
      <c r="P4" s="29" t="n">
        <f aca="false">(Funnel!$O$5+Funnel!$O$6+Funnel!$O$7-$F$25-$F$32-$L$21-$L$25)*D4+$L$21*AB4+$L$25*AC4+(Funnel!$O$8-$F$26-$F$33)*E4+($F$25+$F$26)*X4+($F$32+$F$33)*Y4</f>
        <v>86.1932888080734</v>
      </c>
      <c r="Q4" s="29" t="n">
        <f aca="false">Assumptions!$D$9*MAX(0,MIN(C4+Assumptions!$D$21,Funnel!$B$17)-MAX(IF(A4=1,Funnel!$B$13,B4+Assumptions!$D$21),Funnel!$B$13)+1)/7</f>
        <v>86.4285714285714</v>
      </c>
      <c r="R4" s="30" t="n">
        <f aca="false">IF(Q4&gt;0,P4/Q4,IF(P4&gt;0,9.99,0))</f>
        <v>0.997277721746304</v>
      </c>
      <c r="S4" s="2" t="str">
        <f aca="false">IF(P4&gt;Q4+0.5,"OVER "&amp;Assumptions!$D$9&amp;"/wk – pace down",IF(R4&gt;Assumptions!$D$102,"Full",IF(AND(Q4&gt;=Assumptions!$D$103,P4&lt;Assumptions!$D$103),"Under "&amp;Assumptions!$D$103&amp;" – release reserve","")))</f>
        <v>Full</v>
      </c>
      <c r="T4" s="32" t="n">
        <f aca="false">$F$38*(F4*(Budget!$G$21+Budget!$G$22+Budget!$G$23-$F$29-$F$36-$L$22-$L$26)+IF(A4-ROUNDUP(Funnel!$B$15/7,0)&gt;=1,INDEX($X$4:$X$14,A4-ROUNDUP(Funnel!$B$15/7,0))*$F$29+INDEX($Y$4:$Y$14,A4-ROUNDUP(Funnel!$B$15/7,0))*$F$36+INDEX($AB$4:$AB$14,A4-ROUNDUP(Funnel!$B$15/7,0))*$L$22+INDEX($AC$4:$AC$14,A4-ROUNDUP(Funnel!$B$15/7,0))*$L$26,0))</f>
        <v>0</v>
      </c>
      <c r="U4" s="32" t="n">
        <f aca="false">$F$38*(G4*(Budget!$G$24-$F$30-$F$37)+IF(A4-ROUNDUP(Funnel!$B$16/7,0)&gt;=1,INDEX($X$4:$X$14,A4-ROUNDUP(Funnel!$B$16/7,0))*$F$30+INDEX($Y$4:$Y$14,A4-ROUNDUP(Funnel!$B$16/7,0))*$F$37,0))</f>
        <v>0</v>
      </c>
      <c r="V4" s="32" t="n">
        <f aca="false">T4+U4</f>
        <v>0</v>
      </c>
      <c r="W4" s="32" t="n">
        <f aca="false">SUM($V$4:V4)</f>
        <v>0</v>
      </c>
      <c r="X4" s="30" t="n">
        <f aca="false">IF(A4=1,Assumptions!$D$50,IF(A4=2,1-Assumptions!$D$50,0))</f>
        <v>0.4</v>
      </c>
      <c r="Y4" s="30" t="n">
        <f aca="false">Assumptions!$D$93</f>
        <v>0.6</v>
      </c>
      <c r="Z4" s="30" t="n">
        <f aca="false">Assumptions!$D$53</f>
        <v>0.316</v>
      </c>
      <c r="AA4" s="30" t="n">
        <f aca="false">D4*IF(MAX(0,MIN(C4,Funnel!$B$19)-B4+1)&gt;0,MAX(0,MIN(C4,Funnel!$B$20)-B4+1)/MAX(0,MIN(C4,Funnel!$B$19)-B4+1),0)</f>
        <v>0.316</v>
      </c>
      <c r="AB4" s="30" t="n">
        <f aca="false">IF(SUM($AD$4:$AD$14)&gt;0,AD4/SUM($AD$4:$AD$14),IF(SUM($AF$4:$AF$14)&gt;0,AF4/SUM($AF$4:$AF$14),0))</f>
        <v>0.208856576338401</v>
      </c>
      <c r="AC4" s="30" t="n">
        <f aca="false">IF(SUM($AE$4:$AE$14)&gt;0,AE4/SUM($AE$4:$AE$14),IF(SUM($AG$4:$AG$14)&gt;0,AG4/SUM($AG$4:$AG$14),0))</f>
        <v>0</v>
      </c>
      <c r="AD4" s="30" t="n">
        <f aca="false">D4*IF(MAX(0,MIN(C4,Funnel!$B$19)-B4+1)&gt;0,MAX(0,MIN(C4,Funnel!$B$19)-MAX(B4,Assumptions!$D$7+Assumptions!$D$181)+1)/MAX(0,MIN(C4,Funnel!$B$19)-B4+1),0)</f>
        <v>0.180571428571429</v>
      </c>
      <c r="AE4" s="30" t="n">
        <f aca="false">D4*IF(MAX(0,MIN(C4,Funnel!$B$19)-B4+1)&gt;0,MAX(0,MIN(C4,Funnel!$B$19)-MAX(B4,Assumptions!$D$7+Assumptions!$D$182)+1)/MAX(0,MIN(C4,Funnel!$B$19)-B4+1),0)</f>
        <v>0</v>
      </c>
      <c r="AF4" s="29" t="n">
        <f aca="false">MAX(0,MIN(C4,Funnel!$B$19)-MAX(B4,Assumptions!$D$7+Assumptions!$D$181)+1)</f>
        <v>4</v>
      </c>
      <c r="AG4" s="29" t="n">
        <f aca="false">MAX(0,MIN(C4,Funnel!$B$19)-MAX(B4,Assumptions!$D$7+Assumptions!$D$182)+1)</f>
        <v>0</v>
      </c>
    </row>
    <row r="5" customFormat="false" ht="15" hidden="false" customHeight="false" outlineLevel="0" collapsed="false">
      <c r="A5" s="29" t="n">
        <v>2</v>
      </c>
      <c r="B5" s="50" t="n">
        <f aca="false">Assumptions!$D$7+7*(A5-1)</f>
        <v>46322</v>
      </c>
      <c r="C5" s="50" t="n">
        <f aca="false">MIN(B5+6,Assumptions!$D$8)</f>
        <v>46328</v>
      </c>
      <c r="D5" s="30" t="n">
        <f aca="false">IF(SUMPRODUCT(($B$4:$B$14&lt;=Funnel!$B$19)*$Z$4:$Z$14)&gt;0,IF(B5&lt;=Funnel!$B$19,Z5,0)/SUMPRODUCT(($B$4:$B$14&lt;=Funnel!$B$19)*$Z$4:$Z$14),0)</f>
        <v>0.131</v>
      </c>
      <c r="E5" s="30" t="n">
        <f aca="false">IF(SUM($AA$4:$AA$14)&gt;0,AA5/SUM($AA$4:$AA$14),0)</f>
        <v>0.162559829817408</v>
      </c>
      <c r="F5" s="30" t="n">
        <f aca="false">IF(A5-ROUNDUP(Funnel!$B$15/7,0)&gt;=1,INDEX($D$4:$D$14,A5-ROUNDUP(Funnel!$B$15/7,0)),0)</f>
        <v>0</v>
      </c>
      <c r="G5" s="30" t="n">
        <f aca="false">IF(A5-ROUNDUP(Funnel!$B$16/7,0)&gt;=1,INDEX($E$4:$E$14,A5-ROUNDUP(Funnel!$B$16/7,0)),0)</f>
        <v>0</v>
      </c>
      <c r="H5" s="41" t="n">
        <f aca="false">($F$19-$L$19-$L$23)*D5+$L$19*AB5+$L$23*AC5+$F$20*E5+$F$31*Y5</f>
        <v>10800.3649745329</v>
      </c>
      <c r="I5" s="41" t="n">
        <f aca="false">IF(A5=1,$F$21,0)</f>
        <v>0</v>
      </c>
      <c r="J5" s="41" t="n">
        <f aca="false">$F$22*F5+$F$23*G5</f>
        <v>0</v>
      </c>
      <c r="K5" s="41" t="n">
        <f aca="false">IF(A5=1,Budget!$C$6,0)</f>
        <v>0</v>
      </c>
      <c r="L5" s="41" t="n">
        <f aca="false">$F$24*X5</f>
        <v>5400</v>
      </c>
      <c r="M5" s="41" t="n">
        <f aca="false">SUM(H5:L5)</f>
        <v>16200.3649745329</v>
      </c>
      <c r="N5" s="47" t="n">
        <f aca="false">SUM($M$4:M5)</f>
        <v>48690.2889193739</v>
      </c>
      <c r="O5" s="29" t="n">
        <f aca="false">(Funnel!$M$5+Funnel!$M$6+Funnel!$M$7-$F$27-$F$34-$L$20-$L$24)*D5+$L$20*AB5+$L$24*AC5+(Funnel!$M$8-$F$28-$F$35)*E5+($F$27+$F$28)*X5+($F$34+$F$35)*Y5</f>
        <v>260.891023555101</v>
      </c>
      <c r="P5" s="29" t="n">
        <f aca="false">(Funnel!$O$5+Funnel!$O$6+Funnel!$O$7-$F$25-$F$32-$L$21-$L$25)*D5+$L$21*AB5+$L$25*AC5+(Funnel!$O$8-$F$26-$F$33)*E5+($F$25+$F$26)*X5+($F$32+$F$33)*Y5</f>
        <v>52.7478476582212</v>
      </c>
      <c r="Q5" s="29" t="n">
        <f aca="false">Assumptions!$D$9*MAX(0,MIN(C5+Assumptions!$D$21,Funnel!$B$17)-MAX(IF(A5=1,Funnel!$B$13,B5+Assumptions!$D$21),Funnel!$B$13)+1)/7</f>
        <v>55</v>
      </c>
      <c r="R5" s="30" t="n">
        <f aca="false">IF(Q5&gt;0,P5/Q5,IF(P5&gt;0,9.99,0))</f>
        <v>0.959051775604022</v>
      </c>
      <c r="S5" s="2" t="str">
        <f aca="false">IF(P5&gt;Q5+0.5,"OVER "&amp;Assumptions!$D$9&amp;"/wk – pace down",IF(R5&gt;Assumptions!$D$102,"Full",IF(AND(Q5&gt;=Assumptions!$D$103,P5&lt;Assumptions!$D$103),"Under "&amp;Assumptions!$D$103&amp;" – release reserve","")))</f>
        <v>Full</v>
      </c>
      <c r="T5" s="32" t="n">
        <f aca="false">$F$38*(F5*(Budget!$G$21+Budget!$G$22+Budget!$G$23-$F$29-$F$36-$L$22-$L$26)+IF(A5-ROUNDUP(Funnel!$B$15/7,0)&gt;=1,INDEX($X$4:$X$14,A5-ROUNDUP(Funnel!$B$15/7,0))*$F$29+INDEX($Y$4:$Y$14,A5-ROUNDUP(Funnel!$B$15/7,0))*$F$36+INDEX($AB$4:$AB$14,A5-ROUNDUP(Funnel!$B$15/7,0))*$L$22+INDEX($AC$4:$AC$14,A5-ROUNDUP(Funnel!$B$15/7,0))*$L$26,0))</f>
        <v>0</v>
      </c>
      <c r="U5" s="32" t="n">
        <f aca="false">$F$38*(G5*(Budget!$G$24-$F$30-$F$37)+IF(A5-ROUNDUP(Funnel!$B$16/7,0)&gt;=1,INDEX($X$4:$X$14,A5-ROUNDUP(Funnel!$B$16/7,0))*$F$30+INDEX($Y$4:$Y$14,A5-ROUNDUP(Funnel!$B$16/7,0))*$F$37,0))</f>
        <v>0</v>
      </c>
      <c r="V5" s="32" t="n">
        <f aca="false">T5+U5</f>
        <v>0</v>
      </c>
      <c r="W5" s="32" t="n">
        <f aca="false">SUM($V$4:V5)</f>
        <v>0</v>
      </c>
      <c r="X5" s="30" t="n">
        <f aca="false">IF(A5=1,Assumptions!$D$50,IF(A5=2,1-Assumptions!$D$50,0))</f>
        <v>0.6</v>
      </c>
      <c r="Y5" s="30" t="n">
        <f aca="false">Assumptions!$D$94</f>
        <v>0.29</v>
      </c>
      <c r="Z5" s="30" t="n">
        <f aca="false">Assumptions!$D$54</f>
        <v>0.131</v>
      </c>
      <c r="AA5" s="30" t="n">
        <f aca="false">D5*IF(MAX(0,MIN(C5,Funnel!$B$19)-B5+1)&gt;0,MAX(0,MIN(C5,Funnel!$B$20)-B5+1)/MAX(0,MIN(C5,Funnel!$B$19)-B5+1),0)</f>
        <v>0.131</v>
      </c>
      <c r="AB5" s="30" t="n">
        <f aca="false">IF(SUM($AD$4:$AD$14)&gt;0,AD5/SUM($AD$4:$AD$14),IF(SUM($AF$4:$AF$14)&gt;0,AF5/SUM($AF$4:$AF$14),0))</f>
        <v>0.151520158625248</v>
      </c>
      <c r="AC5" s="30" t="n">
        <f aca="false">IF(SUM($AE$4:$AE$14)&gt;0,AE5/SUM($AE$4:$AE$14),IF(SUM($AG$4:$AG$14)&gt;0,AG5/SUM($AG$4:$AG$14),0))</f>
        <v>0.191520467836257</v>
      </c>
      <c r="AD5" s="30" t="n">
        <f aca="false">D5*IF(MAX(0,MIN(C5,Funnel!$B$19)-B5+1)&gt;0,MAX(0,MIN(C5,Funnel!$B$19)-MAX(B5,Assumptions!$D$7+Assumptions!$D$181)+1)/MAX(0,MIN(C5,Funnel!$B$19)-B5+1),0)</f>
        <v>0.131</v>
      </c>
      <c r="AE5" s="30" t="n">
        <f aca="false">D5*IF(MAX(0,MIN(C5,Funnel!$B$19)-B5+1)&gt;0,MAX(0,MIN(C5,Funnel!$B$19)-MAX(B5,Assumptions!$D$7+Assumptions!$D$182)+1)/MAX(0,MIN(C5,Funnel!$B$19)-B5+1),0)</f>
        <v>0.131</v>
      </c>
      <c r="AF5" s="29" t="n">
        <f aca="false">MAX(0,MIN(C5,Funnel!$B$19)-MAX(B5,Assumptions!$D$7+Assumptions!$D$181)+1)</f>
        <v>7</v>
      </c>
      <c r="AG5" s="29" t="n">
        <f aca="false">MAX(0,MIN(C5,Funnel!$B$19)-MAX(B5,Assumptions!$D$7+Assumptions!$D$182)+1)</f>
        <v>7</v>
      </c>
    </row>
    <row r="6" customFormat="false" ht="15" hidden="false" customHeight="false" outlineLevel="0" collapsed="false">
      <c r="A6" s="29" t="n">
        <v>3</v>
      </c>
      <c r="B6" s="50" t="n">
        <f aca="false">Assumptions!$D$7+7*(A6-1)</f>
        <v>46329</v>
      </c>
      <c r="C6" s="50" t="n">
        <f aca="false">MIN(B6+6,Assumptions!$D$8)</f>
        <v>46335</v>
      </c>
      <c r="D6" s="30" t="n">
        <f aca="false">IF(SUMPRODUCT(($B$4:$B$14&lt;=Funnel!$B$19)*$Z$4:$Z$14)&gt;0,IF(B6&lt;=Funnel!$B$19,Z6,0)/SUMPRODUCT(($B$4:$B$14&lt;=Funnel!$B$19)*$Z$4:$Z$14),0)</f>
        <v>0.161</v>
      </c>
      <c r="E6" s="30" t="n">
        <f aca="false">IF(SUM($AA$4:$AA$14)&gt;0,AA6/SUM($AA$4:$AA$14),0)</f>
        <v>0.199787271760326</v>
      </c>
      <c r="F6" s="30" t="n">
        <f aca="false">IF(A6-ROUNDUP(Funnel!$B$15/7,0)&gt;=1,INDEX($D$4:$D$14,A6-ROUNDUP(Funnel!$B$15/7,0)),0)</f>
        <v>0</v>
      </c>
      <c r="G6" s="30" t="n">
        <f aca="false">IF(A6-ROUNDUP(Funnel!$B$16/7,0)&gt;=1,INDEX($E$4:$E$14,A6-ROUNDUP(Funnel!$B$16/7,0)),0)</f>
        <v>0</v>
      </c>
      <c r="H6" s="41" t="n">
        <f aca="false">($F$19-$L$19-$L$23)*D6+$L$19*AB6+$L$23*AC6+$F$20*E6+$F$31*Y6</f>
        <v>13258.1331061054</v>
      </c>
      <c r="I6" s="41" t="n">
        <f aca="false">IF(A6=1,$F$21,0)</f>
        <v>0</v>
      </c>
      <c r="J6" s="41" t="n">
        <f aca="false">$F$22*F6+$F$23*G6</f>
        <v>0</v>
      </c>
      <c r="K6" s="41" t="n">
        <f aca="false">IF(A6=1,Budget!$C$6,0)</f>
        <v>0</v>
      </c>
      <c r="L6" s="41" t="n">
        <f aca="false">$F$24*X6</f>
        <v>0</v>
      </c>
      <c r="M6" s="41" t="n">
        <f aca="false">SUM(H6:L6)</f>
        <v>13258.1331061054</v>
      </c>
      <c r="N6" s="41" t="n">
        <f aca="false">SUM($M$4:M6)</f>
        <v>61948.4220254793</v>
      </c>
      <c r="O6" s="29" t="n">
        <f aca="false">(Funnel!$M$5+Funnel!$M$6+Funnel!$M$7-$F$27-$F$34-$L$20-$L$24)*D6+$L$20*AB6+$L$24*AC6+(Funnel!$M$8-$F$28-$F$35)*E6+($F$27+$F$28)*X6+($F$34+$F$35)*Y6</f>
        <v>263.608822740179</v>
      </c>
      <c r="P6" s="29" t="n">
        <f aca="false">(Funnel!$O$5+Funnel!$O$6+Funnel!$O$7-$F$25-$F$32-$L$21-$L$25)*D6+$L$21*AB6+$L$25*AC6+(Funnel!$O$8-$F$26-$F$33)*E6+($F$25+$F$26)*X6+($F$32+$F$33)*Y6</f>
        <v>52.7201803898792</v>
      </c>
      <c r="Q6" s="29" t="n">
        <f aca="false">Assumptions!$D$9*MAX(0,MIN(C6+Assumptions!$D$21,Funnel!$B$17)-MAX(IF(A6=1,Funnel!$B$13,B6+Assumptions!$D$21),Funnel!$B$13)+1)/7</f>
        <v>55</v>
      </c>
      <c r="R6" s="30" t="n">
        <f aca="false">IF(Q6&gt;0,P6/Q6,IF(P6&gt;0,9.99,0))</f>
        <v>0.95854873436144</v>
      </c>
      <c r="S6" s="2" t="str">
        <f aca="false">IF(P6&gt;Q6+0.5,"OVER "&amp;Assumptions!$D$9&amp;"/wk – pace down",IF(R6&gt;Assumptions!$D$102,"Full",IF(AND(Q6&gt;=Assumptions!$D$103,P6&lt;Assumptions!$D$103),"Under "&amp;Assumptions!$D$103&amp;" – release reserve","")))</f>
        <v>Full</v>
      </c>
      <c r="T6" s="32" t="n">
        <f aca="false">$F$38*(F6*(Budget!$G$21+Budget!$G$22+Budget!$G$23-$F$29-$F$36-$L$22-$L$26)+IF(A6-ROUNDUP(Funnel!$B$15/7,0)&gt;=1,INDEX($X$4:$X$14,A6-ROUNDUP(Funnel!$B$15/7,0))*$F$29+INDEX($Y$4:$Y$14,A6-ROUNDUP(Funnel!$B$15/7,0))*$F$36+INDEX($AB$4:$AB$14,A6-ROUNDUP(Funnel!$B$15/7,0))*$L$22+INDEX($AC$4:$AC$14,A6-ROUNDUP(Funnel!$B$15/7,0))*$L$26,0))</f>
        <v>0</v>
      </c>
      <c r="U6" s="32" t="n">
        <f aca="false">$F$38*(G6*(Budget!$G$24-$F$30-$F$37)+IF(A6-ROUNDUP(Funnel!$B$16/7,0)&gt;=1,INDEX($X$4:$X$14,A6-ROUNDUP(Funnel!$B$16/7,0))*$F$30+INDEX($Y$4:$Y$14,A6-ROUNDUP(Funnel!$B$16/7,0))*$F$37,0))</f>
        <v>0</v>
      </c>
      <c r="V6" s="32" t="n">
        <f aca="false">T6+U6</f>
        <v>0</v>
      </c>
      <c r="W6" s="32" t="n">
        <f aca="false">SUM($V$4:V6)</f>
        <v>0</v>
      </c>
      <c r="X6" s="30" t="n">
        <f aca="false">IF(A6=1,Assumptions!$D$50,IF(A6=2,1-Assumptions!$D$50,0))</f>
        <v>0</v>
      </c>
      <c r="Y6" s="30" t="n">
        <f aca="false">Assumptions!$D$95</f>
        <v>0.11</v>
      </c>
      <c r="Z6" s="30" t="n">
        <f aca="false">Assumptions!$D$55</f>
        <v>0.161</v>
      </c>
      <c r="AA6" s="30" t="n">
        <f aca="false">D6*IF(MAX(0,MIN(C6,Funnel!$B$19)-B6+1)&gt;0,MAX(0,MIN(C6,Funnel!$B$20)-B6+1)/MAX(0,MIN(C6,Funnel!$B$19)-B6+1),0)</f>
        <v>0.161</v>
      </c>
      <c r="AB6" s="30" t="n">
        <f aca="false">IF(SUM($AD$4:$AD$14)&gt;0,AD6/SUM($AD$4:$AD$14),IF(SUM($AF$4:$AF$14)&gt;0,AF6/SUM($AF$4:$AF$14),0))</f>
        <v>0.186219431592862</v>
      </c>
      <c r="AC6" s="30" t="n">
        <f aca="false">IF(SUM($AE$4:$AE$14)&gt;0,AE6/SUM($AE$4:$AE$14),IF(SUM($AG$4:$AG$14)&gt;0,AG6/SUM($AG$4:$AG$14),0))</f>
        <v>0.235380116959064</v>
      </c>
      <c r="AD6" s="30" t="n">
        <f aca="false">D6*IF(MAX(0,MIN(C6,Funnel!$B$19)-B6+1)&gt;0,MAX(0,MIN(C6,Funnel!$B$19)-MAX(B6,Assumptions!$D$7+Assumptions!$D$181)+1)/MAX(0,MIN(C6,Funnel!$B$19)-B6+1),0)</f>
        <v>0.161</v>
      </c>
      <c r="AE6" s="30" t="n">
        <f aca="false">D6*IF(MAX(0,MIN(C6,Funnel!$B$19)-B6+1)&gt;0,MAX(0,MIN(C6,Funnel!$B$19)-MAX(B6,Assumptions!$D$7+Assumptions!$D$182)+1)/MAX(0,MIN(C6,Funnel!$B$19)-B6+1),0)</f>
        <v>0.161</v>
      </c>
      <c r="AF6" s="29" t="n">
        <f aca="false">MAX(0,MIN(C6,Funnel!$B$19)-MAX(B6,Assumptions!$D$7+Assumptions!$D$181)+1)</f>
        <v>7</v>
      </c>
      <c r="AG6" s="29" t="n">
        <f aca="false">MAX(0,MIN(C6,Funnel!$B$19)-MAX(B6,Assumptions!$D$7+Assumptions!$D$182)+1)</f>
        <v>7</v>
      </c>
    </row>
    <row r="7" customFormat="false" ht="15" hidden="false" customHeight="false" outlineLevel="0" collapsed="false">
      <c r="A7" s="29" t="n">
        <v>4</v>
      </c>
      <c r="B7" s="50" t="n">
        <f aca="false">Assumptions!$D$7+7*(A7-1)</f>
        <v>46336</v>
      </c>
      <c r="C7" s="50" t="n">
        <f aca="false">MIN(B7+6,Assumptions!$D$8)</f>
        <v>46342</v>
      </c>
      <c r="D7" s="30" t="n">
        <f aca="false">IF(SUMPRODUCT(($B$4:$B$14&lt;=Funnel!$B$19)*$Z$4:$Z$14)&gt;0,IF(B7&lt;=Funnel!$B$19,Z7,0)/SUMPRODUCT(($B$4:$B$14&lt;=Funnel!$B$19)*$Z$4:$Z$14),0)</f>
        <v>0.17</v>
      </c>
      <c r="E7" s="30" t="n">
        <f aca="false">IF(SUM($AA$4:$AA$14)&gt;0,AA7/SUM($AA$4:$AA$14),0)</f>
        <v>0.210955504343202</v>
      </c>
      <c r="F7" s="30" t="n">
        <f aca="false">IF(A7-ROUNDUP(Funnel!$B$15/7,0)&gt;=1,INDEX($D$4:$D$14,A7-ROUNDUP(Funnel!$B$15/7,0)),0)</f>
        <v>0.316</v>
      </c>
      <c r="G7" s="30" t="n">
        <f aca="false">IF(A7-ROUNDUP(Funnel!$B$16/7,0)&gt;=1,INDEX($E$4:$E$14,A7-ROUNDUP(Funnel!$B$16/7,0)),0)</f>
        <v>0</v>
      </c>
      <c r="H7" s="41" t="n">
        <f aca="false">($F$19-$L$19-$L$23)*D7+$L$19*AB7+$L$23*AC7+$F$20*E7+$F$31*Y7</f>
        <v>13991.9187455771</v>
      </c>
      <c r="I7" s="41" t="n">
        <f aca="false">IF(A7=1,$F$21,0)</f>
        <v>0</v>
      </c>
      <c r="J7" s="41" t="n">
        <f aca="false">$F$22*F7+$F$23*G7</f>
        <v>3118.68063</v>
      </c>
      <c r="K7" s="41" t="n">
        <f aca="false">IF(A7=1,Budget!$C$6,0)</f>
        <v>0</v>
      </c>
      <c r="L7" s="41" t="n">
        <f aca="false">$F$24*X7</f>
        <v>0</v>
      </c>
      <c r="M7" s="41" t="n">
        <f aca="false">SUM(H7:L7)</f>
        <v>17110.5993755771</v>
      </c>
      <c r="N7" s="41" t="n">
        <f aca="false">SUM($M$4:M7)</f>
        <v>79059.0214010564</v>
      </c>
      <c r="O7" s="29" t="n">
        <f aca="false">(Funnel!$M$5+Funnel!$M$6+Funnel!$M$7-$F$27-$F$34-$L$20-$L$24)*D7+$L$20*AB7+$L$24*AC7+(Funnel!$M$8-$F$28-$F$35)*E7+($F$27+$F$28)*X7+($F$34+$F$35)*Y7</f>
        <v>275.403825253605</v>
      </c>
      <c r="P7" s="29" t="n">
        <f aca="false">(Funnel!$O$5+Funnel!$O$6+Funnel!$O$7-$F$25-$F$32-$L$21-$L$25)*D7+$L$21*AB7+$L$25*AC7+(Funnel!$O$8-$F$26-$F$33)*E7+($F$25+$F$26)*X7+($F$32+$F$33)*Y7</f>
        <v>54.1968240141581</v>
      </c>
      <c r="Q7" s="29" t="n">
        <f aca="false">Assumptions!$D$9*MAX(0,MIN(C7+Assumptions!$D$21,Funnel!$B$17)-MAX(IF(A7=1,Funnel!$B$13,B7+Assumptions!$D$21),Funnel!$B$13)+1)/7</f>
        <v>55</v>
      </c>
      <c r="R7" s="30" t="n">
        <f aca="false">IF(Q7&gt;0,P7/Q7,IF(P7&gt;0,9.99,0))</f>
        <v>0.985396800257421</v>
      </c>
      <c r="S7" s="2" t="str">
        <f aca="false">IF(P7&gt;Q7+0.5,"OVER "&amp;Assumptions!$D$9&amp;"/wk – pace down",IF(R7&gt;Assumptions!$D$102,"Full",IF(AND(Q7&gt;=Assumptions!$D$103,P7&lt;Assumptions!$D$103),"Under "&amp;Assumptions!$D$103&amp;" – release reserve","")))</f>
        <v>Full</v>
      </c>
      <c r="T7" s="32" t="n">
        <f aca="false">$F$38*(F7*(Budget!$G$21+Budget!$G$22+Budget!$G$23-$F$29-$F$36-$L$22-$L$26)+IF(A7-ROUNDUP(Funnel!$B$15/7,0)&gt;=1,INDEX($X$4:$X$14,A7-ROUNDUP(Funnel!$B$15/7,0))*$F$29+INDEX($Y$4:$Y$14,A7-ROUNDUP(Funnel!$B$15/7,0))*$F$36+INDEX($AB$4:$AB$14,A7-ROUNDUP(Funnel!$B$15/7,0))*$L$22+INDEX($AC$4:$AC$14,A7-ROUNDUP(Funnel!$B$15/7,0))*$L$26,0))</f>
        <v>23.2608949040937</v>
      </c>
      <c r="U7" s="32" t="n">
        <f aca="false">$F$38*(G7*(Budget!$G$24-$F$30-$F$37)+IF(A7-ROUNDUP(Funnel!$B$16/7,0)&gt;=1,INDEX($X$4:$X$14,A7-ROUNDUP(Funnel!$B$16/7,0))*$F$30+INDEX($Y$4:$Y$14,A7-ROUNDUP(Funnel!$B$16/7,0))*$F$37,0))</f>
        <v>0</v>
      </c>
      <c r="V7" s="32" t="n">
        <f aca="false">T7+U7</f>
        <v>23.2608949040937</v>
      </c>
      <c r="W7" s="32" t="n">
        <f aca="false">SUM($V$4:V7)</f>
        <v>23.2608949040937</v>
      </c>
      <c r="X7" s="30" t="n">
        <f aca="false">IF(A7=1,Assumptions!$D$50,IF(A7=2,1-Assumptions!$D$50,0))</f>
        <v>0</v>
      </c>
      <c r="Y7" s="30" t="n">
        <f aca="false">0</f>
        <v>0</v>
      </c>
      <c r="Z7" s="30" t="n">
        <f aca="false">Assumptions!$D$56</f>
        <v>0.17</v>
      </c>
      <c r="AA7" s="30" t="n">
        <f aca="false">D7*IF(MAX(0,MIN(C7,Funnel!$B$19)-B7+1)&gt;0,MAX(0,MIN(C7,Funnel!$B$20)-B7+1)/MAX(0,MIN(C7,Funnel!$B$19)-B7+1),0)</f>
        <v>0.17</v>
      </c>
      <c r="AB7" s="30" t="n">
        <f aca="false">IF(SUM($AD$4:$AD$14)&gt;0,AD7/SUM($AD$4:$AD$14),IF(SUM($AF$4:$AF$14)&gt;0,AF7/SUM($AF$4:$AF$14),0))</f>
        <v>0.196629213483146</v>
      </c>
      <c r="AC7" s="30" t="n">
        <f aca="false">IF(SUM($AE$4:$AE$14)&gt;0,AE7/SUM($AE$4:$AE$14),IF(SUM($AG$4:$AG$14)&gt;0,AG7/SUM($AG$4:$AG$14),0))</f>
        <v>0.248538011695906</v>
      </c>
      <c r="AD7" s="30" t="n">
        <f aca="false">D7*IF(MAX(0,MIN(C7,Funnel!$B$19)-B7+1)&gt;0,MAX(0,MIN(C7,Funnel!$B$19)-MAX(B7,Assumptions!$D$7+Assumptions!$D$181)+1)/MAX(0,MIN(C7,Funnel!$B$19)-B7+1),0)</f>
        <v>0.17</v>
      </c>
      <c r="AE7" s="30" t="n">
        <f aca="false">D7*IF(MAX(0,MIN(C7,Funnel!$B$19)-B7+1)&gt;0,MAX(0,MIN(C7,Funnel!$B$19)-MAX(B7,Assumptions!$D$7+Assumptions!$D$182)+1)/MAX(0,MIN(C7,Funnel!$B$19)-B7+1),0)</f>
        <v>0.17</v>
      </c>
      <c r="AF7" s="29" t="n">
        <f aca="false">MAX(0,MIN(C7,Funnel!$B$19)-MAX(B7,Assumptions!$D$7+Assumptions!$D$181)+1)</f>
        <v>7</v>
      </c>
      <c r="AG7" s="29" t="n">
        <f aca="false">MAX(0,MIN(C7,Funnel!$B$19)-MAX(B7,Assumptions!$D$7+Assumptions!$D$182)+1)</f>
        <v>7</v>
      </c>
    </row>
    <row r="8" customFormat="false" ht="15" hidden="false" customHeight="false" outlineLevel="0" collapsed="false">
      <c r="A8" s="29" t="n">
        <v>5</v>
      </c>
      <c r="B8" s="50" t="n">
        <f aca="false">Assumptions!$D$7+7*(A8-1)</f>
        <v>46343</v>
      </c>
      <c r="C8" s="50" t="n">
        <f aca="false">MIN(B8+6,Assumptions!$D$8)</f>
        <v>46349</v>
      </c>
      <c r="D8" s="30" t="n">
        <f aca="false">IF(SUMPRODUCT(($B$4:$B$14&lt;=Funnel!$B$19)*$Z$4:$Z$14)&gt;0,IF(B8&lt;=Funnel!$B$19,Z8,0)/SUMPRODUCT(($B$4:$B$14&lt;=Funnel!$B$19)*$Z$4:$Z$14),0)</f>
        <v>0.195</v>
      </c>
      <c r="E8" s="30" t="n">
        <f aca="false">IF(SUM($AA$4:$AA$14)&gt;0,AA8/SUM($AA$4:$AA$14),0)</f>
        <v>0.0345683389469952</v>
      </c>
      <c r="F8" s="30" t="n">
        <f aca="false">IF(A8-ROUNDUP(Funnel!$B$15/7,0)&gt;=1,INDEX($D$4:$D$14,A8-ROUNDUP(Funnel!$B$15/7,0)),0)</f>
        <v>0.131</v>
      </c>
      <c r="G8" s="30" t="n">
        <f aca="false">IF(A8-ROUNDUP(Funnel!$B$16/7,0)&gt;=1,INDEX($E$4:$E$14,A8-ROUNDUP(Funnel!$B$16/7,0)),0)</f>
        <v>0.392129055132069</v>
      </c>
      <c r="H8" s="41" t="n">
        <f aca="false">($F$19-$L$19-$L$23)*D8+$L$19*AB8+$L$23*AC8+$F$20*E8+$F$31*Y8</f>
        <v>13523.5759509396</v>
      </c>
      <c r="I8" s="41" t="n">
        <f aca="false">IF(A8=1,$F$21,0)</f>
        <v>0</v>
      </c>
      <c r="J8" s="41" t="n">
        <f aca="false">$F$22*F8+$F$23*G8</f>
        <v>1727.53994317807</v>
      </c>
      <c r="K8" s="41" t="n">
        <f aca="false">IF(A8=1,Budget!$C$6,0)</f>
        <v>0</v>
      </c>
      <c r="L8" s="41" t="n">
        <f aca="false">$F$24*X8</f>
        <v>0</v>
      </c>
      <c r="M8" s="41" t="n">
        <f aca="false">SUM(H8:L8)</f>
        <v>15251.1158941177</v>
      </c>
      <c r="N8" s="41" t="n">
        <f aca="false">SUM($M$4:M8)</f>
        <v>94310.1372951741</v>
      </c>
      <c r="O8" s="29" t="n">
        <f aca="false">(Funnel!$M$5+Funnel!$M$6+Funnel!$M$7-$F$27-$F$34-$L$20-$L$24)*D8+$L$20*AB8+$L$24*AC8+(Funnel!$M$8-$F$28-$F$35)*E8+($F$27+$F$28)*X8+($F$34+$F$35)*Y8</f>
        <v>280.466076472631</v>
      </c>
      <c r="P8" s="29" t="n">
        <f aca="false">(Funnel!$O$5+Funnel!$O$6+Funnel!$O$7-$F$25-$F$32-$L$21-$L$25)*D8+$L$21*AB8+$L$25*AC8+(Funnel!$O$8-$F$26-$F$33)*E8+($F$25+$F$26)*X8+($F$32+$F$33)*Y8</f>
        <v>54.7115391603946</v>
      </c>
      <c r="Q8" s="29" t="n">
        <f aca="false">Assumptions!$D$9*MAX(0,MIN(C8+Assumptions!$D$21,Funnel!$B$17)-MAX(IF(A8=1,Funnel!$B$13,B8+Assumptions!$D$21),Funnel!$B$13)+1)/7</f>
        <v>55</v>
      </c>
      <c r="R8" s="30" t="n">
        <f aca="false">IF(Q8&gt;0,P8/Q8,IF(P8&gt;0,9.99,0))</f>
        <v>0.99475525746172</v>
      </c>
      <c r="S8" s="2" t="str">
        <f aca="false">IF(P8&gt;Q8+0.5,"OVER "&amp;Assumptions!$D$9&amp;"/wk – pace down",IF(R8&gt;Assumptions!$D$102,"Full",IF(AND(Q8&gt;=Assumptions!$D$103,P8&lt;Assumptions!$D$103),"Under "&amp;Assumptions!$D$103&amp;" – release reserve","")))</f>
        <v>Full</v>
      </c>
      <c r="T8" s="32" t="n">
        <f aca="false">$F$38*(F8*(Budget!$G$21+Budget!$G$22+Budget!$G$23-$F$29-$F$36-$L$22-$L$26)+IF(A8-ROUNDUP(Funnel!$B$15/7,0)&gt;=1,INDEX($X$4:$X$14,A8-ROUNDUP(Funnel!$B$15/7,0))*$F$29+INDEX($Y$4:$Y$14,A8-ROUNDUP(Funnel!$B$15/7,0))*$F$36+INDEX($AB$4:$AB$14,A8-ROUNDUP(Funnel!$B$15/7,0))*$L$22+INDEX($AC$4:$AC$14,A8-ROUNDUP(Funnel!$B$15/7,0))*$L$26,0))</f>
        <v>15.0418178773517</v>
      </c>
      <c r="U8" s="32" t="n">
        <f aca="false">$F$38*(G8*(Budget!$G$24-$F$30-$F$37)+IF(A8-ROUNDUP(Funnel!$B$16/7,0)&gt;=1,INDEX($X$4:$X$14,A8-ROUNDUP(Funnel!$B$16/7,0))*$F$30+INDEX($Y$4:$Y$14,A8-ROUNDUP(Funnel!$B$16/7,0))*$F$37,0))</f>
        <v>4.03662708146645</v>
      </c>
      <c r="V8" s="32" t="n">
        <f aca="false">T8+U8</f>
        <v>19.0784449588182</v>
      </c>
      <c r="W8" s="32" t="n">
        <f aca="false">SUM($V$4:V8)</f>
        <v>42.3393398629119</v>
      </c>
      <c r="X8" s="30" t="n">
        <f aca="false">IF(A8=1,Assumptions!$D$50,IF(A8=2,1-Assumptions!$D$50,0))</f>
        <v>0</v>
      </c>
      <c r="Y8" s="30" t="n">
        <f aca="false">0</f>
        <v>0</v>
      </c>
      <c r="Z8" s="30" t="n">
        <f aca="false">Assumptions!$D$57</f>
        <v>0.195</v>
      </c>
      <c r="AA8" s="30" t="n">
        <f aca="false">D8*IF(MAX(0,MIN(C8,Funnel!$B$19)-B8+1)&gt;0,MAX(0,MIN(C8,Funnel!$B$20)-B8+1)/MAX(0,MIN(C8,Funnel!$B$19)-B8+1),0)</f>
        <v>0.0278571428571429</v>
      </c>
      <c r="AB8" s="30" t="n">
        <f aca="false">IF(SUM($AD$4:$AD$14)&gt;0,AD8/SUM($AD$4:$AD$14),IF(SUM($AF$4:$AF$14)&gt;0,AF8/SUM($AF$4:$AF$14),0))</f>
        <v>0.225545274289491</v>
      </c>
      <c r="AC8" s="30" t="n">
        <f aca="false">IF(SUM($AE$4:$AE$14)&gt;0,AE8/SUM($AE$4:$AE$14),IF(SUM($AG$4:$AG$14)&gt;0,AG8/SUM($AG$4:$AG$14),0))</f>
        <v>0.285087719298246</v>
      </c>
      <c r="AD8" s="30" t="n">
        <f aca="false">D8*IF(MAX(0,MIN(C8,Funnel!$B$19)-B8+1)&gt;0,MAX(0,MIN(C8,Funnel!$B$19)-MAX(B8,Assumptions!$D$7+Assumptions!$D$181)+1)/MAX(0,MIN(C8,Funnel!$B$19)-B8+1),0)</f>
        <v>0.195</v>
      </c>
      <c r="AE8" s="30" t="n">
        <f aca="false">D8*IF(MAX(0,MIN(C8,Funnel!$B$19)-B8+1)&gt;0,MAX(0,MIN(C8,Funnel!$B$19)-MAX(B8,Assumptions!$D$7+Assumptions!$D$182)+1)/MAX(0,MIN(C8,Funnel!$B$19)-B8+1),0)</f>
        <v>0.195</v>
      </c>
      <c r="AF8" s="29" t="n">
        <f aca="false">MAX(0,MIN(C8,Funnel!$B$19)-MAX(B8,Assumptions!$D$7+Assumptions!$D$181)+1)</f>
        <v>7</v>
      </c>
      <c r="AG8" s="29" t="n">
        <f aca="false">MAX(0,MIN(C8,Funnel!$B$19)-MAX(B8,Assumptions!$D$7+Assumptions!$D$182)+1)</f>
        <v>7</v>
      </c>
    </row>
    <row r="9" customFormat="false" ht="15" hidden="false" customHeight="false" outlineLevel="0" collapsed="false">
      <c r="A9" s="29" t="n">
        <v>6</v>
      </c>
      <c r="B9" s="50" t="n">
        <f aca="false">Assumptions!$D$7+7*(A9-1)</f>
        <v>46350</v>
      </c>
      <c r="C9" s="50" t="n">
        <f aca="false">MIN(B9+6,Assumptions!$D$8)</f>
        <v>46356</v>
      </c>
      <c r="D9" s="30" t="n">
        <f aca="false">IF(SUMPRODUCT(($B$4:$B$14&lt;=Funnel!$B$19)*$Z$4:$Z$14)&gt;0,IF(B9&lt;=Funnel!$B$19,Z9,0)/SUMPRODUCT(($B$4:$B$14&lt;=Funnel!$B$19)*$Z$4:$Z$14),0)</f>
        <v>0.027</v>
      </c>
      <c r="E9" s="30" t="n">
        <f aca="false">IF(SUM($AA$4:$AA$14)&gt;0,AA9/SUM($AA$4:$AA$14),0)</f>
        <v>0</v>
      </c>
      <c r="F9" s="30" t="n">
        <f aca="false">IF(A9-ROUNDUP(Funnel!$B$15/7,0)&gt;=1,INDEX($D$4:$D$14,A9-ROUNDUP(Funnel!$B$15/7,0)),0)</f>
        <v>0.161</v>
      </c>
      <c r="G9" s="30" t="n">
        <f aca="false">IF(A9-ROUNDUP(Funnel!$B$16/7,0)&gt;=1,INDEX($E$4:$E$14,A9-ROUNDUP(Funnel!$B$16/7,0)),0)</f>
        <v>0.162559829817408</v>
      </c>
      <c r="H9" s="41" t="n">
        <f aca="false">($F$19-$L$19-$L$23)*D9+$L$19*AB9+$L$23*AC9+$F$20*E9+$F$31*Y9</f>
        <v>1814.20333387746</v>
      </c>
      <c r="I9" s="41" t="n">
        <f aca="false">IF(A9=1,$F$21,0)</f>
        <v>0</v>
      </c>
      <c r="J9" s="41" t="n">
        <f aca="false">$F$22*F9+$F$23*G9</f>
        <v>1769.14317545515</v>
      </c>
      <c r="K9" s="41" t="n">
        <f aca="false">IF(A9=1,Budget!$C$6,0)</f>
        <v>0</v>
      </c>
      <c r="L9" s="41" t="n">
        <f aca="false">$F$24*X9</f>
        <v>0</v>
      </c>
      <c r="M9" s="41" t="n">
        <f aca="false">SUM(H9:L9)</f>
        <v>3583.34650933261</v>
      </c>
      <c r="N9" s="41" t="n">
        <f aca="false">SUM($M$4:M9)</f>
        <v>97893.4838045067</v>
      </c>
      <c r="O9" s="29" t="n">
        <f aca="false">(Funnel!$M$5+Funnel!$M$6+Funnel!$M$7-$F$27-$F$34-$L$20-$L$24)*D9+$L$20*AB9+$L$24*AC9+(Funnel!$M$8-$F$28-$F$35)*E9+($F$27+$F$28)*X9+($F$34+$F$35)*Y9</f>
        <v>38.0159572504042</v>
      </c>
      <c r="P9" s="29" t="n">
        <f aca="false">(Funnel!$O$5+Funnel!$O$6+Funnel!$O$7-$F$25-$F$32-$L$21-$L$25)*D9+$L$21*AB9+$L$25*AC9+(Funnel!$O$8-$F$26-$F$33)*E9+($F$25+$F$26)*X9+($F$32+$F$33)*Y9</f>
        <v>7.40339605223196</v>
      </c>
      <c r="Q9" s="29" t="n">
        <f aca="false">Assumptions!$D$9*MAX(0,MIN(C9+Assumptions!$D$21,Funnel!$B$17)-MAX(IF(A9=1,Funnel!$B$13,B9+Assumptions!$D$21),Funnel!$B$13)+1)/7</f>
        <v>7.85714285714286</v>
      </c>
      <c r="R9" s="30" t="n">
        <f aca="false">IF(Q9&gt;0,P9/Q9,IF(P9&gt;0,9.99,0))</f>
        <v>0.942250406647704</v>
      </c>
      <c r="S9" s="2" t="str">
        <f aca="false">IF(P9&gt;Q9+0.5,"OVER "&amp;Assumptions!$D$9&amp;"/wk – pace down",IF(R9&gt;Assumptions!$D$102,"Full",IF(AND(Q9&gt;=Assumptions!$D$103,P9&lt;Assumptions!$D$103),"Under "&amp;Assumptions!$D$103&amp;" – release reserve","")))</f>
        <v>Full</v>
      </c>
      <c r="T9" s="32" t="n">
        <f aca="false">$F$38*(F9*(Budget!$G$21+Budget!$G$22+Budget!$G$23-$F$29-$F$36-$L$22-$L$26)+IF(A9-ROUNDUP(Funnel!$B$15/7,0)&gt;=1,INDEX($X$4:$X$14,A9-ROUNDUP(Funnel!$B$15/7,0))*$F$29+INDEX($Y$4:$Y$14,A9-ROUNDUP(Funnel!$B$15/7,0))*$F$36+INDEX($AB$4:$AB$14,A9-ROUNDUP(Funnel!$B$15/7,0))*$L$22+INDEX($AC$4:$AC$14,A9-ROUNDUP(Funnel!$B$15/7,0))*$L$26,0))</f>
        <v>15.3710349309716</v>
      </c>
      <c r="U9" s="32" t="n">
        <f aca="false">$F$38*(G9*(Budget!$G$24-$F$30-$F$37)+IF(A9-ROUNDUP(Funnel!$B$16/7,0)&gt;=1,INDEX($X$4:$X$14,A9-ROUNDUP(Funnel!$B$16/7,0))*$F$30+INDEX($Y$4:$Y$14,A9-ROUNDUP(Funnel!$B$16/7,0))*$F$37,0))</f>
        <v>2.03155889843711</v>
      </c>
      <c r="V9" s="32" t="n">
        <f aca="false">T9+U9</f>
        <v>17.4025938294087</v>
      </c>
      <c r="W9" s="32" t="n">
        <f aca="false">SUM($V$4:V9)</f>
        <v>59.7419336923206</v>
      </c>
      <c r="X9" s="30" t="n">
        <f aca="false">IF(A9=1,Assumptions!$D$50,IF(A9=2,1-Assumptions!$D$50,0))</f>
        <v>0</v>
      </c>
      <c r="Y9" s="30" t="n">
        <f aca="false">0</f>
        <v>0</v>
      </c>
      <c r="Z9" s="30" t="n">
        <f aca="false">Assumptions!$D$58</f>
        <v>0.027</v>
      </c>
      <c r="AA9" s="30" t="n">
        <f aca="false">D9*IF(MAX(0,MIN(C9,Funnel!$B$19)-B9+1)&gt;0,MAX(0,MIN(C9,Funnel!$B$20)-B9+1)/MAX(0,MIN(C9,Funnel!$B$19)-B9+1),0)</f>
        <v>0</v>
      </c>
      <c r="AB9" s="30" t="n">
        <f aca="false">IF(SUM($AD$4:$AD$14)&gt;0,AD9/SUM($AD$4:$AD$14),IF(SUM($AF$4:$AF$14)&gt;0,AF9/SUM($AF$4:$AF$14),0))</f>
        <v>0.0312293456708526</v>
      </c>
      <c r="AC9" s="30" t="n">
        <f aca="false">IF(SUM($AE$4:$AE$14)&gt;0,AE9/SUM($AE$4:$AE$14),IF(SUM($AG$4:$AG$14)&gt;0,AG9/SUM($AG$4:$AG$14),0))</f>
        <v>0.0394736842105263</v>
      </c>
      <c r="AD9" s="30" t="n">
        <f aca="false">D9*IF(MAX(0,MIN(C9,Funnel!$B$19)-B9+1)&gt;0,MAX(0,MIN(C9,Funnel!$B$19)-MAX(B9,Assumptions!$D$7+Assumptions!$D$181)+1)/MAX(0,MIN(C9,Funnel!$B$19)-B9+1),0)</f>
        <v>0.027</v>
      </c>
      <c r="AE9" s="30" t="n">
        <f aca="false">D9*IF(MAX(0,MIN(C9,Funnel!$B$19)-B9+1)&gt;0,MAX(0,MIN(C9,Funnel!$B$19)-MAX(B9,Assumptions!$D$7+Assumptions!$D$182)+1)/MAX(0,MIN(C9,Funnel!$B$19)-B9+1),0)</f>
        <v>0.027</v>
      </c>
      <c r="AF9" s="29" t="n">
        <f aca="false">MAX(0,MIN(C9,Funnel!$B$19)-MAX(B9,Assumptions!$D$7+Assumptions!$D$181)+1)</f>
        <v>1</v>
      </c>
      <c r="AG9" s="29" t="n">
        <f aca="false">MAX(0,MIN(C9,Funnel!$B$19)-MAX(B9,Assumptions!$D$7+Assumptions!$D$182)+1)</f>
        <v>1</v>
      </c>
    </row>
    <row r="10" customFormat="false" ht="15" hidden="false" customHeight="false" outlineLevel="0" collapsed="false">
      <c r="A10" s="29" t="n">
        <v>7</v>
      </c>
      <c r="B10" s="50" t="n">
        <f aca="false">Assumptions!$D$7+7*(A10-1)</f>
        <v>46357</v>
      </c>
      <c r="C10" s="50" t="n">
        <f aca="false">MIN(B10+6,Assumptions!$D$8)</f>
        <v>46363</v>
      </c>
      <c r="D10" s="30" t="n">
        <f aca="false">IF(SUMPRODUCT(($B$4:$B$14&lt;=Funnel!$B$19)*$Z$4:$Z$14)&gt;0,IF(B10&lt;=Funnel!$B$19,Z10,0)/SUMPRODUCT(($B$4:$B$14&lt;=Funnel!$B$19)*$Z$4:$Z$14),0)</f>
        <v>0</v>
      </c>
      <c r="E10" s="30" t="n">
        <f aca="false">IF(SUM($AA$4:$AA$14)&gt;0,AA10/SUM($AA$4:$AA$14),0)</f>
        <v>0</v>
      </c>
      <c r="F10" s="30" t="n">
        <f aca="false">IF(A10-ROUNDUP(Funnel!$B$15/7,0)&gt;=1,INDEX($D$4:$D$14,A10-ROUNDUP(Funnel!$B$15/7,0)),0)</f>
        <v>0.17</v>
      </c>
      <c r="G10" s="30" t="n">
        <f aca="false">IF(A10-ROUNDUP(Funnel!$B$16/7,0)&gt;=1,INDEX($E$4:$E$14,A10-ROUNDUP(Funnel!$B$16/7,0)),0)</f>
        <v>0.199787271760326</v>
      </c>
      <c r="H10" s="41" t="n">
        <f aca="false">($F$19-$L$19-$L$23)*D10+$L$19*AB10+$L$23*AC10+$F$20*E10+$F$31*Y10</f>
        <v>0</v>
      </c>
      <c r="I10" s="41" t="n">
        <f aca="false">IF(A10=1,$F$21,0)</f>
        <v>0</v>
      </c>
      <c r="J10" s="41" t="n">
        <f aca="false">$F$22*F10+$F$23*G10</f>
        <v>1899.23241893725</v>
      </c>
      <c r="K10" s="41" t="n">
        <f aca="false">IF(A10=1,Budget!$C$6,0)</f>
        <v>0</v>
      </c>
      <c r="L10" s="41" t="n">
        <f aca="false">$F$24*X10</f>
        <v>0</v>
      </c>
      <c r="M10" s="41" t="n">
        <f aca="false">SUM(H10:L10)</f>
        <v>1899.23241893725</v>
      </c>
      <c r="N10" s="41" t="n">
        <f aca="false">SUM($M$4:M10)</f>
        <v>99792.7162234439</v>
      </c>
      <c r="O10" s="29" t="n">
        <f aca="false">(Funnel!$M$5+Funnel!$M$6+Funnel!$M$7-$F$27-$F$34-$L$20-$L$24)*D10+$L$20*AB10+$L$24*AC10+(Funnel!$M$8-$F$28-$F$35)*E10+($F$27+$F$28)*X10+($F$34+$F$35)*Y10</f>
        <v>0</v>
      </c>
      <c r="P10" s="29" t="n">
        <f aca="false">(Funnel!$O$5+Funnel!$O$6+Funnel!$O$7-$F$25-$F$32-$L$21-$L$25)*D10+$L$21*AB10+$L$25*AC10+(Funnel!$O$8-$F$26-$F$33)*E10+($F$25+$F$26)*X10+($F$32+$F$33)*Y10</f>
        <v>0</v>
      </c>
      <c r="Q10" s="29" t="n">
        <f aca="false">Assumptions!$D$9*MAX(0,MIN(C10+Assumptions!$D$21,Funnel!$B$17)-MAX(IF(A10=1,Funnel!$B$13,B10+Assumptions!$D$21),Funnel!$B$13)+1)/7</f>
        <v>0</v>
      </c>
      <c r="R10" s="30" t="n">
        <f aca="false">IF(Q10&gt;0,P10/Q10,IF(P10&gt;0,9.99,0))</f>
        <v>0</v>
      </c>
      <c r="S10" s="2" t="str">
        <f aca="false">IF(P10&gt;Q10+0.5,"OVER "&amp;Assumptions!$D$9&amp;"/wk – pace down",IF(R10&gt;Assumptions!$D$102,"Full",IF(AND(Q10&gt;=Assumptions!$D$103,P10&lt;Assumptions!$D$103),"Under "&amp;Assumptions!$D$103&amp;" – release reserve","")))</f>
        <v/>
      </c>
      <c r="T10" s="32" t="n">
        <f aca="false">$F$38*(F10*(Budget!$G$21+Budget!$G$22+Budget!$G$23-$F$29-$F$36-$L$22-$L$26)+IF(A10-ROUNDUP(Funnel!$B$15/7,0)&gt;=1,INDEX($X$4:$X$14,A10-ROUNDUP(Funnel!$B$15/7,0))*$F$29+INDEX($Y$4:$Y$14,A10-ROUNDUP(Funnel!$B$15/7,0))*$F$36+INDEX($AB$4:$AB$14,A10-ROUNDUP(Funnel!$B$15/7,0))*$L$22+INDEX($AC$4:$AC$14,A10-ROUNDUP(Funnel!$B$15/7,0))*$L$26,0))</f>
        <v>15.753731859411</v>
      </c>
      <c r="U10" s="32" t="n">
        <f aca="false">$F$38*(G10*(Budget!$G$24-$F$30-$F$37)+IF(A10-ROUNDUP(Funnel!$B$16/7,0)&gt;=1,INDEX($X$4:$X$14,A10-ROUNDUP(Funnel!$B$16/7,0))*$F$30+INDEX($Y$4:$Y$14,A10-ROUNDUP(Funnel!$B$16/7,0))*$F$37,0))</f>
        <v>1.79586581809263</v>
      </c>
      <c r="V10" s="32" t="n">
        <f aca="false">T10+U10</f>
        <v>17.5495976775036</v>
      </c>
      <c r="W10" s="32" t="n">
        <f aca="false">SUM($V$4:V10)</f>
        <v>77.2915313698242</v>
      </c>
      <c r="X10" s="30" t="n">
        <f aca="false">IF(A10=1,Assumptions!$D$50,IF(A10=2,1-Assumptions!$D$50,0))</f>
        <v>0</v>
      </c>
      <c r="Y10" s="30" t="n">
        <f aca="false">0</f>
        <v>0</v>
      </c>
      <c r="Z10" s="30" t="n">
        <f aca="false">Assumptions!$D$59</f>
        <v>0</v>
      </c>
      <c r="AA10" s="30" t="n">
        <f aca="false">D10*IF(MAX(0,MIN(C10,Funnel!$B$19)-B10+1)&gt;0,MAX(0,MIN(C10,Funnel!$B$20)-B10+1)/MAX(0,MIN(C10,Funnel!$B$19)-B10+1),0)</f>
        <v>0</v>
      </c>
      <c r="AB10" s="30" t="n">
        <f aca="false">IF(SUM($AD$4:$AD$14)&gt;0,AD10/SUM($AD$4:$AD$14),IF(SUM($AF$4:$AF$14)&gt;0,AF10/SUM($AF$4:$AF$14),0))</f>
        <v>0</v>
      </c>
      <c r="AC10" s="30" t="n">
        <f aca="false">IF(SUM($AE$4:$AE$14)&gt;0,AE10/SUM($AE$4:$AE$14),IF(SUM($AG$4:$AG$14)&gt;0,AG10/SUM($AG$4:$AG$14),0))</f>
        <v>0</v>
      </c>
      <c r="AD10" s="30" t="n">
        <f aca="false">D10*IF(MAX(0,MIN(C10,Funnel!$B$19)-B10+1)&gt;0,MAX(0,MIN(C10,Funnel!$B$19)-MAX(B10,Assumptions!$D$7+Assumptions!$D$181)+1)/MAX(0,MIN(C10,Funnel!$B$19)-B10+1),0)</f>
        <v>0</v>
      </c>
      <c r="AE10" s="30" t="n">
        <f aca="false">D10*IF(MAX(0,MIN(C10,Funnel!$B$19)-B10+1)&gt;0,MAX(0,MIN(C10,Funnel!$B$19)-MAX(B10,Assumptions!$D$7+Assumptions!$D$182)+1)/MAX(0,MIN(C10,Funnel!$B$19)-B10+1),0)</f>
        <v>0</v>
      </c>
      <c r="AF10" s="29" t="n">
        <f aca="false">MAX(0,MIN(C10,Funnel!$B$19)-MAX(B10,Assumptions!$D$7+Assumptions!$D$181)+1)</f>
        <v>0</v>
      </c>
      <c r="AG10" s="29" t="n">
        <f aca="false">MAX(0,MIN(C10,Funnel!$B$19)-MAX(B10,Assumptions!$D$7+Assumptions!$D$182)+1)</f>
        <v>0</v>
      </c>
    </row>
    <row r="11" customFormat="false" ht="15" hidden="false" customHeight="false" outlineLevel="0" collapsed="false">
      <c r="A11" s="29" t="n">
        <v>8</v>
      </c>
      <c r="B11" s="50" t="n">
        <f aca="false">Assumptions!$D$7+7*(A11-1)</f>
        <v>46364</v>
      </c>
      <c r="C11" s="50" t="n">
        <f aca="false">MIN(B11+6,Assumptions!$D$8)</f>
        <v>46370</v>
      </c>
      <c r="D11" s="30" t="n">
        <f aca="false">IF(SUMPRODUCT(($B$4:$B$14&lt;=Funnel!$B$19)*$Z$4:$Z$14)&gt;0,IF(B11&lt;=Funnel!$B$19,Z11,0)/SUMPRODUCT(($B$4:$B$14&lt;=Funnel!$B$19)*$Z$4:$Z$14),0)</f>
        <v>0</v>
      </c>
      <c r="E11" s="30" t="n">
        <f aca="false">IF(SUM($AA$4:$AA$14)&gt;0,AA11/SUM($AA$4:$AA$14),0)</f>
        <v>0</v>
      </c>
      <c r="F11" s="30" t="n">
        <f aca="false">IF(A11-ROUNDUP(Funnel!$B$15/7,0)&gt;=1,INDEX($D$4:$D$14,A11-ROUNDUP(Funnel!$B$15/7,0)),0)</f>
        <v>0.195</v>
      </c>
      <c r="G11" s="30" t="n">
        <f aca="false">IF(A11-ROUNDUP(Funnel!$B$16/7,0)&gt;=1,INDEX($E$4:$E$14,A11-ROUNDUP(Funnel!$B$16/7,0)),0)</f>
        <v>0.210955504343202</v>
      </c>
      <c r="H11" s="41" t="n">
        <f aca="false">($F$19-$L$19-$L$23)*D11+$L$19*AB11+$L$23*AC11+$F$20*E11+$F$31*Y11</f>
        <v>0</v>
      </c>
      <c r="I11" s="41" t="n">
        <f aca="false">IF(A11=1,$F$21,0)</f>
        <v>0</v>
      </c>
      <c r="J11" s="41" t="n">
        <f aca="false">$F$22*F11+$F$23*G11</f>
        <v>2158.34329973187</v>
      </c>
      <c r="K11" s="41" t="n">
        <f aca="false">IF(A11=1,Budget!$C$6,0)</f>
        <v>0</v>
      </c>
      <c r="L11" s="41" t="n">
        <f aca="false">$F$24*X11</f>
        <v>0</v>
      </c>
      <c r="M11" s="41" t="n">
        <f aca="false">SUM(H11:L11)</f>
        <v>2158.34329973187</v>
      </c>
      <c r="N11" s="41" t="n">
        <f aca="false">SUM($M$4:M11)</f>
        <v>101951.059523176</v>
      </c>
      <c r="O11" s="29" t="n">
        <f aca="false">(Funnel!$M$5+Funnel!$M$6+Funnel!$M$7-$F$27-$F$34-$L$20-$L$24)*D11+$L$20*AB11+$L$24*AC11+(Funnel!$M$8-$F$28-$F$35)*E11+($F$27+$F$28)*X11+($F$34+$F$35)*Y11</f>
        <v>0</v>
      </c>
      <c r="P11" s="29" t="n">
        <f aca="false">(Funnel!$O$5+Funnel!$O$6+Funnel!$O$7-$F$25-$F$32-$L$21-$L$25)*D11+$L$21*AB11+$L$25*AC11+(Funnel!$O$8-$F$26-$F$33)*E11+($F$25+$F$26)*X11+($F$32+$F$33)*Y11</f>
        <v>0</v>
      </c>
      <c r="Q11" s="29" t="n">
        <f aca="false">Assumptions!$D$9*MAX(0,MIN(C11+Assumptions!$D$21,Funnel!$B$17)-MAX(IF(A11=1,Funnel!$B$13,B11+Assumptions!$D$21),Funnel!$B$13)+1)/7</f>
        <v>0</v>
      </c>
      <c r="R11" s="30" t="n">
        <f aca="false">IF(Q11&gt;0,P11/Q11,IF(P11&gt;0,9.99,0))</f>
        <v>0</v>
      </c>
      <c r="S11" s="2" t="str">
        <f aca="false">IF(P11&gt;Q11+0.5,"OVER "&amp;Assumptions!$D$9&amp;"/wk – pace down",IF(R11&gt;Assumptions!$D$102,"Full",IF(AND(Q11&gt;=Assumptions!$D$103,P11&lt;Assumptions!$D$103),"Under "&amp;Assumptions!$D$103&amp;" – release reserve","")))</f>
        <v/>
      </c>
      <c r="T11" s="32" t="n">
        <f aca="false">$F$38*(F11*(Budget!$G$21+Budget!$G$22+Budget!$G$23-$F$29-$F$36-$L$22-$L$26)+IF(A11-ROUNDUP(Funnel!$B$15/7,0)&gt;=1,INDEX($X$4:$X$14,A11-ROUNDUP(Funnel!$B$15/7,0))*$F$29+INDEX($Y$4:$Y$14,A11-ROUNDUP(Funnel!$B$15/7,0))*$F$36+INDEX($AB$4:$AB$14,A11-ROUNDUP(Funnel!$B$15/7,0))*$L$22+INDEX($AC$4:$AC$14,A11-ROUNDUP(Funnel!$B$15/7,0))*$L$26,0))</f>
        <v>18.0704571328538</v>
      </c>
      <c r="U11" s="32" t="n">
        <f aca="false">$F$38*(G11*(Budget!$G$24-$F$30-$F$37)+IF(A11-ROUNDUP(Funnel!$B$16/7,0)&gt;=1,INDEX($X$4:$X$14,A11-ROUNDUP(Funnel!$B$16/7,0))*$F$30+INDEX($Y$4:$Y$14,A11-ROUNDUP(Funnel!$B$16/7,0))*$F$37,0))</f>
        <v>1.83521903276862</v>
      </c>
      <c r="V11" s="32" t="n">
        <f aca="false">T11+U11</f>
        <v>19.9056761656224</v>
      </c>
      <c r="W11" s="32" t="n">
        <f aca="false">SUM($V$4:V11)</f>
        <v>97.1972075354466</v>
      </c>
      <c r="X11" s="30" t="n">
        <f aca="false">IF(A11=1,Assumptions!$D$50,IF(A11=2,1-Assumptions!$D$50,0))</f>
        <v>0</v>
      </c>
      <c r="Y11" s="30" t="n">
        <f aca="false">0</f>
        <v>0</v>
      </c>
      <c r="Z11" s="30" t="n">
        <f aca="false">Assumptions!$D$60</f>
        <v>0</v>
      </c>
      <c r="AA11" s="30" t="n">
        <f aca="false">D11*IF(MAX(0,MIN(C11,Funnel!$B$19)-B11+1)&gt;0,MAX(0,MIN(C11,Funnel!$B$20)-B11+1)/MAX(0,MIN(C11,Funnel!$B$19)-B11+1),0)</f>
        <v>0</v>
      </c>
      <c r="AB11" s="30" t="n">
        <f aca="false">IF(SUM($AD$4:$AD$14)&gt;0,AD11/SUM($AD$4:$AD$14),IF(SUM($AF$4:$AF$14)&gt;0,AF11/SUM($AF$4:$AF$14),0))</f>
        <v>0</v>
      </c>
      <c r="AC11" s="30" t="n">
        <f aca="false">IF(SUM($AE$4:$AE$14)&gt;0,AE11/SUM($AE$4:$AE$14),IF(SUM($AG$4:$AG$14)&gt;0,AG11/SUM($AG$4:$AG$14),0))</f>
        <v>0</v>
      </c>
      <c r="AD11" s="30" t="n">
        <f aca="false">D11*IF(MAX(0,MIN(C11,Funnel!$B$19)-B11+1)&gt;0,MAX(0,MIN(C11,Funnel!$B$19)-MAX(B11,Assumptions!$D$7+Assumptions!$D$181)+1)/MAX(0,MIN(C11,Funnel!$B$19)-B11+1),0)</f>
        <v>0</v>
      </c>
      <c r="AE11" s="30" t="n">
        <f aca="false">D11*IF(MAX(0,MIN(C11,Funnel!$B$19)-B11+1)&gt;0,MAX(0,MIN(C11,Funnel!$B$19)-MAX(B11,Assumptions!$D$7+Assumptions!$D$182)+1)/MAX(0,MIN(C11,Funnel!$B$19)-B11+1),0)</f>
        <v>0</v>
      </c>
      <c r="AF11" s="29" t="n">
        <f aca="false">MAX(0,MIN(C11,Funnel!$B$19)-MAX(B11,Assumptions!$D$7+Assumptions!$D$181)+1)</f>
        <v>0</v>
      </c>
      <c r="AG11" s="29" t="n">
        <f aca="false">MAX(0,MIN(C11,Funnel!$B$19)-MAX(B11,Assumptions!$D$7+Assumptions!$D$182)+1)</f>
        <v>0</v>
      </c>
    </row>
    <row r="12" customFormat="false" ht="15" hidden="false" customHeight="false" outlineLevel="0" collapsed="false">
      <c r="A12" s="29" t="n">
        <v>9</v>
      </c>
      <c r="B12" s="50" t="n">
        <f aca="false">Assumptions!$D$7+7*(A12-1)</f>
        <v>46371</v>
      </c>
      <c r="C12" s="50" t="n">
        <f aca="false">MIN(B12+6,Assumptions!$D$8)</f>
        <v>46377</v>
      </c>
      <c r="D12" s="30" t="n">
        <f aca="false">IF(SUMPRODUCT(($B$4:$B$14&lt;=Funnel!$B$19)*$Z$4:$Z$14)&gt;0,IF(B12&lt;=Funnel!$B$19,Z12,0)/SUMPRODUCT(($B$4:$B$14&lt;=Funnel!$B$19)*$Z$4:$Z$14),0)</f>
        <v>0</v>
      </c>
      <c r="E12" s="30" t="n">
        <f aca="false">IF(SUM($AA$4:$AA$14)&gt;0,AA12/SUM($AA$4:$AA$14),0)</f>
        <v>0</v>
      </c>
      <c r="F12" s="30" t="n">
        <f aca="false">IF(A12-ROUNDUP(Funnel!$B$15/7,0)&gt;=1,INDEX($D$4:$D$14,A12-ROUNDUP(Funnel!$B$15/7,0)),0)</f>
        <v>0.027</v>
      </c>
      <c r="G12" s="30" t="n">
        <f aca="false">IF(A12-ROUNDUP(Funnel!$B$16/7,0)&gt;=1,INDEX($E$4:$E$14,A12-ROUNDUP(Funnel!$B$16/7,0)),0)</f>
        <v>0.0345683389469952</v>
      </c>
      <c r="H12" s="41" t="n">
        <f aca="false">($F$19-$L$19-$L$23)*D12+$L$19*AB12+$L$23*AC12+$F$20*E12+$F$31*Y12</f>
        <v>0</v>
      </c>
      <c r="I12" s="41" t="n">
        <f aca="false">IF(A12=1,$F$21,0)</f>
        <v>0</v>
      </c>
      <c r="J12" s="41" t="n">
        <f aca="false">$F$22*F12+$F$23*G12</f>
        <v>304.78803269766</v>
      </c>
      <c r="K12" s="41" t="n">
        <f aca="false">IF(A12=1,Budget!$C$6,0)</f>
        <v>0</v>
      </c>
      <c r="L12" s="41" t="n">
        <f aca="false">$F$24*X12</f>
        <v>0</v>
      </c>
      <c r="M12" s="41" t="n">
        <f aca="false">SUM(H12:L12)</f>
        <v>304.78803269766</v>
      </c>
      <c r="N12" s="41" t="n">
        <f aca="false">SUM($M$4:M12)</f>
        <v>102255.847555873</v>
      </c>
      <c r="O12" s="29" t="n">
        <f aca="false">(Funnel!$M$5+Funnel!$M$6+Funnel!$M$7-$F$27-$F$34-$L$20-$L$24)*D12+$L$20*AB12+$L$24*AC12+(Funnel!$M$8-$F$28-$F$35)*E12+($F$27+$F$28)*X12+($F$34+$F$35)*Y12</f>
        <v>0</v>
      </c>
      <c r="P12" s="29" t="n">
        <f aca="false">(Funnel!$O$5+Funnel!$O$6+Funnel!$O$7-$F$25-$F$32-$L$21-$L$25)*D12+$L$21*AB12+$L$25*AC12+(Funnel!$O$8-$F$26-$F$33)*E12+($F$25+$F$26)*X12+($F$32+$F$33)*Y12</f>
        <v>0</v>
      </c>
      <c r="Q12" s="29" t="n">
        <f aca="false">Assumptions!$D$9*MAX(0,MIN(C12+Assumptions!$D$21,Funnel!$B$17)-MAX(IF(A12=1,Funnel!$B$13,B12+Assumptions!$D$21),Funnel!$B$13)+1)/7</f>
        <v>0</v>
      </c>
      <c r="R12" s="30" t="n">
        <f aca="false">IF(Q12&gt;0,P12/Q12,IF(P12&gt;0,9.99,0))</f>
        <v>0</v>
      </c>
      <c r="S12" s="2" t="str">
        <f aca="false">IF(P12&gt;Q12+0.5,"OVER "&amp;Assumptions!$D$9&amp;"/wk – pace down",IF(R12&gt;Assumptions!$D$102,"Full",IF(AND(Q12&gt;=Assumptions!$D$103,P12&lt;Assumptions!$D$103),"Under "&amp;Assumptions!$D$103&amp;" – release reserve","")))</f>
        <v/>
      </c>
      <c r="T12" s="32" t="n">
        <f aca="false">$F$38*(F12*(Budget!$G$21+Budget!$G$22+Budget!$G$23-$F$29-$F$36-$L$22-$L$26)+IF(A12-ROUNDUP(Funnel!$B$15/7,0)&gt;=1,INDEX($X$4:$X$14,A12-ROUNDUP(Funnel!$B$15/7,0))*$F$29+INDEX($Y$4:$Y$14,A12-ROUNDUP(Funnel!$B$15/7,0))*$F$36+INDEX($AB$4:$AB$14,A12-ROUNDUP(Funnel!$B$15/7,0))*$L$22+INDEX($AC$4:$AC$14,A12-ROUNDUP(Funnel!$B$15/7,0))*$L$26,0))</f>
        <v>2.50206329531822</v>
      </c>
      <c r="U12" s="32" t="n">
        <f aca="false">$F$38*(G12*(Budget!$G$24-$F$30-$F$37)+IF(A12-ROUNDUP(Funnel!$B$16/7,0)&gt;=1,INDEX($X$4:$X$14,A12-ROUNDUP(Funnel!$B$16/7,0))*$F$30+INDEX($Y$4:$Y$14,A12-ROUNDUP(Funnel!$B$16/7,0))*$F$37,0))</f>
        <v>0.300729169235193</v>
      </c>
      <c r="V12" s="32" t="n">
        <f aca="false">T12+U12</f>
        <v>2.80279246455341</v>
      </c>
      <c r="W12" s="32" t="n">
        <f aca="false">SUM($V$4:V12)</f>
        <v>100</v>
      </c>
      <c r="X12" s="30" t="n">
        <f aca="false">IF(A12=1,Assumptions!$D$50,IF(A12=2,1-Assumptions!$D$50,0))</f>
        <v>0</v>
      </c>
      <c r="Y12" s="30" t="n">
        <f aca="false">0</f>
        <v>0</v>
      </c>
      <c r="Z12" s="30" t="n">
        <f aca="false">Assumptions!$D$61</f>
        <v>0</v>
      </c>
      <c r="AA12" s="30" t="n">
        <f aca="false">D12*IF(MAX(0,MIN(C12,Funnel!$B$19)-B12+1)&gt;0,MAX(0,MIN(C12,Funnel!$B$20)-B12+1)/MAX(0,MIN(C12,Funnel!$B$19)-B12+1),0)</f>
        <v>0</v>
      </c>
      <c r="AB12" s="30" t="n">
        <f aca="false">IF(SUM($AD$4:$AD$14)&gt;0,AD12/SUM($AD$4:$AD$14),IF(SUM($AF$4:$AF$14)&gt;0,AF12/SUM($AF$4:$AF$14),0))</f>
        <v>0</v>
      </c>
      <c r="AC12" s="30" t="n">
        <f aca="false">IF(SUM($AE$4:$AE$14)&gt;0,AE12/SUM($AE$4:$AE$14),IF(SUM($AG$4:$AG$14)&gt;0,AG12/SUM($AG$4:$AG$14),0))</f>
        <v>0</v>
      </c>
      <c r="AD12" s="30" t="n">
        <f aca="false">D12*IF(MAX(0,MIN(C12,Funnel!$B$19)-B12+1)&gt;0,MAX(0,MIN(C12,Funnel!$B$19)-MAX(B12,Assumptions!$D$7+Assumptions!$D$181)+1)/MAX(0,MIN(C12,Funnel!$B$19)-B12+1),0)</f>
        <v>0</v>
      </c>
      <c r="AE12" s="30" t="n">
        <f aca="false">D12*IF(MAX(0,MIN(C12,Funnel!$B$19)-B12+1)&gt;0,MAX(0,MIN(C12,Funnel!$B$19)-MAX(B12,Assumptions!$D$7+Assumptions!$D$182)+1)/MAX(0,MIN(C12,Funnel!$B$19)-B12+1),0)</f>
        <v>0</v>
      </c>
      <c r="AF12" s="29" t="n">
        <f aca="false">MAX(0,MIN(C12,Funnel!$B$19)-MAX(B12,Assumptions!$D$7+Assumptions!$D$181)+1)</f>
        <v>0</v>
      </c>
      <c r="AG12" s="29" t="n">
        <f aca="false">MAX(0,MIN(C12,Funnel!$B$19)-MAX(B12,Assumptions!$D$7+Assumptions!$D$182)+1)</f>
        <v>0</v>
      </c>
    </row>
    <row r="13" customFormat="false" ht="15" hidden="false" customHeight="false" outlineLevel="0" collapsed="false">
      <c r="A13" s="29" t="n">
        <v>10</v>
      </c>
      <c r="B13" s="50" t="n">
        <f aca="false">Assumptions!$D$7+7*(A13-1)</f>
        <v>46378</v>
      </c>
      <c r="C13" s="50" t="n">
        <f aca="false">MIN(B13+6,Assumptions!$D$8)</f>
        <v>46384</v>
      </c>
      <c r="D13" s="30" t="n">
        <f aca="false">IF(SUMPRODUCT(($B$4:$B$14&lt;=Funnel!$B$19)*$Z$4:$Z$14)&gt;0,IF(B13&lt;=Funnel!$B$19,Z13,0)/SUMPRODUCT(($B$4:$B$14&lt;=Funnel!$B$19)*$Z$4:$Z$14),0)</f>
        <v>0</v>
      </c>
      <c r="E13" s="30" t="n">
        <f aca="false">IF(SUM($AA$4:$AA$14)&gt;0,AA13/SUM($AA$4:$AA$14),0)</f>
        <v>0</v>
      </c>
      <c r="F13" s="30" t="n">
        <f aca="false">IF(A13-ROUNDUP(Funnel!$B$15/7,0)&gt;=1,INDEX($D$4:$D$14,A13-ROUNDUP(Funnel!$B$15/7,0)),0)</f>
        <v>0</v>
      </c>
      <c r="G13" s="30" t="n">
        <f aca="false">IF(A13-ROUNDUP(Funnel!$B$16/7,0)&gt;=1,INDEX($E$4:$E$14,A13-ROUNDUP(Funnel!$B$16/7,0)),0)</f>
        <v>0</v>
      </c>
      <c r="H13" s="41" t="n">
        <f aca="false">($F$19-$L$19-$L$23)*D13+$L$19*AB13+$L$23*AC13+$F$20*E13+$F$31*Y13</f>
        <v>0</v>
      </c>
      <c r="I13" s="41" t="n">
        <f aca="false">IF(A13=1,$F$21,0)</f>
        <v>0</v>
      </c>
      <c r="J13" s="41" t="n">
        <f aca="false">$F$22*F13+$F$23*G13</f>
        <v>0</v>
      </c>
      <c r="K13" s="41" t="n">
        <f aca="false">IF(A13=1,Budget!$C$6,0)</f>
        <v>0</v>
      </c>
      <c r="L13" s="41" t="n">
        <f aca="false">$F$24*X13</f>
        <v>0</v>
      </c>
      <c r="M13" s="41" t="n">
        <f aca="false">SUM(H13:L13)</f>
        <v>0</v>
      </c>
      <c r="N13" s="41" t="n">
        <f aca="false">SUM($M$4:M13)</f>
        <v>102255.847555873</v>
      </c>
      <c r="O13" s="29" t="n">
        <f aca="false">(Funnel!$M$5+Funnel!$M$6+Funnel!$M$7-$F$27-$F$34-$L$20-$L$24)*D13+$L$20*AB13+$L$24*AC13+(Funnel!$M$8-$F$28-$F$35)*E13+($F$27+$F$28)*X13+($F$34+$F$35)*Y13</f>
        <v>0</v>
      </c>
      <c r="P13" s="29" t="n">
        <f aca="false">(Funnel!$O$5+Funnel!$O$6+Funnel!$O$7-$F$25-$F$32-$L$21-$L$25)*D13+$L$21*AB13+$L$25*AC13+(Funnel!$O$8-$F$26-$F$33)*E13+($F$25+$F$26)*X13+($F$32+$F$33)*Y13</f>
        <v>0</v>
      </c>
      <c r="Q13" s="29" t="n">
        <f aca="false">Assumptions!$D$9*MAX(0,MIN(C13+Assumptions!$D$21,Funnel!$B$17)-MAX(IF(A13=1,Funnel!$B$13,B13+Assumptions!$D$21),Funnel!$B$13)+1)/7</f>
        <v>0</v>
      </c>
      <c r="R13" s="30" t="n">
        <f aca="false">IF(Q13&gt;0,P13/Q13,IF(P13&gt;0,9.99,0))</f>
        <v>0</v>
      </c>
      <c r="S13" s="2" t="str">
        <f aca="false">IF(P13&gt;Q13+0.5,"OVER "&amp;Assumptions!$D$9&amp;"/wk – pace down",IF(R13&gt;Assumptions!$D$102,"Full",IF(AND(Q13&gt;=Assumptions!$D$103,P13&lt;Assumptions!$D$103),"Under "&amp;Assumptions!$D$103&amp;" – release reserve","")))</f>
        <v/>
      </c>
      <c r="T13" s="32" t="n">
        <f aca="false">$F$38*(F13*(Budget!$G$21+Budget!$G$22+Budget!$G$23-$F$29-$F$36-$L$22-$L$26)+IF(A13-ROUNDUP(Funnel!$B$15/7,0)&gt;=1,INDEX($X$4:$X$14,A13-ROUNDUP(Funnel!$B$15/7,0))*$F$29+INDEX($Y$4:$Y$14,A13-ROUNDUP(Funnel!$B$15/7,0))*$F$36+INDEX($AB$4:$AB$14,A13-ROUNDUP(Funnel!$B$15/7,0))*$L$22+INDEX($AC$4:$AC$14,A13-ROUNDUP(Funnel!$B$15/7,0))*$L$26,0))</f>
        <v>0</v>
      </c>
      <c r="U13" s="32" t="n">
        <f aca="false">$F$38*(G13*(Budget!$G$24-$F$30-$F$37)+IF(A13-ROUNDUP(Funnel!$B$16/7,0)&gt;=1,INDEX($X$4:$X$14,A13-ROUNDUP(Funnel!$B$16/7,0))*$F$30+INDEX($Y$4:$Y$14,A13-ROUNDUP(Funnel!$B$16/7,0))*$F$37,0))</f>
        <v>0</v>
      </c>
      <c r="V13" s="32" t="n">
        <f aca="false">T13+U13</f>
        <v>0</v>
      </c>
      <c r="W13" s="32" t="n">
        <f aca="false">SUM($V$4:V13)</f>
        <v>100</v>
      </c>
      <c r="X13" s="30" t="n">
        <f aca="false">IF(A13=1,Assumptions!$D$50,IF(A13=2,1-Assumptions!$D$50,0))</f>
        <v>0</v>
      </c>
      <c r="Y13" s="30" t="n">
        <f aca="false">0</f>
        <v>0</v>
      </c>
      <c r="Z13" s="30" t="n">
        <f aca="false">Assumptions!$D$62</f>
        <v>0</v>
      </c>
      <c r="AA13" s="30" t="n">
        <f aca="false">D13*IF(MAX(0,MIN(C13,Funnel!$B$19)-B13+1)&gt;0,MAX(0,MIN(C13,Funnel!$B$20)-B13+1)/MAX(0,MIN(C13,Funnel!$B$19)-B13+1),0)</f>
        <v>0</v>
      </c>
      <c r="AB13" s="30" t="n">
        <f aca="false">IF(SUM($AD$4:$AD$14)&gt;0,AD13/SUM($AD$4:$AD$14),IF(SUM($AF$4:$AF$14)&gt;0,AF13/SUM($AF$4:$AF$14),0))</f>
        <v>0</v>
      </c>
      <c r="AC13" s="30" t="n">
        <f aca="false">IF(SUM($AE$4:$AE$14)&gt;0,AE13/SUM($AE$4:$AE$14),IF(SUM($AG$4:$AG$14)&gt;0,AG13/SUM($AG$4:$AG$14),0))</f>
        <v>0</v>
      </c>
      <c r="AD13" s="30" t="n">
        <f aca="false">D13*IF(MAX(0,MIN(C13,Funnel!$B$19)-B13+1)&gt;0,MAX(0,MIN(C13,Funnel!$B$19)-MAX(B13,Assumptions!$D$7+Assumptions!$D$181)+1)/MAX(0,MIN(C13,Funnel!$B$19)-B13+1),0)</f>
        <v>0</v>
      </c>
      <c r="AE13" s="30" t="n">
        <f aca="false">D13*IF(MAX(0,MIN(C13,Funnel!$B$19)-B13+1)&gt;0,MAX(0,MIN(C13,Funnel!$B$19)-MAX(B13,Assumptions!$D$7+Assumptions!$D$182)+1)/MAX(0,MIN(C13,Funnel!$B$19)-B13+1),0)</f>
        <v>0</v>
      </c>
      <c r="AF13" s="29" t="n">
        <f aca="false">MAX(0,MIN(C13,Funnel!$B$19)-MAX(B13,Assumptions!$D$7+Assumptions!$D$181)+1)</f>
        <v>0</v>
      </c>
      <c r="AG13" s="29" t="n">
        <f aca="false">MAX(0,MIN(C13,Funnel!$B$19)-MAX(B13,Assumptions!$D$7+Assumptions!$D$182)+1)</f>
        <v>0</v>
      </c>
    </row>
    <row r="14" customFormat="false" ht="15" hidden="false" customHeight="false" outlineLevel="0" collapsed="false">
      <c r="A14" s="29" t="n">
        <v>11</v>
      </c>
      <c r="B14" s="50" t="n">
        <f aca="false">Assumptions!$D$7+7*(A14-1)</f>
        <v>46385</v>
      </c>
      <c r="C14" s="50" t="n">
        <f aca="false">MIN(B14+6,Assumptions!$D$8)</f>
        <v>46387</v>
      </c>
      <c r="D14" s="30" t="n">
        <f aca="false">IF(SUMPRODUCT(($B$4:$B$14&lt;=Funnel!$B$19)*$Z$4:$Z$14)&gt;0,IF(B14&lt;=Funnel!$B$19,Z14,0)/SUMPRODUCT(($B$4:$B$14&lt;=Funnel!$B$19)*$Z$4:$Z$14),0)</f>
        <v>0</v>
      </c>
      <c r="E14" s="30" t="n">
        <f aca="false">IF(SUM($AA$4:$AA$14)&gt;0,AA14/SUM($AA$4:$AA$14),0)</f>
        <v>0</v>
      </c>
      <c r="F14" s="30" t="n">
        <f aca="false">IF(A14-ROUNDUP(Funnel!$B$15/7,0)&gt;=1,INDEX($D$4:$D$14,A14-ROUNDUP(Funnel!$B$15/7,0)),0)</f>
        <v>0</v>
      </c>
      <c r="G14" s="30" t="n">
        <f aca="false">IF(A14-ROUNDUP(Funnel!$B$16/7,0)&gt;=1,INDEX($E$4:$E$14,A14-ROUNDUP(Funnel!$B$16/7,0)),0)</f>
        <v>0</v>
      </c>
      <c r="H14" s="41" t="n">
        <f aca="false">($F$19-$L$19-$L$23)*D14+$L$19*AB14+$L$23*AC14+$F$20*E14+$F$31*Y14</f>
        <v>0</v>
      </c>
      <c r="I14" s="41" t="n">
        <f aca="false">IF(A14=1,$F$21,0)</f>
        <v>0</v>
      </c>
      <c r="J14" s="41" t="n">
        <f aca="false">$F$22*F14+$F$23*G14</f>
        <v>0</v>
      </c>
      <c r="K14" s="41" t="n">
        <f aca="false">IF(A14=1,Budget!$C$6,0)</f>
        <v>0</v>
      </c>
      <c r="L14" s="41" t="n">
        <f aca="false">$F$24*X14</f>
        <v>0</v>
      </c>
      <c r="M14" s="41" t="n">
        <f aca="false">SUM(H14:L14)</f>
        <v>0</v>
      </c>
      <c r="N14" s="41" t="n">
        <f aca="false">SUM($M$4:M14)</f>
        <v>102255.847555873</v>
      </c>
      <c r="O14" s="29" t="n">
        <f aca="false">(Funnel!$M$5+Funnel!$M$6+Funnel!$M$7-$F$27-$F$34-$L$20-$L$24)*D14+$L$20*AB14+$L$24*AC14+(Funnel!$M$8-$F$28-$F$35)*E14+($F$27+$F$28)*X14+($F$34+$F$35)*Y14</f>
        <v>0</v>
      </c>
      <c r="P14" s="29" t="n">
        <f aca="false">(Funnel!$O$5+Funnel!$O$6+Funnel!$O$7-$F$25-$F$32-$L$21-$L$25)*D14+$L$21*AB14+$L$25*AC14+(Funnel!$O$8-$F$26-$F$33)*E14+($F$25+$F$26)*X14+($F$32+$F$33)*Y14</f>
        <v>0</v>
      </c>
      <c r="Q14" s="29" t="n">
        <f aca="false">Assumptions!$D$9*MAX(0,MIN(C14+Assumptions!$D$21,Funnel!$B$17)-MAX(IF(A14=1,Funnel!$B$13,B14+Assumptions!$D$21),Funnel!$B$13)+1)/7</f>
        <v>0</v>
      </c>
      <c r="R14" s="30" t="n">
        <f aca="false">IF(Q14&gt;0,P14/Q14,IF(P14&gt;0,9.99,0))</f>
        <v>0</v>
      </c>
      <c r="S14" s="2" t="str">
        <f aca="false">IF(P14&gt;Q14+0.5,"OVER "&amp;Assumptions!$D$9&amp;"/wk – pace down",IF(R14&gt;Assumptions!$D$102,"Full",IF(AND(Q14&gt;=Assumptions!$D$103,P14&lt;Assumptions!$D$103),"Under "&amp;Assumptions!$D$103&amp;" – release reserve","")))</f>
        <v/>
      </c>
      <c r="T14" s="32" t="n">
        <f aca="false">$F$38*(F14*(Budget!$G$21+Budget!$G$22+Budget!$G$23-$F$29-$F$36-$L$22-$L$26)+IF(A14-ROUNDUP(Funnel!$B$15/7,0)&gt;=1,INDEX($X$4:$X$14,A14-ROUNDUP(Funnel!$B$15/7,0))*$F$29+INDEX($Y$4:$Y$14,A14-ROUNDUP(Funnel!$B$15/7,0))*$F$36+INDEX($AB$4:$AB$14,A14-ROUNDUP(Funnel!$B$15/7,0))*$L$22+INDEX($AC$4:$AC$14,A14-ROUNDUP(Funnel!$B$15/7,0))*$L$26,0))</f>
        <v>0</v>
      </c>
      <c r="U14" s="32" t="n">
        <f aca="false">$F$38*(G14*(Budget!$G$24-$F$30-$F$37)+IF(A14-ROUNDUP(Funnel!$B$16/7,0)&gt;=1,INDEX($X$4:$X$14,A14-ROUNDUP(Funnel!$B$16/7,0))*$F$30+INDEX($Y$4:$Y$14,A14-ROUNDUP(Funnel!$B$16/7,0))*$F$37,0))</f>
        <v>0</v>
      </c>
      <c r="V14" s="32" t="n">
        <f aca="false">T14+U14</f>
        <v>0</v>
      </c>
      <c r="W14" s="32" t="n">
        <f aca="false">SUM($V$4:V14)</f>
        <v>100</v>
      </c>
      <c r="X14" s="30" t="n">
        <f aca="false">IF(A14=1,Assumptions!$D$50,IF(A14=2,1-Assumptions!$D$50,0))</f>
        <v>0</v>
      </c>
      <c r="Y14" s="30" t="n">
        <f aca="false">0</f>
        <v>0</v>
      </c>
      <c r="Z14" s="30" t="n">
        <f aca="false">Assumptions!$D$63</f>
        <v>0</v>
      </c>
      <c r="AA14" s="30" t="n">
        <f aca="false">D14*IF(MAX(0,MIN(C14,Funnel!$B$19)-B14+1)&gt;0,MAX(0,MIN(C14,Funnel!$B$20)-B14+1)/MAX(0,MIN(C14,Funnel!$B$19)-B14+1),0)</f>
        <v>0</v>
      </c>
      <c r="AB14" s="30" t="n">
        <f aca="false">IF(SUM($AD$4:$AD$14)&gt;0,AD14/SUM($AD$4:$AD$14),IF(SUM($AF$4:$AF$14)&gt;0,AF14/SUM($AF$4:$AF$14),0))</f>
        <v>0</v>
      </c>
      <c r="AC14" s="30" t="n">
        <f aca="false">IF(SUM($AE$4:$AE$14)&gt;0,AE14/SUM($AE$4:$AE$14),IF(SUM($AG$4:$AG$14)&gt;0,AG14/SUM($AG$4:$AG$14),0))</f>
        <v>0</v>
      </c>
      <c r="AD14" s="30" t="n">
        <f aca="false">D14*IF(MAX(0,MIN(C14,Funnel!$B$19)-B14+1)&gt;0,MAX(0,MIN(C14,Funnel!$B$19)-MAX(B14,Assumptions!$D$7+Assumptions!$D$181)+1)/MAX(0,MIN(C14,Funnel!$B$19)-B14+1),0)</f>
        <v>0</v>
      </c>
      <c r="AE14" s="30" t="n">
        <f aca="false">D14*IF(MAX(0,MIN(C14,Funnel!$B$19)-B14+1)&gt;0,MAX(0,MIN(C14,Funnel!$B$19)-MAX(B14,Assumptions!$D$7+Assumptions!$D$182)+1)/MAX(0,MIN(C14,Funnel!$B$19)-B14+1),0)</f>
        <v>0</v>
      </c>
      <c r="AF14" s="29" t="n">
        <f aca="false">MAX(0,MIN(C14,Funnel!$B$19)-MAX(B14,Assumptions!$D$7+Assumptions!$D$181)+1)</f>
        <v>0</v>
      </c>
      <c r="AG14" s="29" t="n">
        <f aca="false">MAX(0,MIN(C14,Funnel!$B$19)-MAX(B14,Assumptions!$D$7+Assumptions!$D$182)+1)</f>
        <v>0</v>
      </c>
    </row>
    <row r="15" customFormat="false" ht="15" hidden="false" customHeight="false" outlineLevel="0" collapsed="false">
      <c r="A15" s="28" t="s">
        <v>463</v>
      </c>
      <c r="D15" s="51" t="n">
        <f aca="false">SUM(D4:D14)</f>
        <v>1</v>
      </c>
      <c r="E15" s="51" t="n">
        <f aca="false">SUM(E4:E14)</f>
        <v>1</v>
      </c>
      <c r="F15" s="51" t="n">
        <f aca="false">SUM(F4:F14)</f>
        <v>1</v>
      </c>
      <c r="G15" s="51" t="n">
        <f aca="false">SUM(G4:G14)</f>
        <v>1</v>
      </c>
      <c r="H15" s="42" t="n">
        <f aca="false">SUM(H4:H14)</f>
        <v>74882.1200558735</v>
      </c>
      <c r="I15" s="42" t="n">
        <f aca="false">SUM(I4:I14)</f>
        <v>5796</v>
      </c>
      <c r="J15" s="42" t="n">
        <f aca="false">SUM(J4:J14)</f>
        <v>10977.7275</v>
      </c>
      <c r="K15" s="42" t="n">
        <f aca="false">SUM(K4:K14)</f>
        <v>1600</v>
      </c>
      <c r="L15" s="42" t="n">
        <f aca="false">SUM(L4:L14)</f>
        <v>9000</v>
      </c>
      <c r="M15" s="42" t="n">
        <f aca="false">SUM(M4:M14)</f>
        <v>102255.847555873</v>
      </c>
      <c r="O15" s="35" t="n">
        <f aca="false">SUM(O4:O14)</f>
        <v>1494.5752431742</v>
      </c>
      <c r="P15" s="35" t="n">
        <f aca="false">SUM(P4:P14)</f>
        <v>307.973076082958</v>
      </c>
      <c r="Q15" s="35" t="n">
        <f aca="false">SUM(Q4:Q14)</f>
        <v>314.285714285714</v>
      </c>
      <c r="S15" s="2" t="str">
        <f aca="false">IF(LEFT(Summary!$C$19,1)&lt;&gt;"✓",Summary!$C$19,IF(Assumptions!$D$48&gt;=1,"✗ reserve share must be below 100%",IF(Funnel!B19&lt;Assumptions!$D$7,"✗ no application can sign by the deadline (Funnel B19 is before the campaign starts)",IF(AND(Budget!G24&gt;0,Funnel!B20&lt;Assumptions!$D$7),"✗ supervisors cannot apply in time (Funnel B20 is before the campaign starts)",IF(Funnel!B13&gt;Funnel!B17,"✗ assessments start (Funnel B13) after the last useful assessment day (Funnel B17): no hire can sign in time",IF(SUMPRODUCT(($B$4:$B$14&lt;=Funnel!$B$19)*$Z$4:$Z$14)&lt;=0.0001,"✗ no spend share falls before the last useful application (Funnel B19): move shares into the early weeks",IF(OR(ABS(Z15-1)&gt;0.001,ABS(Y15-1)&gt;0.001),"✗ shares must sum to 100%",IF(AND(F20&gt;0,ABS(E15-1)&gt;0.001),"✗ no spend share falls before the supervisor cut-off (Funnel B20): move weekly shares into weeks 1–5",IF(ABS(M15-Budget!C9)&gt;1,"✗ weeks ≠ planned spend",IF(ABS(P15-Funnel!O9)&gt;0.5,"✗ qualified ≠ plan",IF(ABS(V15-Budget!C13)&gt;0.5,"✗ signatures ≠ expected hires","✓ ties to plan"&amp;IF(SUMPRODUCT(($B$4:$B$14&gt;Funnel!$B$19)*$Z$4:$Z$14)&gt;0.0001," · ℹ "&amp;TEXT(SUMPRODUCT(($B$4:$B$14&gt;Funnel!$B$19)*$Z$4:$Z$14),"0%")&amp;" of the weekly input shares (col Z) fall after the last useful application and are re-spread over earlier weeks (col D)",""))))))))))))</f>
        <v>✓ ties to plan</v>
      </c>
      <c r="T15" s="35" t="n">
        <f aca="false">SUM(T4:T14)</f>
        <v>90</v>
      </c>
      <c r="U15" s="35" t="n">
        <f aca="false">SUM(U4:U14)</f>
        <v>10</v>
      </c>
      <c r="V15" s="35" t="n">
        <f aca="false">SUM(V4:V14)</f>
        <v>100</v>
      </c>
      <c r="X15" s="51" t="n">
        <f aca="false">SUM(X4:X14)</f>
        <v>1</v>
      </c>
      <c r="Y15" s="35" t="n">
        <f aca="false">SUM(Y4:Y14)</f>
        <v>1</v>
      </c>
      <c r="Z15" s="35" t="n">
        <f aca="false">SUM(Z4:Z14)</f>
        <v>1</v>
      </c>
    </row>
    <row r="16" customFormat="false" ht="30" hidden="false" customHeight="true" outlineLevel="0" collapsed="false">
      <c r="A16" s="9" t="s">
        <v>720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</row>
    <row r="18" customFormat="false" ht="15" hidden="false" customHeight="false" outlineLevel="0" collapsed="false">
      <c r="A18" s="28" t="s">
        <v>721</v>
      </c>
      <c r="H18" s="28" t="s">
        <v>722</v>
      </c>
    </row>
    <row r="19" customFormat="false" ht="15" hidden="false" customHeight="false" outlineLevel="0" collapsed="false">
      <c r="B19" s="2" t="s">
        <v>723</v>
      </c>
      <c r="F19" s="41" t="n">
        <f aca="false">SUMIFS(Channels!$X$5:$X$34,Channels!$C$5:$C$34,"&lt;&gt;Supervisors",Channels!$E$5:$E$34,"&lt;&gt;Slot",Channels!$B$5:$B$34,"&lt;&gt;I1b Employee referral sprint (bonus on hire)",Channels!$B$5:$B$34,"&lt;&gt;I1a Talent rediscovery (past applicants in ATS)")-SUMIFS(Channels!$Z$5:$Z$34,Channels!$C$5:$C$34,"&lt;&gt;Supervisors")</f>
        <v>62640.1522284802</v>
      </c>
      <c r="H19" s="2" t="s">
        <v>724</v>
      </c>
      <c r="L19" s="41" t="n">
        <f aca="false">SUMIFS(Channels!$X$5:$X$34,Channels!$B$5:$B$34,"I2 Handwerk → Industrie (construction electricians)")</f>
        <v>9912</v>
      </c>
    </row>
    <row r="20" customFormat="false" ht="15" hidden="false" customHeight="false" outlineLevel="0" collapsed="false">
      <c r="B20" s="2" t="s">
        <v>725</v>
      </c>
      <c r="F20" s="41" t="n">
        <f aca="false">SUMIFS(Channels!$X$5:$X$34,Channels!$C$5:$C$34,"Supervisors",Channels!$E$5:$E$34,"&lt;&gt;Slot",Channels!$B$5:$B$34,"&lt;&gt;I1b Employee referral sprint (bonus on hire)",Channels!$B$5:$B$34,"&lt;&gt;I1a Talent rediscovery (past applicants in ATS)")-SUMIFS(Channels!$Z$5:$Z$34,Channels!$C$5:$C$34,"Supervisors")</f>
        <v>12178.6678273933</v>
      </c>
      <c r="H20" s="2" t="s">
        <v>726</v>
      </c>
      <c r="L20" s="32" t="n">
        <f aca="false">SUMIFS(Channels!$W$5:$W$34,Channels!$B$5:$B$34,"I2 Handwerk → Industrie (construction electricians)")</f>
        <v>118</v>
      </c>
    </row>
    <row r="21" customFormat="false" ht="15" hidden="false" customHeight="false" outlineLevel="0" collapsed="false">
      <c r="B21" s="2" t="s">
        <v>727</v>
      </c>
      <c r="F21" s="41" t="n">
        <f aca="false">SUMIFS(Channels!$X$5:$X$34,Channels!$E$5:$E$34,"Slot")</f>
        <v>5796</v>
      </c>
      <c r="H21" s="2" t="s">
        <v>728</v>
      </c>
      <c r="L21" s="32" t="n">
        <f aca="false">SUMIFS(Channels!$V$5:$V$34,Channels!$B$5:$B$34,"I2 Handwerk → Industrie (construction electricians)")</f>
        <v>29.5</v>
      </c>
    </row>
    <row r="22" customFormat="false" ht="15" hidden="false" customHeight="false" outlineLevel="0" collapsed="false">
      <c r="B22" s="2" t="s">
        <v>729</v>
      </c>
      <c r="F22" s="41" t="n">
        <f aca="false">SUMIFS(Channels!$X$5:$X$34,Channels!$B$5:$B$34,"I1b Employee referral sprint (bonus on hire)",Channels!$C$5:$C$34,"&lt;&gt;Supervisors")</f>
        <v>9869.2425</v>
      </c>
      <c r="H22" s="2" t="s">
        <v>730</v>
      </c>
      <c r="L22" s="32" t="n">
        <f aca="false">SUMIFS(Channels!$U$5:$U$34,Channels!$B$5:$B$34,"I2 Handwerk → Industrie (construction electricians)")</f>
        <v>8.36325</v>
      </c>
    </row>
    <row r="23" customFormat="false" ht="15" hidden="false" customHeight="false" outlineLevel="0" collapsed="false">
      <c r="B23" s="2" t="s">
        <v>731</v>
      </c>
      <c r="F23" s="41" t="n">
        <f aca="false">SUMIFS(Channels!$X$5:$X$34,Channels!$B$5:$B$34,"I1b Employee referral sprint (bonus on hire)",Channels!$C$5:$C$34,"Supervisors")</f>
        <v>1108.485</v>
      </c>
      <c r="H23" s="2" t="s">
        <v>732</v>
      </c>
      <c r="L23" s="41" t="n">
        <f aca="false">SUMIFS(Channels!$X$5:$X$34,Channels!$B$5:$B$34,"I3 Polish border corridor + PL pre-screener")</f>
        <v>6493.50649350649</v>
      </c>
    </row>
    <row r="24" customFormat="false" ht="15" hidden="false" customHeight="false" outlineLevel="0" collapsed="false">
      <c r="B24" s="2" t="s">
        <v>733</v>
      </c>
      <c r="F24" s="41" t="n">
        <f aca="false">SUM(Channels!$Z$5:$Z$34)</f>
        <v>9000</v>
      </c>
      <c r="H24" s="2" t="s">
        <v>734</v>
      </c>
      <c r="L24" s="32" t="n">
        <f aca="false">SUMIFS(Channels!$W$5:$W$34,Channels!$B$5:$B$34,"I3 Polish border corridor + PL pre-screener")</f>
        <v>346.320346320346</v>
      </c>
    </row>
    <row r="25" customFormat="false" ht="15" hidden="false" customHeight="false" outlineLevel="0" collapsed="false">
      <c r="B25" s="2" t="s">
        <v>735</v>
      </c>
      <c r="F25" s="32" t="n">
        <f aca="false">SUMIFS(Channels!$AF$5:$AF$34,Channels!$C$5:$C$34,"&lt;&gt;Supervisors")</f>
        <v>8.9323002511364</v>
      </c>
      <c r="H25" s="2" t="s">
        <v>736</v>
      </c>
      <c r="L25" s="32" t="n">
        <f aca="false">SUMIFS(Channels!$V$5:$V$34,Channels!$B$5:$B$34,"I3 Polish border corridor + PL pre-screener")</f>
        <v>48.4848484848485</v>
      </c>
    </row>
    <row r="26" customFormat="false" ht="15" hidden="false" customHeight="false" outlineLevel="0" collapsed="false">
      <c r="B26" s="2" t="s">
        <v>737</v>
      </c>
      <c r="F26" s="32" t="n">
        <f aca="false">SUMIFS(Channels!$AF$5:$AF$34,Channels!$C$5:$C$34,"Supervisors")</f>
        <v>3.25605421987231</v>
      </c>
      <c r="H26" s="2" t="s">
        <v>738</v>
      </c>
      <c r="L26" s="32" t="n">
        <f aca="false">SUMIFS(Channels!$U$5:$U$34,Channels!$B$5:$B$34,"I3 Polish border corridor + PL pre-screener")</f>
        <v>18</v>
      </c>
    </row>
    <row r="27" customFormat="false" ht="15" hidden="false" customHeight="false" outlineLevel="0" collapsed="false">
      <c r="B27" s="2" t="s">
        <v>739</v>
      </c>
      <c r="F27" s="32" t="n">
        <f aca="false">SUMIFS(Channels!$AE$5:$AE$34,Channels!$C$5:$C$34,"&lt;&gt;Supervisors")</f>
        <v>52.2146305388806</v>
      </c>
    </row>
    <row r="28" customFormat="false" ht="15" hidden="false" customHeight="false" outlineLevel="0" collapsed="false">
      <c r="B28" s="2" t="s">
        <v>740</v>
      </c>
      <c r="F28" s="32" t="n">
        <f aca="false">SUMIFS(Channels!$AE$5:$AE$34,Channels!$C$5:$C$34,"Supervisors")</f>
        <v>16.6608292272459</v>
      </c>
    </row>
    <row r="29" customFormat="false" ht="15" hidden="false" customHeight="false" outlineLevel="0" collapsed="false">
      <c r="B29" s="2" t="s">
        <v>741</v>
      </c>
      <c r="F29" s="32" t="n">
        <f aca="false">SUMIFS(Channels!$AG$5:$AG$34,Channels!$C$5:$C$34,"&lt;&gt;Supervisors")</f>
        <v>2.85387135751913</v>
      </c>
    </row>
    <row r="30" customFormat="false" ht="15" hidden="false" customHeight="false" outlineLevel="0" collapsed="false">
      <c r="B30" s="2" t="s">
        <v>742</v>
      </c>
      <c r="F30" s="32" t="n">
        <f aca="false">SUMIFS(Channels!$AG$5:$AG$34,Channels!$C$5:$C$34,"Supervisors")</f>
        <v>0.774940904329609</v>
      </c>
    </row>
    <row r="31" customFormat="false" ht="15" hidden="false" customHeight="false" outlineLevel="0" collapsed="false">
      <c r="B31" s="2" t="s">
        <v>743</v>
      </c>
      <c r="F31" s="41" t="n">
        <f aca="false">SUMIFS(Channels!$X$5:$X$34,Channels!$B$5:$B$34,"I1a Talent rediscovery (past applicants in ATS)")</f>
        <v>63.3</v>
      </c>
    </row>
    <row r="32" customFormat="false" ht="15" hidden="false" customHeight="false" outlineLevel="0" collapsed="false">
      <c r="B32" s="2" t="s">
        <v>744</v>
      </c>
      <c r="F32" s="32" t="n">
        <f aca="false">SUMIFS(Channels!$V$5:$V$34,Channels!$B$5:$B$34,"I1a Talent rediscovery (past applicants in ATS)",Channels!$C$5:$C$34,"&lt;&gt;Supervisors")</f>
        <v>10.74</v>
      </c>
    </row>
    <row r="33" customFormat="false" ht="15" hidden="false" customHeight="false" outlineLevel="0" collapsed="false">
      <c r="B33" s="2" t="s">
        <v>745</v>
      </c>
      <c r="F33" s="32" t="n">
        <f aca="false">SUMIFS(Channels!$V$5:$V$34,Channels!$B$5:$B$34,"I1a Talent rediscovery (past applicants in ATS)",Channels!$C$5:$C$34,"Supervisors")</f>
        <v>1.92</v>
      </c>
    </row>
    <row r="34" customFormat="false" ht="15" hidden="false" customHeight="false" outlineLevel="0" collapsed="false">
      <c r="B34" s="2" t="s">
        <v>746</v>
      </c>
      <c r="F34" s="32" t="n">
        <f aca="false">SUMIFS(Channels!$W$5:$W$34,Channels!$B$5:$B$34,"I1a Talent rediscovery (past applicants in ATS)",Channels!$C$5:$C$34,"&lt;&gt;Supervisors")</f>
        <v>21.48</v>
      </c>
    </row>
    <row r="35" customFormat="false" ht="15" hidden="false" customHeight="false" outlineLevel="0" collapsed="false">
      <c r="B35" s="2" t="s">
        <v>747</v>
      </c>
      <c r="F35" s="32" t="n">
        <f aca="false">SUMIFS(Channels!$W$5:$W$34,Channels!$B$5:$B$34,"I1a Talent rediscovery (past applicants in ATS)",Channels!$C$5:$C$34,"Supervisors")</f>
        <v>3.84</v>
      </c>
    </row>
    <row r="36" customFormat="false" ht="15" hidden="false" customHeight="false" outlineLevel="0" collapsed="false">
      <c r="B36" s="2" t="s">
        <v>748</v>
      </c>
      <c r="F36" s="32" t="n">
        <f aca="false">SUMIFS(Channels!$U$5:$U$34,Channels!$B$5:$B$34,"I1a Talent rediscovery (past applicants in ATS)",Channels!$C$5:$C$34,"&lt;&gt;Supervisors")</f>
        <v>4.102947</v>
      </c>
    </row>
    <row r="37" customFormat="false" ht="15" hidden="false" customHeight="false" outlineLevel="0" collapsed="false">
      <c r="B37" s="2" t="s">
        <v>749</v>
      </c>
      <c r="F37" s="32" t="n">
        <f aca="false">SUMIFS(Channels!$U$5:$U$34,Channels!$B$5:$B$34,"I1a Talent rediscovery (past applicants in ATS)",Channels!$C$5:$C$34,"Supervisors")</f>
        <v>0.525504</v>
      </c>
    </row>
    <row r="38" customFormat="false" ht="15" hidden="false" customHeight="false" outlineLevel="0" collapsed="false">
      <c r="B38" s="2" t="s">
        <v>750</v>
      </c>
      <c r="F38" s="30" t="n">
        <f aca="false">IF(Funnel!B23&gt;0,MIN(1,Funnel!B22/Funnel!B23),1)</f>
        <v>1</v>
      </c>
    </row>
    <row r="42" customFormat="false" ht="15" hidden="false" customHeight="false" outlineLevel="0" collapsed="false">
      <c r="A42" s="28" t="s">
        <v>751</v>
      </c>
    </row>
    <row r="43" customFormat="false" ht="30" hidden="false" customHeight="true" outlineLevel="0" collapsed="false">
      <c r="A43" s="12"/>
      <c r="B43" s="12" t="s">
        <v>321</v>
      </c>
      <c r="C43" s="12" t="s">
        <v>752</v>
      </c>
      <c r="D43" s="12" t="s">
        <v>753</v>
      </c>
      <c r="E43" s="12" t="s">
        <v>754</v>
      </c>
      <c r="F43" s="12" t="s">
        <v>755</v>
      </c>
      <c r="G43" s="12" t="s">
        <v>756</v>
      </c>
      <c r="H43" s="12" t="s">
        <v>757</v>
      </c>
      <c r="I43" s="12" t="s">
        <v>758</v>
      </c>
      <c r="J43" s="12" t="s">
        <v>759</v>
      </c>
      <c r="K43" s="12" t="s">
        <v>760</v>
      </c>
      <c r="L43" s="12" t="s">
        <v>761</v>
      </c>
      <c r="M43" s="12" t="s">
        <v>762</v>
      </c>
      <c r="N43" s="12" t="s">
        <v>463</v>
      </c>
    </row>
    <row r="44" customFormat="false" ht="15" hidden="false" customHeight="false" outlineLevel="0" collapsed="false">
      <c r="B44" s="2" t="str">
        <f aca="false">Budget!B29</f>
        <v>Organic (Tesla careers, BA Jobbörse, Google for Jobs)</v>
      </c>
      <c r="C44" s="41" t="n">
        <f aca="false">(SUMIFS(Channels!$X$5:$X$34,Channels!$B$5:$B$34,$B44,Channels!$C$5:$C$34,"&lt;&gt;Supervisors",Channels!$E$5:$E$34,"&lt;&gt;Slot")-SUMIFS(Channels!$Z$5:$Z$34,Channels!$B$5:$B$34,$B44,Channels!$C$5:$C$34,"&lt;&gt;Supervisors"))*$D$4+(SUMIFS(Channels!$X$5:$X$34,Channels!$B$5:$B$34,$B44,Channels!$C$5:$C$34,"Supervisors",Channels!$E$5:$E$34,"&lt;&gt;Slot")-SUMIFS(Channels!$Z$5:$Z$34,Channels!$B$5:$B$34,$B44,Channels!$C$5:$C$34,"Supervisors"))*$E$4+SUMIFS(Channels!$Z$5:$Z$34,Channels!$B$5:$B$34,$B44)*$X$4+SUMIFS(Channels!$X$5:$X$34,Channels!$B$5:$B$34,$B44,Channels!$E$5:$E$34,"Slot")+SUMIFS(Channels!$Y$5:$Y$34,Channels!$B$5:$B$34,$B44)</f>
        <v>0</v>
      </c>
      <c r="D44" s="41" t="n">
        <f aca="false">(SUMIFS(Channels!$X$5:$X$34,Channels!$B$5:$B$34,$B44,Channels!$C$5:$C$34,"&lt;&gt;Supervisors",Channels!$E$5:$E$34,"&lt;&gt;Slot")-SUMIFS(Channels!$Z$5:$Z$34,Channels!$B$5:$B$34,$B44,Channels!$C$5:$C$34,"&lt;&gt;Supervisors"))*$D$5+(SUMIFS(Channels!$X$5:$X$34,Channels!$B$5:$B$34,$B44,Channels!$C$5:$C$34,"Supervisors",Channels!$E$5:$E$34,"&lt;&gt;Slot")-SUMIFS(Channels!$Z$5:$Z$34,Channels!$B$5:$B$34,$B44,Channels!$C$5:$C$34,"Supervisors"))*$E$5+SUMIFS(Channels!$Z$5:$Z$34,Channels!$B$5:$B$34,$B44)*$X$5</f>
        <v>0</v>
      </c>
      <c r="E44" s="41" t="n">
        <f aca="false">(SUMIFS(Channels!$X$5:$X$34,Channels!$B$5:$B$34,$B44,Channels!$C$5:$C$34,"&lt;&gt;Supervisors",Channels!$E$5:$E$34,"&lt;&gt;Slot")-SUMIFS(Channels!$Z$5:$Z$34,Channels!$B$5:$B$34,$B44,Channels!$C$5:$C$34,"&lt;&gt;Supervisors"))*$D$6+(SUMIFS(Channels!$X$5:$X$34,Channels!$B$5:$B$34,$B44,Channels!$C$5:$C$34,"Supervisors",Channels!$E$5:$E$34,"&lt;&gt;Slot")-SUMIFS(Channels!$Z$5:$Z$34,Channels!$B$5:$B$34,$B44,Channels!$C$5:$C$34,"Supervisors"))*$E$6+SUMIFS(Channels!$Z$5:$Z$34,Channels!$B$5:$B$34,$B44)*$X$6</f>
        <v>0</v>
      </c>
      <c r="F44" s="41" t="n">
        <f aca="false">(SUMIFS(Channels!$X$5:$X$34,Channels!$B$5:$B$34,$B44,Channels!$C$5:$C$34,"&lt;&gt;Supervisors",Channels!$E$5:$E$34,"&lt;&gt;Slot")-SUMIFS(Channels!$Z$5:$Z$34,Channels!$B$5:$B$34,$B44,Channels!$C$5:$C$34,"&lt;&gt;Supervisors"))*$D$7+(SUMIFS(Channels!$X$5:$X$34,Channels!$B$5:$B$34,$B44,Channels!$C$5:$C$34,"Supervisors",Channels!$E$5:$E$34,"&lt;&gt;Slot")-SUMIFS(Channels!$Z$5:$Z$34,Channels!$B$5:$B$34,$B44,Channels!$C$5:$C$34,"Supervisors"))*$E$7+SUMIFS(Channels!$Z$5:$Z$34,Channels!$B$5:$B$34,$B44)*$X$7</f>
        <v>0</v>
      </c>
      <c r="G44" s="41" t="n">
        <f aca="false">(SUMIFS(Channels!$X$5:$X$34,Channels!$B$5:$B$34,$B44,Channels!$C$5:$C$34,"&lt;&gt;Supervisors",Channels!$E$5:$E$34,"&lt;&gt;Slot")-SUMIFS(Channels!$Z$5:$Z$34,Channels!$B$5:$B$34,$B44,Channels!$C$5:$C$34,"&lt;&gt;Supervisors"))*$D$8+(SUMIFS(Channels!$X$5:$X$34,Channels!$B$5:$B$34,$B44,Channels!$C$5:$C$34,"Supervisors",Channels!$E$5:$E$34,"&lt;&gt;Slot")-SUMIFS(Channels!$Z$5:$Z$34,Channels!$B$5:$B$34,$B44,Channels!$C$5:$C$34,"Supervisors"))*$E$8+SUMIFS(Channels!$Z$5:$Z$34,Channels!$B$5:$B$34,$B44)*$X$8</f>
        <v>0</v>
      </c>
      <c r="H44" s="41" t="n">
        <f aca="false">(SUMIFS(Channels!$X$5:$X$34,Channels!$B$5:$B$34,$B44,Channels!$C$5:$C$34,"&lt;&gt;Supervisors",Channels!$E$5:$E$34,"&lt;&gt;Slot")-SUMIFS(Channels!$Z$5:$Z$34,Channels!$B$5:$B$34,$B44,Channels!$C$5:$C$34,"&lt;&gt;Supervisors"))*$D$9+(SUMIFS(Channels!$X$5:$X$34,Channels!$B$5:$B$34,$B44,Channels!$C$5:$C$34,"Supervisors",Channels!$E$5:$E$34,"&lt;&gt;Slot")-SUMIFS(Channels!$Z$5:$Z$34,Channels!$B$5:$B$34,$B44,Channels!$C$5:$C$34,"Supervisors"))*$E$9+SUMIFS(Channels!$Z$5:$Z$34,Channels!$B$5:$B$34,$B44)*$X$9</f>
        <v>0</v>
      </c>
      <c r="I44" s="41" t="n">
        <f aca="false">(SUMIFS(Channels!$X$5:$X$34,Channels!$B$5:$B$34,$B44,Channels!$C$5:$C$34,"&lt;&gt;Supervisors",Channels!$E$5:$E$34,"&lt;&gt;Slot")-SUMIFS(Channels!$Z$5:$Z$34,Channels!$B$5:$B$34,$B44,Channels!$C$5:$C$34,"&lt;&gt;Supervisors"))*$D$10+(SUMIFS(Channels!$X$5:$X$34,Channels!$B$5:$B$34,$B44,Channels!$C$5:$C$34,"Supervisors",Channels!$E$5:$E$34,"&lt;&gt;Slot")-SUMIFS(Channels!$Z$5:$Z$34,Channels!$B$5:$B$34,$B44,Channels!$C$5:$C$34,"Supervisors"))*$E$10+SUMIFS(Channels!$Z$5:$Z$34,Channels!$B$5:$B$34,$B44)*$X$10</f>
        <v>0</v>
      </c>
      <c r="J44" s="41" t="n">
        <f aca="false">(SUMIFS(Channels!$X$5:$X$34,Channels!$B$5:$B$34,$B44,Channels!$C$5:$C$34,"&lt;&gt;Supervisors",Channels!$E$5:$E$34,"&lt;&gt;Slot")-SUMIFS(Channels!$Z$5:$Z$34,Channels!$B$5:$B$34,$B44,Channels!$C$5:$C$34,"&lt;&gt;Supervisors"))*$D$11+(SUMIFS(Channels!$X$5:$X$34,Channels!$B$5:$B$34,$B44,Channels!$C$5:$C$34,"Supervisors",Channels!$E$5:$E$34,"&lt;&gt;Slot")-SUMIFS(Channels!$Z$5:$Z$34,Channels!$B$5:$B$34,$B44,Channels!$C$5:$C$34,"Supervisors"))*$E$11+SUMIFS(Channels!$Z$5:$Z$34,Channels!$B$5:$B$34,$B44)*$X$11</f>
        <v>0</v>
      </c>
      <c r="K44" s="41" t="n">
        <f aca="false">(SUMIFS(Channels!$X$5:$X$34,Channels!$B$5:$B$34,$B44,Channels!$C$5:$C$34,"&lt;&gt;Supervisors",Channels!$E$5:$E$34,"&lt;&gt;Slot")-SUMIFS(Channels!$Z$5:$Z$34,Channels!$B$5:$B$34,$B44,Channels!$C$5:$C$34,"&lt;&gt;Supervisors"))*$D$12+(SUMIFS(Channels!$X$5:$X$34,Channels!$B$5:$B$34,$B44,Channels!$C$5:$C$34,"Supervisors",Channels!$E$5:$E$34,"&lt;&gt;Slot")-SUMIFS(Channels!$Z$5:$Z$34,Channels!$B$5:$B$34,$B44,Channels!$C$5:$C$34,"Supervisors"))*$E$12+SUMIFS(Channels!$Z$5:$Z$34,Channels!$B$5:$B$34,$B44)*$X$12</f>
        <v>0</v>
      </c>
      <c r="L44" s="41" t="n">
        <f aca="false">(SUMIFS(Channels!$X$5:$X$34,Channels!$B$5:$B$34,$B44,Channels!$C$5:$C$34,"&lt;&gt;Supervisors",Channels!$E$5:$E$34,"&lt;&gt;Slot")-SUMIFS(Channels!$Z$5:$Z$34,Channels!$B$5:$B$34,$B44,Channels!$C$5:$C$34,"&lt;&gt;Supervisors"))*$D$13+(SUMIFS(Channels!$X$5:$X$34,Channels!$B$5:$B$34,$B44,Channels!$C$5:$C$34,"Supervisors",Channels!$E$5:$E$34,"&lt;&gt;Slot")-SUMIFS(Channels!$Z$5:$Z$34,Channels!$B$5:$B$34,$B44,Channels!$C$5:$C$34,"Supervisors"))*$E$13+SUMIFS(Channels!$Z$5:$Z$34,Channels!$B$5:$B$34,$B44)*$X$13</f>
        <v>0</v>
      </c>
      <c r="M44" s="41" t="n">
        <f aca="false">(SUMIFS(Channels!$X$5:$X$34,Channels!$B$5:$B$34,$B44,Channels!$C$5:$C$34,"&lt;&gt;Supervisors",Channels!$E$5:$E$34,"&lt;&gt;Slot")-SUMIFS(Channels!$Z$5:$Z$34,Channels!$B$5:$B$34,$B44,Channels!$C$5:$C$34,"&lt;&gt;Supervisors"))*$D$14+(SUMIFS(Channels!$X$5:$X$34,Channels!$B$5:$B$34,$B44,Channels!$C$5:$C$34,"Supervisors",Channels!$E$5:$E$34,"&lt;&gt;Slot")-SUMIFS(Channels!$Z$5:$Z$34,Channels!$B$5:$B$34,$B44,Channels!$C$5:$C$34,"Supervisors"))*$E$14+SUMIFS(Channels!$Z$5:$Z$34,Channels!$B$5:$B$34,$B44)*$X$14</f>
        <v>0</v>
      </c>
      <c r="N44" s="42" t="n">
        <f aca="false">SUM(C44:M44)</f>
        <v>0</v>
      </c>
    </row>
    <row r="45" customFormat="false" ht="15" hidden="false" customHeight="false" outlineLevel="0" collapsed="false">
      <c r="B45" s="2" t="str">
        <f aca="false">Budget!B30</f>
        <v>Programmatic job ads (Joveo: Indeed, Jooble, Talent.com, Kimeta, meinestadt…)</v>
      </c>
      <c r="C45" s="41" t="n">
        <f aca="false">(SUMIFS(Channels!$X$5:$X$34,Channels!$B$5:$B$34,$B45,Channels!$C$5:$C$34,"&lt;&gt;Supervisors",Channels!$E$5:$E$34,"&lt;&gt;Slot")-SUMIFS(Channels!$Z$5:$Z$34,Channels!$B$5:$B$34,$B45,Channels!$C$5:$C$34,"&lt;&gt;Supervisors"))*$D$4+(SUMIFS(Channels!$X$5:$X$34,Channels!$B$5:$B$34,$B45,Channels!$C$5:$C$34,"Supervisors",Channels!$E$5:$E$34,"&lt;&gt;Slot")-SUMIFS(Channels!$Z$5:$Z$34,Channels!$B$5:$B$34,$B45,Channels!$C$5:$C$34,"Supervisors"))*$E$4+SUMIFS(Channels!$Z$5:$Z$34,Channels!$B$5:$B$34,$B45)*$X$4+SUMIFS(Channels!$X$5:$X$34,Channels!$B$5:$B$34,$B45,Channels!$E$5:$E$34,"Slot")+SUMIFS(Channels!$Y$5:$Y$34,Channels!$B$5:$B$34,$B45)</f>
        <v>11525.1727439475</v>
      </c>
      <c r="D45" s="41" t="n">
        <f aca="false">(SUMIFS(Channels!$X$5:$X$34,Channels!$B$5:$B$34,$B45,Channels!$C$5:$C$34,"&lt;&gt;Supervisors",Channels!$E$5:$E$34,"&lt;&gt;Slot")-SUMIFS(Channels!$Z$5:$Z$34,Channels!$B$5:$B$34,$B45,Channels!$C$5:$C$34,"&lt;&gt;Supervisors"))*$D$5+(SUMIFS(Channels!$X$5:$X$34,Channels!$B$5:$B$34,$B45,Channels!$C$5:$C$34,"Supervisors",Channels!$E$5:$E$34,"&lt;&gt;Slot")-SUMIFS(Channels!$Z$5:$Z$34,Channels!$B$5:$B$34,$B45,Channels!$C$5:$C$34,"Supervisors"))*$E$5+SUMIFS(Channels!$Z$5:$Z$34,Channels!$B$5:$B$34,$B45)*$X$5</f>
        <v>6080.37224511747</v>
      </c>
      <c r="E45" s="41" t="n">
        <f aca="false">(SUMIFS(Channels!$X$5:$X$34,Channels!$B$5:$B$34,$B45,Channels!$C$5:$C$34,"&lt;&gt;Supervisors",Channels!$E$5:$E$34,"&lt;&gt;Slot")-SUMIFS(Channels!$Z$5:$Z$34,Channels!$B$5:$B$34,$B45,Channels!$C$5:$C$34,"&lt;&gt;Supervisors"))*$D$6+(SUMIFS(Channels!$X$5:$X$34,Channels!$B$5:$B$34,$B45,Channels!$C$5:$C$34,"Supervisors",Channels!$E$5:$E$34,"&lt;&gt;Slot")-SUMIFS(Channels!$Z$5:$Z$34,Channels!$B$5:$B$34,$B45,Channels!$C$5:$C$34,"Supervisors"))*$E$6+SUMIFS(Channels!$Z$5:$Z$34,Channels!$B$5:$B$34,$B45)*$X$6</f>
        <v>5260.61016384666</v>
      </c>
      <c r="F45" s="41" t="n">
        <f aca="false">(SUMIFS(Channels!$X$5:$X$34,Channels!$B$5:$B$34,$B45,Channels!$C$5:$C$34,"&lt;&gt;Supervisors",Channels!$E$5:$E$34,"&lt;&gt;Slot")-SUMIFS(Channels!$Z$5:$Z$34,Channels!$B$5:$B$34,$B45,Channels!$C$5:$C$34,"&lt;&gt;Supervisors"))*$D$7+(SUMIFS(Channels!$X$5:$X$34,Channels!$B$5:$B$34,$B45,Channels!$C$5:$C$34,"Supervisors",Channels!$E$5:$E$34,"&lt;&gt;Slot")-SUMIFS(Channels!$Z$5:$Z$34,Channels!$B$5:$B$34,$B45,Channels!$C$5:$C$34,"Supervisors"))*$E$7+SUMIFS(Channels!$Z$5:$Z$34,Channels!$B$5:$B$34,$B45)*$X$7</f>
        <v>5554.68153946542</v>
      </c>
      <c r="G45" s="41" t="n">
        <f aca="false">(SUMIFS(Channels!$X$5:$X$34,Channels!$B$5:$B$34,$B45,Channels!$C$5:$C$34,"&lt;&gt;Supervisors",Channels!$E$5:$E$34,"&lt;&gt;Slot")-SUMIFS(Channels!$Z$5:$Z$34,Channels!$B$5:$B$34,$B45,Channels!$C$5:$C$34,"&lt;&gt;Supervisors"))*$D$8+(SUMIFS(Channels!$X$5:$X$34,Channels!$B$5:$B$34,$B45,Channels!$C$5:$C$34,"Supervisors",Channels!$E$5:$E$34,"&lt;&gt;Slot")-SUMIFS(Channels!$Z$5:$Z$34,Channels!$B$5:$B$34,$B45,Channels!$C$5:$C$34,"Supervisors"))*$E$8+SUMIFS(Channels!$Z$5:$Z$34,Channels!$B$5:$B$34,$B45)*$X$8</f>
        <v>6371.54647173974</v>
      </c>
      <c r="H45" s="41" t="n">
        <f aca="false">(SUMIFS(Channels!$X$5:$X$34,Channels!$B$5:$B$34,$B45,Channels!$C$5:$C$34,"&lt;&gt;Supervisors",Channels!$E$5:$E$34,"&lt;&gt;Slot")-SUMIFS(Channels!$Z$5:$Z$34,Channels!$B$5:$B$34,$B45,Channels!$C$5:$C$34,"&lt;&gt;Supervisors"))*$D$9+(SUMIFS(Channels!$X$5:$X$34,Channels!$B$5:$B$34,$B45,Channels!$C$5:$C$34,"Supervisors",Channels!$E$5:$E$34,"&lt;&gt;Slot")-SUMIFS(Channels!$Z$5:$Z$34,Channels!$B$5:$B$34,$B45,Channels!$C$5:$C$34,"Supervisors"))*$E$9+SUMIFS(Channels!$Z$5:$Z$34,Channels!$B$5:$B$34,$B45)*$X$9</f>
        <v>882.214126856272</v>
      </c>
      <c r="I45" s="41" t="n">
        <f aca="false">(SUMIFS(Channels!$X$5:$X$34,Channels!$B$5:$B$34,$B45,Channels!$C$5:$C$34,"&lt;&gt;Supervisors",Channels!$E$5:$E$34,"&lt;&gt;Slot")-SUMIFS(Channels!$Z$5:$Z$34,Channels!$B$5:$B$34,$B45,Channels!$C$5:$C$34,"&lt;&gt;Supervisors"))*$D$10+(SUMIFS(Channels!$X$5:$X$34,Channels!$B$5:$B$34,$B45,Channels!$C$5:$C$34,"Supervisors",Channels!$E$5:$E$34,"&lt;&gt;Slot")-SUMIFS(Channels!$Z$5:$Z$34,Channels!$B$5:$B$34,$B45,Channels!$C$5:$C$34,"Supervisors"))*$E$10+SUMIFS(Channels!$Z$5:$Z$34,Channels!$B$5:$B$34,$B45)*$X$10</f>
        <v>0</v>
      </c>
      <c r="J45" s="41" t="n">
        <f aca="false">(SUMIFS(Channels!$X$5:$X$34,Channels!$B$5:$B$34,$B45,Channels!$C$5:$C$34,"&lt;&gt;Supervisors",Channels!$E$5:$E$34,"&lt;&gt;Slot")-SUMIFS(Channels!$Z$5:$Z$34,Channels!$B$5:$B$34,$B45,Channels!$C$5:$C$34,"&lt;&gt;Supervisors"))*$D$11+(SUMIFS(Channels!$X$5:$X$34,Channels!$B$5:$B$34,$B45,Channels!$C$5:$C$34,"Supervisors",Channels!$E$5:$E$34,"&lt;&gt;Slot")-SUMIFS(Channels!$Z$5:$Z$34,Channels!$B$5:$B$34,$B45,Channels!$C$5:$C$34,"Supervisors"))*$E$11+SUMIFS(Channels!$Z$5:$Z$34,Channels!$B$5:$B$34,$B45)*$X$11</f>
        <v>0</v>
      </c>
      <c r="K45" s="41" t="n">
        <f aca="false">(SUMIFS(Channels!$X$5:$X$34,Channels!$B$5:$B$34,$B45,Channels!$C$5:$C$34,"&lt;&gt;Supervisors",Channels!$E$5:$E$34,"&lt;&gt;Slot")-SUMIFS(Channels!$Z$5:$Z$34,Channels!$B$5:$B$34,$B45,Channels!$C$5:$C$34,"&lt;&gt;Supervisors"))*$D$12+(SUMIFS(Channels!$X$5:$X$34,Channels!$B$5:$B$34,$B45,Channels!$C$5:$C$34,"Supervisors",Channels!$E$5:$E$34,"&lt;&gt;Slot")-SUMIFS(Channels!$Z$5:$Z$34,Channels!$B$5:$B$34,$B45,Channels!$C$5:$C$34,"Supervisors"))*$E$12+SUMIFS(Channels!$Z$5:$Z$34,Channels!$B$5:$B$34,$B45)*$X$12</f>
        <v>0</v>
      </c>
      <c r="L45" s="41" t="n">
        <f aca="false">(SUMIFS(Channels!$X$5:$X$34,Channels!$B$5:$B$34,$B45,Channels!$C$5:$C$34,"&lt;&gt;Supervisors",Channels!$E$5:$E$34,"&lt;&gt;Slot")-SUMIFS(Channels!$Z$5:$Z$34,Channels!$B$5:$B$34,$B45,Channels!$C$5:$C$34,"&lt;&gt;Supervisors"))*$D$13+(SUMIFS(Channels!$X$5:$X$34,Channels!$B$5:$B$34,$B45,Channels!$C$5:$C$34,"Supervisors",Channels!$E$5:$E$34,"&lt;&gt;Slot")-SUMIFS(Channels!$Z$5:$Z$34,Channels!$B$5:$B$34,$B45,Channels!$C$5:$C$34,"Supervisors"))*$E$13+SUMIFS(Channels!$Z$5:$Z$34,Channels!$B$5:$B$34,$B45)*$X$13</f>
        <v>0</v>
      </c>
      <c r="M45" s="41" t="n">
        <f aca="false">(SUMIFS(Channels!$X$5:$X$34,Channels!$B$5:$B$34,$B45,Channels!$C$5:$C$34,"&lt;&gt;Supervisors",Channels!$E$5:$E$34,"&lt;&gt;Slot")-SUMIFS(Channels!$Z$5:$Z$34,Channels!$B$5:$B$34,$B45,Channels!$C$5:$C$34,"&lt;&gt;Supervisors"))*$D$14+(SUMIFS(Channels!$X$5:$X$34,Channels!$B$5:$B$34,$B45,Channels!$C$5:$C$34,"Supervisors",Channels!$E$5:$E$34,"&lt;&gt;Slot")-SUMIFS(Channels!$Z$5:$Z$34,Channels!$B$5:$B$34,$B45,Channels!$C$5:$C$34,"Supervisors"))*$E$14+SUMIFS(Channels!$Z$5:$Z$34,Channels!$B$5:$B$34,$B45)*$X$14</f>
        <v>0</v>
      </c>
      <c r="N45" s="42" t="n">
        <f aca="false">SUM(C45:M45)</f>
        <v>35674.597290973</v>
      </c>
    </row>
    <row r="46" customFormat="false" ht="15" hidden="false" customHeight="false" outlineLevel="0" collapsed="false">
      <c r="B46" s="2" t="str">
        <f aca="false">Budget!B31</f>
        <v>StepStone (30-day single ad)</v>
      </c>
      <c r="C46" s="41" t="n">
        <f aca="false">(SUMIFS(Channels!$X$5:$X$34,Channels!$B$5:$B$34,$B46,Channels!$C$5:$C$34,"&lt;&gt;Supervisors",Channels!$E$5:$E$34,"&lt;&gt;Slot")-SUMIFS(Channels!$Z$5:$Z$34,Channels!$B$5:$B$34,$B46,Channels!$C$5:$C$34,"&lt;&gt;Supervisors"))*$D$4+(SUMIFS(Channels!$X$5:$X$34,Channels!$B$5:$B$34,$B46,Channels!$C$5:$C$34,"Supervisors",Channels!$E$5:$E$34,"&lt;&gt;Slot")-SUMIFS(Channels!$Z$5:$Z$34,Channels!$B$5:$B$34,$B46,Channels!$C$5:$C$34,"Supervisors"))*$E$4+SUMIFS(Channels!$Z$5:$Z$34,Channels!$B$5:$B$34,$B46)*$X$4+SUMIFS(Channels!$X$5:$X$34,Channels!$B$5:$B$34,$B46,Channels!$E$5:$E$34,"Slot")+SUMIFS(Channels!$Y$5:$Y$34,Channels!$B$5:$B$34,$B46)</f>
        <v>5796</v>
      </c>
      <c r="D46" s="41" t="n">
        <f aca="false">(SUMIFS(Channels!$X$5:$X$34,Channels!$B$5:$B$34,$B46,Channels!$C$5:$C$34,"&lt;&gt;Supervisors",Channels!$E$5:$E$34,"&lt;&gt;Slot")-SUMIFS(Channels!$Z$5:$Z$34,Channels!$B$5:$B$34,$B46,Channels!$C$5:$C$34,"&lt;&gt;Supervisors"))*$D$5+(SUMIFS(Channels!$X$5:$X$34,Channels!$B$5:$B$34,$B46,Channels!$C$5:$C$34,"Supervisors",Channels!$E$5:$E$34,"&lt;&gt;Slot")-SUMIFS(Channels!$Z$5:$Z$34,Channels!$B$5:$B$34,$B46,Channels!$C$5:$C$34,"Supervisors"))*$E$5+SUMIFS(Channels!$Z$5:$Z$34,Channels!$B$5:$B$34,$B46)*$X$5</f>
        <v>0</v>
      </c>
      <c r="E46" s="41" t="n">
        <f aca="false">(SUMIFS(Channels!$X$5:$X$34,Channels!$B$5:$B$34,$B46,Channels!$C$5:$C$34,"&lt;&gt;Supervisors",Channels!$E$5:$E$34,"&lt;&gt;Slot")-SUMIFS(Channels!$Z$5:$Z$34,Channels!$B$5:$B$34,$B46,Channels!$C$5:$C$34,"&lt;&gt;Supervisors"))*$D$6+(SUMIFS(Channels!$X$5:$X$34,Channels!$B$5:$B$34,$B46,Channels!$C$5:$C$34,"Supervisors",Channels!$E$5:$E$34,"&lt;&gt;Slot")-SUMIFS(Channels!$Z$5:$Z$34,Channels!$B$5:$B$34,$B46,Channels!$C$5:$C$34,"Supervisors"))*$E$6+SUMIFS(Channels!$Z$5:$Z$34,Channels!$B$5:$B$34,$B46)*$X$6</f>
        <v>0</v>
      </c>
      <c r="F46" s="41" t="n">
        <f aca="false">(SUMIFS(Channels!$X$5:$X$34,Channels!$B$5:$B$34,$B46,Channels!$C$5:$C$34,"&lt;&gt;Supervisors",Channels!$E$5:$E$34,"&lt;&gt;Slot")-SUMIFS(Channels!$Z$5:$Z$34,Channels!$B$5:$B$34,$B46,Channels!$C$5:$C$34,"&lt;&gt;Supervisors"))*$D$7+(SUMIFS(Channels!$X$5:$X$34,Channels!$B$5:$B$34,$B46,Channels!$C$5:$C$34,"Supervisors",Channels!$E$5:$E$34,"&lt;&gt;Slot")-SUMIFS(Channels!$Z$5:$Z$34,Channels!$B$5:$B$34,$B46,Channels!$C$5:$C$34,"Supervisors"))*$E$7+SUMIFS(Channels!$Z$5:$Z$34,Channels!$B$5:$B$34,$B46)*$X$7</f>
        <v>0</v>
      </c>
      <c r="G46" s="41" t="n">
        <f aca="false">(SUMIFS(Channels!$X$5:$X$34,Channels!$B$5:$B$34,$B46,Channels!$C$5:$C$34,"&lt;&gt;Supervisors",Channels!$E$5:$E$34,"&lt;&gt;Slot")-SUMIFS(Channels!$Z$5:$Z$34,Channels!$B$5:$B$34,$B46,Channels!$C$5:$C$34,"&lt;&gt;Supervisors"))*$D$8+(SUMIFS(Channels!$X$5:$X$34,Channels!$B$5:$B$34,$B46,Channels!$C$5:$C$34,"Supervisors",Channels!$E$5:$E$34,"&lt;&gt;Slot")-SUMIFS(Channels!$Z$5:$Z$34,Channels!$B$5:$B$34,$B46,Channels!$C$5:$C$34,"Supervisors"))*$E$8+SUMIFS(Channels!$Z$5:$Z$34,Channels!$B$5:$B$34,$B46)*$X$8</f>
        <v>0</v>
      </c>
      <c r="H46" s="41" t="n">
        <f aca="false">(SUMIFS(Channels!$X$5:$X$34,Channels!$B$5:$B$34,$B46,Channels!$C$5:$C$34,"&lt;&gt;Supervisors",Channels!$E$5:$E$34,"&lt;&gt;Slot")-SUMIFS(Channels!$Z$5:$Z$34,Channels!$B$5:$B$34,$B46,Channels!$C$5:$C$34,"&lt;&gt;Supervisors"))*$D$9+(SUMIFS(Channels!$X$5:$X$34,Channels!$B$5:$B$34,$B46,Channels!$C$5:$C$34,"Supervisors",Channels!$E$5:$E$34,"&lt;&gt;Slot")-SUMIFS(Channels!$Z$5:$Z$34,Channels!$B$5:$B$34,$B46,Channels!$C$5:$C$34,"Supervisors"))*$E$9+SUMIFS(Channels!$Z$5:$Z$34,Channels!$B$5:$B$34,$B46)*$X$9</f>
        <v>0</v>
      </c>
      <c r="I46" s="41" t="n">
        <f aca="false">(SUMIFS(Channels!$X$5:$X$34,Channels!$B$5:$B$34,$B46,Channels!$C$5:$C$34,"&lt;&gt;Supervisors",Channels!$E$5:$E$34,"&lt;&gt;Slot")-SUMIFS(Channels!$Z$5:$Z$34,Channels!$B$5:$B$34,$B46,Channels!$C$5:$C$34,"&lt;&gt;Supervisors"))*$D$10+(SUMIFS(Channels!$X$5:$X$34,Channels!$B$5:$B$34,$B46,Channels!$C$5:$C$34,"Supervisors",Channels!$E$5:$E$34,"&lt;&gt;Slot")-SUMIFS(Channels!$Z$5:$Z$34,Channels!$B$5:$B$34,$B46,Channels!$C$5:$C$34,"Supervisors"))*$E$10+SUMIFS(Channels!$Z$5:$Z$34,Channels!$B$5:$B$34,$B46)*$X$10</f>
        <v>0</v>
      </c>
      <c r="J46" s="41" t="n">
        <f aca="false">(SUMIFS(Channels!$X$5:$X$34,Channels!$B$5:$B$34,$B46,Channels!$C$5:$C$34,"&lt;&gt;Supervisors",Channels!$E$5:$E$34,"&lt;&gt;Slot")-SUMIFS(Channels!$Z$5:$Z$34,Channels!$B$5:$B$34,$B46,Channels!$C$5:$C$34,"&lt;&gt;Supervisors"))*$D$11+(SUMIFS(Channels!$X$5:$X$34,Channels!$B$5:$B$34,$B46,Channels!$C$5:$C$34,"Supervisors",Channels!$E$5:$E$34,"&lt;&gt;Slot")-SUMIFS(Channels!$Z$5:$Z$34,Channels!$B$5:$B$34,$B46,Channels!$C$5:$C$34,"Supervisors"))*$E$11+SUMIFS(Channels!$Z$5:$Z$34,Channels!$B$5:$B$34,$B46)*$X$11</f>
        <v>0</v>
      </c>
      <c r="K46" s="41" t="n">
        <f aca="false">(SUMIFS(Channels!$X$5:$X$34,Channels!$B$5:$B$34,$B46,Channels!$C$5:$C$34,"&lt;&gt;Supervisors",Channels!$E$5:$E$34,"&lt;&gt;Slot")-SUMIFS(Channels!$Z$5:$Z$34,Channels!$B$5:$B$34,$B46,Channels!$C$5:$C$34,"&lt;&gt;Supervisors"))*$D$12+(SUMIFS(Channels!$X$5:$X$34,Channels!$B$5:$B$34,$B46,Channels!$C$5:$C$34,"Supervisors",Channels!$E$5:$E$34,"&lt;&gt;Slot")-SUMIFS(Channels!$Z$5:$Z$34,Channels!$B$5:$B$34,$B46,Channels!$C$5:$C$34,"Supervisors"))*$E$12+SUMIFS(Channels!$Z$5:$Z$34,Channels!$B$5:$B$34,$B46)*$X$12</f>
        <v>0</v>
      </c>
      <c r="L46" s="41" t="n">
        <f aca="false">(SUMIFS(Channels!$X$5:$X$34,Channels!$B$5:$B$34,$B46,Channels!$C$5:$C$34,"&lt;&gt;Supervisors",Channels!$E$5:$E$34,"&lt;&gt;Slot")-SUMIFS(Channels!$Z$5:$Z$34,Channels!$B$5:$B$34,$B46,Channels!$C$5:$C$34,"&lt;&gt;Supervisors"))*$D$13+(SUMIFS(Channels!$X$5:$X$34,Channels!$B$5:$B$34,$B46,Channels!$C$5:$C$34,"Supervisors",Channels!$E$5:$E$34,"&lt;&gt;Slot")-SUMIFS(Channels!$Z$5:$Z$34,Channels!$B$5:$B$34,$B46,Channels!$C$5:$C$34,"Supervisors"))*$E$13+SUMIFS(Channels!$Z$5:$Z$34,Channels!$B$5:$B$34,$B46)*$X$13</f>
        <v>0</v>
      </c>
      <c r="M46" s="41" t="n">
        <f aca="false">(SUMIFS(Channels!$X$5:$X$34,Channels!$B$5:$B$34,$B46,Channels!$C$5:$C$34,"&lt;&gt;Supervisors",Channels!$E$5:$E$34,"&lt;&gt;Slot")-SUMIFS(Channels!$Z$5:$Z$34,Channels!$B$5:$B$34,$B46,Channels!$C$5:$C$34,"&lt;&gt;Supervisors"))*$D$14+(SUMIFS(Channels!$X$5:$X$34,Channels!$B$5:$B$34,$B46,Channels!$C$5:$C$34,"Supervisors",Channels!$E$5:$E$34,"&lt;&gt;Slot")-SUMIFS(Channels!$Z$5:$Z$34,Channels!$B$5:$B$34,$B46,Channels!$C$5:$C$34,"Supervisors"))*$E$14+SUMIFS(Channels!$Z$5:$Z$34,Channels!$B$5:$B$34,$B46)*$X$14</f>
        <v>0</v>
      </c>
      <c r="N46" s="42" t="n">
        <f aca="false">SUM(C46:M46)</f>
        <v>5796</v>
      </c>
    </row>
    <row r="47" customFormat="false" ht="15" hidden="false" customHeight="false" outlineLevel="0" collapsed="false">
      <c r="B47" s="2" t="str">
        <f aca="false">Budget!B32</f>
        <v>LinkedIn (promoted jobs + InMail)</v>
      </c>
      <c r="C47" s="41" t="n">
        <f aca="false">(SUMIFS(Channels!$X$5:$X$34,Channels!$B$5:$B$34,$B47,Channels!$C$5:$C$34,"&lt;&gt;Supervisors",Channels!$E$5:$E$34,"&lt;&gt;Slot")-SUMIFS(Channels!$Z$5:$Z$34,Channels!$B$5:$B$34,$B47,Channels!$C$5:$C$34,"&lt;&gt;Supervisors"))*$D$4+(SUMIFS(Channels!$X$5:$X$34,Channels!$B$5:$B$34,$B47,Channels!$C$5:$C$34,"Supervisors",Channels!$E$5:$E$34,"&lt;&gt;Slot")-SUMIFS(Channels!$Z$5:$Z$34,Channels!$B$5:$B$34,$B47,Channels!$C$5:$C$34,"Supervisors"))*$E$4+SUMIFS(Channels!$Z$5:$Z$34,Channels!$B$5:$B$34,$B47)*$X$4+SUMIFS(Channels!$X$5:$X$34,Channels!$B$5:$B$34,$B47,Channels!$E$5:$E$34,"Slot")+SUMIFS(Channels!$Y$5:$Y$34,Channels!$B$5:$B$34,$B47)</f>
        <v>9660.58481622726</v>
      </c>
      <c r="D47" s="41" t="n">
        <f aca="false">(SUMIFS(Channels!$X$5:$X$34,Channels!$B$5:$B$34,$B47,Channels!$C$5:$C$34,"&lt;&gt;Supervisors",Channels!$E$5:$E$34,"&lt;&gt;Slot")-SUMIFS(Channels!$Z$5:$Z$34,Channels!$B$5:$B$34,$B47,Channels!$C$5:$C$34,"&lt;&gt;Supervisors"))*$D$5+(SUMIFS(Channels!$X$5:$X$34,Channels!$B$5:$B$34,$B47,Channels!$C$5:$C$34,"Supervisors",Channels!$E$5:$E$34,"&lt;&gt;Slot")-SUMIFS(Channels!$Z$5:$Z$34,Channels!$B$5:$B$34,$B47,Channels!$C$5:$C$34,"Supervisors"))*$E$5+SUMIFS(Channels!$Z$5:$Z$34,Channels!$B$5:$B$34,$B47)*$X$5</f>
        <v>4656.12851558788</v>
      </c>
      <c r="E47" s="41" t="n">
        <f aca="false">(SUMIFS(Channels!$X$5:$X$34,Channels!$B$5:$B$34,$B47,Channels!$C$5:$C$34,"&lt;&gt;Supervisors",Channels!$E$5:$E$34,"&lt;&gt;Slot")-SUMIFS(Channels!$Z$5:$Z$34,Channels!$B$5:$B$34,$B47,Channels!$C$5:$C$34,"&lt;&gt;Supervisors"))*$D$6+(SUMIFS(Channels!$X$5:$X$34,Channels!$B$5:$B$34,$B47,Channels!$C$5:$C$34,"Supervisors",Channels!$E$5:$E$34,"&lt;&gt;Slot")-SUMIFS(Channels!$Z$5:$Z$34,Channels!$B$5:$B$34,$B47,Channels!$C$5:$C$34,"Supervisors"))*$E$6+SUMIFS(Channels!$Z$5:$Z$34,Channels!$B$5:$B$34,$B47)*$X$6</f>
        <v>4616.31061839427</v>
      </c>
      <c r="F47" s="41" t="n">
        <f aca="false">(SUMIFS(Channels!$X$5:$X$34,Channels!$B$5:$B$34,$B47,Channels!$C$5:$C$34,"&lt;&gt;Supervisors",Channels!$E$5:$E$34,"&lt;&gt;Slot")-SUMIFS(Channels!$Z$5:$Z$34,Channels!$B$5:$B$34,$B47,Channels!$C$5:$C$34,"&lt;&gt;Supervisors"))*$D$7+(SUMIFS(Channels!$X$5:$X$34,Channels!$B$5:$B$34,$B47,Channels!$C$5:$C$34,"Supervisors",Channels!$E$5:$E$34,"&lt;&gt;Slot")-SUMIFS(Channels!$Z$5:$Z$34,Channels!$B$5:$B$34,$B47,Channels!$C$5:$C$34,"Supervisors"))*$E$7+SUMIFS(Channels!$Z$5:$Z$34,Channels!$B$5:$B$34,$B47)*$X$7</f>
        <v>4874.36524923618</v>
      </c>
      <c r="G47" s="41" t="n">
        <f aca="false">(SUMIFS(Channels!$X$5:$X$34,Channels!$B$5:$B$34,$B47,Channels!$C$5:$C$34,"&lt;&gt;Supervisors",Channels!$E$5:$E$34,"&lt;&gt;Slot")-SUMIFS(Channels!$Z$5:$Z$34,Channels!$B$5:$B$34,$B47,Channels!$C$5:$C$34,"&lt;&gt;Supervisors"))*$D$8+(SUMIFS(Channels!$X$5:$X$34,Channels!$B$5:$B$34,$B47,Channels!$C$5:$C$34,"Supervisors",Channels!$E$5:$E$34,"&lt;&gt;Slot")-SUMIFS(Channels!$Z$5:$Z$34,Channels!$B$5:$B$34,$B47,Channels!$C$5:$C$34,"Supervisors"))*$E$8+SUMIFS(Channels!$Z$5:$Z$34,Channels!$B$5:$B$34,$B47)*$X$8</f>
        <v>3065.20576396032</v>
      </c>
      <c r="H47" s="41" t="n">
        <f aca="false">(SUMIFS(Channels!$X$5:$X$34,Channels!$B$5:$B$34,$B47,Channels!$C$5:$C$34,"&lt;&gt;Supervisors",Channels!$E$5:$E$34,"&lt;&gt;Slot")-SUMIFS(Channels!$Z$5:$Z$34,Channels!$B$5:$B$34,$B47,Channels!$C$5:$C$34,"&lt;&gt;Supervisors"))*$D$9+(SUMIFS(Channels!$X$5:$X$34,Channels!$B$5:$B$34,$B47,Channels!$C$5:$C$34,"Supervisors",Channels!$E$5:$E$34,"&lt;&gt;Slot")-SUMIFS(Channels!$Z$5:$Z$34,Channels!$B$5:$B$34,$B47,Channels!$C$5:$C$34,"Supervisors"))*$E$9+SUMIFS(Channels!$Z$5:$Z$34,Channels!$B$5:$B$34,$B47)*$X$9</f>
        <v>366.121307988017</v>
      </c>
      <c r="I47" s="41" t="n">
        <f aca="false">(SUMIFS(Channels!$X$5:$X$34,Channels!$B$5:$B$34,$B47,Channels!$C$5:$C$34,"&lt;&gt;Supervisors",Channels!$E$5:$E$34,"&lt;&gt;Slot")-SUMIFS(Channels!$Z$5:$Z$34,Channels!$B$5:$B$34,$B47,Channels!$C$5:$C$34,"&lt;&gt;Supervisors"))*$D$10+(SUMIFS(Channels!$X$5:$X$34,Channels!$B$5:$B$34,$B47,Channels!$C$5:$C$34,"Supervisors",Channels!$E$5:$E$34,"&lt;&gt;Slot")-SUMIFS(Channels!$Z$5:$Z$34,Channels!$B$5:$B$34,$B47,Channels!$C$5:$C$34,"Supervisors"))*$E$10+SUMIFS(Channels!$Z$5:$Z$34,Channels!$B$5:$B$34,$B47)*$X$10</f>
        <v>0</v>
      </c>
      <c r="J47" s="41" t="n">
        <f aca="false">(SUMIFS(Channels!$X$5:$X$34,Channels!$B$5:$B$34,$B47,Channels!$C$5:$C$34,"&lt;&gt;Supervisors",Channels!$E$5:$E$34,"&lt;&gt;Slot")-SUMIFS(Channels!$Z$5:$Z$34,Channels!$B$5:$B$34,$B47,Channels!$C$5:$C$34,"&lt;&gt;Supervisors"))*$D$11+(SUMIFS(Channels!$X$5:$X$34,Channels!$B$5:$B$34,$B47,Channels!$C$5:$C$34,"Supervisors",Channels!$E$5:$E$34,"&lt;&gt;Slot")-SUMIFS(Channels!$Z$5:$Z$34,Channels!$B$5:$B$34,$B47,Channels!$C$5:$C$34,"Supervisors"))*$E$11+SUMIFS(Channels!$Z$5:$Z$34,Channels!$B$5:$B$34,$B47)*$X$11</f>
        <v>0</v>
      </c>
      <c r="K47" s="41" t="n">
        <f aca="false">(SUMIFS(Channels!$X$5:$X$34,Channels!$B$5:$B$34,$B47,Channels!$C$5:$C$34,"&lt;&gt;Supervisors",Channels!$E$5:$E$34,"&lt;&gt;Slot")-SUMIFS(Channels!$Z$5:$Z$34,Channels!$B$5:$B$34,$B47,Channels!$C$5:$C$34,"&lt;&gt;Supervisors"))*$D$12+(SUMIFS(Channels!$X$5:$X$34,Channels!$B$5:$B$34,$B47,Channels!$C$5:$C$34,"Supervisors",Channels!$E$5:$E$34,"&lt;&gt;Slot")-SUMIFS(Channels!$Z$5:$Z$34,Channels!$B$5:$B$34,$B47,Channels!$C$5:$C$34,"Supervisors"))*$E$12+SUMIFS(Channels!$Z$5:$Z$34,Channels!$B$5:$B$34,$B47)*$X$12</f>
        <v>0</v>
      </c>
      <c r="L47" s="41" t="n">
        <f aca="false">(SUMIFS(Channels!$X$5:$X$34,Channels!$B$5:$B$34,$B47,Channels!$C$5:$C$34,"&lt;&gt;Supervisors",Channels!$E$5:$E$34,"&lt;&gt;Slot")-SUMIFS(Channels!$Z$5:$Z$34,Channels!$B$5:$B$34,$B47,Channels!$C$5:$C$34,"&lt;&gt;Supervisors"))*$D$13+(SUMIFS(Channels!$X$5:$X$34,Channels!$B$5:$B$34,$B47,Channels!$C$5:$C$34,"Supervisors",Channels!$E$5:$E$34,"&lt;&gt;Slot")-SUMIFS(Channels!$Z$5:$Z$34,Channels!$B$5:$B$34,$B47,Channels!$C$5:$C$34,"Supervisors"))*$E$13+SUMIFS(Channels!$Z$5:$Z$34,Channels!$B$5:$B$34,$B47)*$X$13</f>
        <v>0</v>
      </c>
      <c r="M47" s="41" t="n">
        <f aca="false">(SUMIFS(Channels!$X$5:$X$34,Channels!$B$5:$B$34,$B47,Channels!$C$5:$C$34,"&lt;&gt;Supervisors",Channels!$E$5:$E$34,"&lt;&gt;Slot")-SUMIFS(Channels!$Z$5:$Z$34,Channels!$B$5:$B$34,$B47,Channels!$C$5:$C$34,"&lt;&gt;Supervisors"))*$D$14+(SUMIFS(Channels!$X$5:$X$34,Channels!$B$5:$B$34,$B47,Channels!$C$5:$C$34,"Supervisors",Channels!$E$5:$E$34,"&lt;&gt;Slot")-SUMIFS(Channels!$Z$5:$Z$34,Channels!$B$5:$B$34,$B47,Channels!$C$5:$C$34,"Supervisors"))*$E$14+SUMIFS(Channels!$Z$5:$Z$34,Channels!$B$5:$B$34,$B47)*$X$14</f>
        <v>0</v>
      </c>
      <c r="N47" s="42" t="n">
        <f aca="false">SUM(C47:M47)</f>
        <v>27238.7162713939</v>
      </c>
    </row>
    <row r="48" customFormat="false" ht="15" hidden="false" customHeight="false" outlineLevel="0" collapsed="false">
      <c r="B48" s="2" t="str">
        <f aca="false">Budget!B33</f>
        <v>Meta social (FB/IG lead ads, 75 km geo)</v>
      </c>
      <c r="C48" s="41" t="n">
        <f aca="false">(SUMIFS(Channels!$X$5:$X$34,Channels!$B$5:$B$34,$B48,Channels!$C$5:$C$34,"&lt;&gt;Supervisors",Channels!$E$5:$E$34,"&lt;&gt;Slot")-SUMIFS(Channels!$Z$5:$Z$34,Channels!$B$5:$B$34,$B48,Channels!$C$5:$C$34,"&lt;&gt;Supervisors"))*$D$4+(SUMIFS(Channels!$X$5:$X$34,Channels!$B$5:$B$34,$B48,Channels!$C$5:$C$34,"Supervisors",Channels!$E$5:$E$34,"&lt;&gt;Slot")-SUMIFS(Channels!$Z$5:$Z$34,Channels!$B$5:$B$34,$B48,Channels!$C$5:$C$34,"Supervisors"))*$E$4+SUMIFS(Channels!$Z$5:$Z$34,Channels!$B$5:$B$34,$B48)*$X$4+SUMIFS(Channels!$X$5:$X$34,Channels!$B$5:$B$34,$B48,Channels!$E$5:$E$34,"Slot")+SUMIFS(Channels!$Y$5:$Y$34,Channels!$B$5:$B$34,$B48)</f>
        <v>600</v>
      </c>
      <c r="D48" s="41" t="n">
        <f aca="false">(SUMIFS(Channels!$X$5:$X$34,Channels!$B$5:$B$34,$B48,Channels!$C$5:$C$34,"&lt;&gt;Supervisors",Channels!$E$5:$E$34,"&lt;&gt;Slot")-SUMIFS(Channels!$Z$5:$Z$34,Channels!$B$5:$B$34,$B48,Channels!$C$5:$C$34,"&lt;&gt;Supervisors"))*$D$5+(SUMIFS(Channels!$X$5:$X$34,Channels!$B$5:$B$34,$B48,Channels!$C$5:$C$34,"Supervisors",Channels!$E$5:$E$34,"&lt;&gt;Slot")-SUMIFS(Channels!$Z$5:$Z$34,Channels!$B$5:$B$34,$B48,Channels!$C$5:$C$34,"Supervisors"))*$E$5+SUMIFS(Channels!$Z$5:$Z$34,Channels!$B$5:$B$34,$B48)*$X$5</f>
        <v>900</v>
      </c>
      <c r="E48" s="41" t="n">
        <f aca="false">(SUMIFS(Channels!$X$5:$X$34,Channels!$B$5:$B$34,$B48,Channels!$C$5:$C$34,"&lt;&gt;Supervisors",Channels!$E$5:$E$34,"&lt;&gt;Slot")-SUMIFS(Channels!$Z$5:$Z$34,Channels!$B$5:$B$34,$B48,Channels!$C$5:$C$34,"&lt;&gt;Supervisors"))*$D$6+(SUMIFS(Channels!$X$5:$X$34,Channels!$B$5:$B$34,$B48,Channels!$C$5:$C$34,"Supervisors",Channels!$E$5:$E$34,"&lt;&gt;Slot")-SUMIFS(Channels!$Z$5:$Z$34,Channels!$B$5:$B$34,$B48,Channels!$C$5:$C$34,"Supervisors"))*$E$6+SUMIFS(Channels!$Z$5:$Z$34,Channels!$B$5:$B$34,$B48)*$X$6</f>
        <v>0</v>
      </c>
      <c r="F48" s="41" t="n">
        <f aca="false">(SUMIFS(Channels!$X$5:$X$34,Channels!$B$5:$B$34,$B48,Channels!$C$5:$C$34,"&lt;&gt;Supervisors",Channels!$E$5:$E$34,"&lt;&gt;Slot")-SUMIFS(Channels!$Z$5:$Z$34,Channels!$B$5:$B$34,$B48,Channels!$C$5:$C$34,"&lt;&gt;Supervisors"))*$D$7+(SUMIFS(Channels!$X$5:$X$34,Channels!$B$5:$B$34,$B48,Channels!$C$5:$C$34,"Supervisors",Channels!$E$5:$E$34,"&lt;&gt;Slot")-SUMIFS(Channels!$Z$5:$Z$34,Channels!$B$5:$B$34,$B48,Channels!$C$5:$C$34,"Supervisors"))*$E$7+SUMIFS(Channels!$Z$5:$Z$34,Channels!$B$5:$B$34,$B48)*$X$7</f>
        <v>0</v>
      </c>
      <c r="G48" s="41" t="n">
        <f aca="false">(SUMIFS(Channels!$X$5:$X$34,Channels!$B$5:$B$34,$B48,Channels!$C$5:$C$34,"&lt;&gt;Supervisors",Channels!$E$5:$E$34,"&lt;&gt;Slot")-SUMIFS(Channels!$Z$5:$Z$34,Channels!$B$5:$B$34,$B48,Channels!$C$5:$C$34,"&lt;&gt;Supervisors"))*$D$8+(SUMIFS(Channels!$X$5:$X$34,Channels!$B$5:$B$34,$B48,Channels!$C$5:$C$34,"Supervisors",Channels!$E$5:$E$34,"&lt;&gt;Slot")-SUMIFS(Channels!$Z$5:$Z$34,Channels!$B$5:$B$34,$B48,Channels!$C$5:$C$34,"Supervisors"))*$E$8+SUMIFS(Channels!$Z$5:$Z$34,Channels!$B$5:$B$34,$B48)*$X$8</f>
        <v>0</v>
      </c>
      <c r="H48" s="41" t="n">
        <f aca="false">(SUMIFS(Channels!$X$5:$X$34,Channels!$B$5:$B$34,$B48,Channels!$C$5:$C$34,"&lt;&gt;Supervisors",Channels!$E$5:$E$34,"&lt;&gt;Slot")-SUMIFS(Channels!$Z$5:$Z$34,Channels!$B$5:$B$34,$B48,Channels!$C$5:$C$34,"&lt;&gt;Supervisors"))*$D$9+(SUMIFS(Channels!$X$5:$X$34,Channels!$B$5:$B$34,$B48,Channels!$C$5:$C$34,"Supervisors",Channels!$E$5:$E$34,"&lt;&gt;Slot")-SUMIFS(Channels!$Z$5:$Z$34,Channels!$B$5:$B$34,$B48,Channels!$C$5:$C$34,"Supervisors"))*$E$9+SUMIFS(Channels!$Z$5:$Z$34,Channels!$B$5:$B$34,$B48)*$X$9</f>
        <v>0</v>
      </c>
      <c r="I48" s="41" t="n">
        <f aca="false">(SUMIFS(Channels!$X$5:$X$34,Channels!$B$5:$B$34,$B48,Channels!$C$5:$C$34,"&lt;&gt;Supervisors",Channels!$E$5:$E$34,"&lt;&gt;Slot")-SUMIFS(Channels!$Z$5:$Z$34,Channels!$B$5:$B$34,$B48,Channels!$C$5:$C$34,"&lt;&gt;Supervisors"))*$D$10+(SUMIFS(Channels!$X$5:$X$34,Channels!$B$5:$B$34,$B48,Channels!$C$5:$C$34,"Supervisors",Channels!$E$5:$E$34,"&lt;&gt;Slot")-SUMIFS(Channels!$Z$5:$Z$34,Channels!$B$5:$B$34,$B48,Channels!$C$5:$C$34,"Supervisors"))*$E$10+SUMIFS(Channels!$Z$5:$Z$34,Channels!$B$5:$B$34,$B48)*$X$10</f>
        <v>0</v>
      </c>
      <c r="J48" s="41" t="n">
        <f aca="false">(SUMIFS(Channels!$X$5:$X$34,Channels!$B$5:$B$34,$B48,Channels!$C$5:$C$34,"&lt;&gt;Supervisors",Channels!$E$5:$E$34,"&lt;&gt;Slot")-SUMIFS(Channels!$Z$5:$Z$34,Channels!$B$5:$B$34,$B48,Channels!$C$5:$C$34,"&lt;&gt;Supervisors"))*$D$11+(SUMIFS(Channels!$X$5:$X$34,Channels!$B$5:$B$34,$B48,Channels!$C$5:$C$34,"Supervisors",Channels!$E$5:$E$34,"&lt;&gt;Slot")-SUMIFS(Channels!$Z$5:$Z$34,Channels!$B$5:$B$34,$B48,Channels!$C$5:$C$34,"Supervisors"))*$E$11+SUMIFS(Channels!$Z$5:$Z$34,Channels!$B$5:$B$34,$B48)*$X$11</f>
        <v>0</v>
      </c>
      <c r="K48" s="41" t="n">
        <f aca="false">(SUMIFS(Channels!$X$5:$X$34,Channels!$B$5:$B$34,$B48,Channels!$C$5:$C$34,"&lt;&gt;Supervisors",Channels!$E$5:$E$34,"&lt;&gt;Slot")-SUMIFS(Channels!$Z$5:$Z$34,Channels!$B$5:$B$34,$B48,Channels!$C$5:$C$34,"&lt;&gt;Supervisors"))*$D$12+(SUMIFS(Channels!$X$5:$X$34,Channels!$B$5:$B$34,$B48,Channels!$C$5:$C$34,"Supervisors",Channels!$E$5:$E$34,"&lt;&gt;Slot")-SUMIFS(Channels!$Z$5:$Z$34,Channels!$B$5:$B$34,$B48,Channels!$C$5:$C$34,"Supervisors"))*$E$12+SUMIFS(Channels!$Z$5:$Z$34,Channels!$B$5:$B$34,$B48)*$X$12</f>
        <v>0</v>
      </c>
      <c r="L48" s="41" t="n">
        <f aca="false">(SUMIFS(Channels!$X$5:$X$34,Channels!$B$5:$B$34,$B48,Channels!$C$5:$C$34,"&lt;&gt;Supervisors",Channels!$E$5:$E$34,"&lt;&gt;Slot")-SUMIFS(Channels!$Z$5:$Z$34,Channels!$B$5:$B$34,$B48,Channels!$C$5:$C$34,"&lt;&gt;Supervisors"))*$D$13+(SUMIFS(Channels!$X$5:$X$34,Channels!$B$5:$B$34,$B48,Channels!$C$5:$C$34,"Supervisors",Channels!$E$5:$E$34,"&lt;&gt;Slot")-SUMIFS(Channels!$Z$5:$Z$34,Channels!$B$5:$B$34,$B48,Channels!$C$5:$C$34,"Supervisors"))*$E$13+SUMIFS(Channels!$Z$5:$Z$34,Channels!$B$5:$B$34,$B48)*$X$13</f>
        <v>0</v>
      </c>
      <c r="M48" s="41" t="n">
        <f aca="false">(SUMIFS(Channels!$X$5:$X$34,Channels!$B$5:$B$34,$B48,Channels!$C$5:$C$34,"&lt;&gt;Supervisors",Channels!$E$5:$E$34,"&lt;&gt;Slot")-SUMIFS(Channels!$Z$5:$Z$34,Channels!$B$5:$B$34,$B48,Channels!$C$5:$C$34,"&lt;&gt;Supervisors"))*$D$14+(SUMIFS(Channels!$X$5:$X$34,Channels!$B$5:$B$34,$B48,Channels!$C$5:$C$34,"Supervisors",Channels!$E$5:$E$34,"&lt;&gt;Slot")-SUMIFS(Channels!$Z$5:$Z$34,Channels!$B$5:$B$34,$B48,Channels!$C$5:$C$34,"Supervisors"))*$E$14+SUMIFS(Channels!$Z$5:$Z$34,Channels!$B$5:$B$34,$B48)*$X$14</f>
        <v>0</v>
      </c>
      <c r="N48" s="42" t="n">
        <f aca="false">SUM(C48:M48)</f>
        <v>1500</v>
      </c>
    </row>
    <row r="49" customFormat="false" ht="15" hidden="false" customHeight="false" outlineLevel="0" collapsed="false">
      <c r="B49" s="2" t="str">
        <f aca="false">Budget!B34</f>
        <v>Google Search ads (job-intent keywords)</v>
      </c>
      <c r="C49" s="41" t="n">
        <f aca="false">(SUMIFS(Channels!$X$5:$X$34,Channels!$B$5:$B$34,$B49,Channels!$C$5:$C$34,"&lt;&gt;Supervisors",Channels!$E$5:$E$34,"&lt;&gt;Slot")-SUMIFS(Channels!$Z$5:$Z$34,Channels!$B$5:$B$34,$B49,Channels!$C$5:$C$34,"&lt;&gt;Supervisors"))*$D$4+(SUMIFS(Channels!$X$5:$X$34,Channels!$B$5:$B$34,$B49,Channels!$C$5:$C$34,"Supervisors",Channels!$E$5:$E$34,"&lt;&gt;Slot")-SUMIFS(Channels!$Z$5:$Z$34,Channels!$B$5:$B$34,$B49,Channels!$C$5:$C$34,"Supervisors"))*$E$4+SUMIFS(Channels!$Z$5:$Z$34,Channels!$B$5:$B$34,$B49)*$X$4+SUMIFS(Channels!$X$5:$X$34,Channels!$B$5:$B$34,$B49,Channels!$E$5:$E$34,"Slot")+SUMIFS(Channels!$Y$5:$Y$34,Channels!$B$5:$B$34,$B49)</f>
        <v>1200</v>
      </c>
      <c r="D49" s="41" t="n">
        <f aca="false">(SUMIFS(Channels!$X$5:$X$34,Channels!$B$5:$B$34,$B49,Channels!$C$5:$C$34,"&lt;&gt;Supervisors",Channels!$E$5:$E$34,"&lt;&gt;Slot")-SUMIFS(Channels!$Z$5:$Z$34,Channels!$B$5:$B$34,$B49,Channels!$C$5:$C$34,"&lt;&gt;Supervisors"))*$D$5+(SUMIFS(Channels!$X$5:$X$34,Channels!$B$5:$B$34,$B49,Channels!$C$5:$C$34,"Supervisors",Channels!$E$5:$E$34,"&lt;&gt;Slot")-SUMIFS(Channels!$Z$5:$Z$34,Channels!$B$5:$B$34,$B49,Channels!$C$5:$C$34,"Supervisors"))*$E$5+SUMIFS(Channels!$Z$5:$Z$34,Channels!$B$5:$B$34,$B49)*$X$5</f>
        <v>1800</v>
      </c>
      <c r="E49" s="41" t="n">
        <f aca="false">(SUMIFS(Channels!$X$5:$X$34,Channels!$B$5:$B$34,$B49,Channels!$C$5:$C$34,"&lt;&gt;Supervisors",Channels!$E$5:$E$34,"&lt;&gt;Slot")-SUMIFS(Channels!$Z$5:$Z$34,Channels!$B$5:$B$34,$B49,Channels!$C$5:$C$34,"&lt;&gt;Supervisors"))*$D$6+(SUMIFS(Channels!$X$5:$X$34,Channels!$B$5:$B$34,$B49,Channels!$C$5:$C$34,"Supervisors",Channels!$E$5:$E$34,"&lt;&gt;Slot")-SUMIFS(Channels!$Z$5:$Z$34,Channels!$B$5:$B$34,$B49,Channels!$C$5:$C$34,"Supervisors"))*$E$6+SUMIFS(Channels!$Z$5:$Z$34,Channels!$B$5:$B$34,$B49)*$X$6</f>
        <v>0</v>
      </c>
      <c r="F49" s="41" t="n">
        <f aca="false">(SUMIFS(Channels!$X$5:$X$34,Channels!$B$5:$B$34,$B49,Channels!$C$5:$C$34,"&lt;&gt;Supervisors",Channels!$E$5:$E$34,"&lt;&gt;Slot")-SUMIFS(Channels!$Z$5:$Z$34,Channels!$B$5:$B$34,$B49,Channels!$C$5:$C$34,"&lt;&gt;Supervisors"))*$D$7+(SUMIFS(Channels!$X$5:$X$34,Channels!$B$5:$B$34,$B49,Channels!$C$5:$C$34,"Supervisors",Channels!$E$5:$E$34,"&lt;&gt;Slot")-SUMIFS(Channels!$Z$5:$Z$34,Channels!$B$5:$B$34,$B49,Channels!$C$5:$C$34,"Supervisors"))*$E$7+SUMIFS(Channels!$Z$5:$Z$34,Channels!$B$5:$B$34,$B49)*$X$7</f>
        <v>0</v>
      </c>
      <c r="G49" s="41" t="n">
        <f aca="false">(SUMIFS(Channels!$X$5:$X$34,Channels!$B$5:$B$34,$B49,Channels!$C$5:$C$34,"&lt;&gt;Supervisors",Channels!$E$5:$E$34,"&lt;&gt;Slot")-SUMIFS(Channels!$Z$5:$Z$34,Channels!$B$5:$B$34,$B49,Channels!$C$5:$C$34,"&lt;&gt;Supervisors"))*$D$8+(SUMIFS(Channels!$X$5:$X$34,Channels!$B$5:$B$34,$B49,Channels!$C$5:$C$34,"Supervisors",Channels!$E$5:$E$34,"&lt;&gt;Slot")-SUMIFS(Channels!$Z$5:$Z$34,Channels!$B$5:$B$34,$B49,Channels!$C$5:$C$34,"Supervisors"))*$E$8+SUMIFS(Channels!$Z$5:$Z$34,Channels!$B$5:$B$34,$B49)*$X$8</f>
        <v>0</v>
      </c>
      <c r="H49" s="41" t="n">
        <f aca="false">(SUMIFS(Channels!$X$5:$X$34,Channels!$B$5:$B$34,$B49,Channels!$C$5:$C$34,"&lt;&gt;Supervisors",Channels!$E$5:$E$34,"&lt;&gt;Slot")-SUMIFS(Channels!$Z$5:$Z$34,Channels!$B$5:$B$34,$B49,Channels!$C$5:$C$34,"&lt;&gt;Supervisors"))*$D$9+(SUMIFS(Channels!$X$5:$X$34,Channels!$B$5:$B$34,$B49,Channels!$C$5:$C$34,"Supervisors",Channels!$E$5:$E$34,"&lt;&gt;Slot")-SUMIFS(Channels!$Z$5:$Z$34,Channels!$B$5:$B$34,$B49,Channels!$C$5:$C$34,"Supervisors"))*$E$9+SUMIFS(Channels!$Z$5:$Z$34,Channels!$B$5:$B$34,$B49)*$X$9</f>
        <v>0</v>
      </c>
      <c r="I49" s="41" t="n">
        <f aca="false">(SUMIFS(Channels!$X$5:$X$34,Channels!$B$5:$B$34,$B49,Channels!$C$5:$C$34,"&lt;&gt;Supervisors",Channels!$E$5:$E$34,"&lt;&gt;Slot")-SUMIFS(Channels!$Z$5:$Z$34,Channels!$B$5:$B$34,$B49,Channels!$C$5:$C$34,"&lt;&gt;Supervisors"))*$D$10+(SUMIFS(Channels!$X$5:$X$34,Channels!$B$5:$B$34,$B49,Channels!$C$5:$C$34,"Supervisors",Channels!$E$5:$E$34,"&lt;&gt;Slot")-SUMIFS(Channels!$Z$5:$Z$34,Channels!$B$5:$B$34,$B49,Channels!$C$5:$C$34,"Supervisors"))*$E$10+SUMIFS(Channels!$Z$5:$Z$34,Channels!$B$5:$B$34,$B49)*$X$10</f>
        <v>0</v>
      </c>
      <c r="J49" s="41" t="n">
        <f aca="false">(SUMIFS(Channels!$X$5:$X$34,Channels!$B$5:$B$34,$B49,Channels!$C$5:$C$34,"&lt;&gt;Supervisors",Channels!$E$5:$E$34,"&lt;&gt;Slot")-SUMIFS(Channels!$Z$5:$Z$34,Channels!$B$5:$B$34,$B49,Channels!$C$5:$C$34,"&lt;&gt;Supervisors"))*$D$11+(SUMIFS(Channels!$X$5:$X$34,Channels!$B$5:$B$34,$B49,Channels!$C$5:$C$34,"Supervisors",Channels!$E$5:$E$34,"&lt;&gt;Slot")-SUMIFS(Channels!$Z$5:$Z$34,Channels!$B$5:$B$34,$B49,Channels!$C$5:$C$34,"Supervisors"))*$E$11+SUMIFS(Channels!$Z$5:$Z$34,Channels!$B$5:$B$34,$B49)*$X$11</f>
        <v>0</v>
      </c>
      <c r="K49" s="41" t="n">
        <f aca="false">(SUMIFS(Channels!$X$5:$X$34,Channels!$B$5:$B$34,$B49,Channels!$C$5:$C$34,"&lt;&gt;Supervisors",Channels!$E$5:$E$34,"&lt;&gt;Slot")-SUMIFS(Channels!$Z$5:$Z$34,Channels!$B$5:$B$34,$B49,Channels!$C$5:$C$34,"&lt;&gt;Supervisors"))*$D$12+(SUMIFS(Channels!$X$5:$X$34,Channels!$B$5:$B$34,$B49,Channels!$C$5:$C$34,"Supervisors",Channels!$E$5:$E$34,"&lt;&gt;Slot")-SUMIFS(Channels!$Z$5:$Z$34,Channels!$B$5:$B$34,$B49,Channels!$C$5:$C$34,"Supervisors"))*$E$12+SUMIFS(Channels!$Z$5:$Z$34,Channels!$B$5:$B$34,$B49)*$X$12</f>
        <v>0</v>
      </c>
      <c r="L49" s="41" t="n">
        <f aca="false">(SUMIFS(Channels!$X$5:$X$34,Channels!$B$5:$B$34,$B49,Channels!$C$5:$C$34,"&lt;&gt;Supervisors",Channels!$E$5:$E$34,"&lt;&gt;Slot")-SUMIFS(Channels!$Z$5:$Z$34,Channels!$B$5:$B$34,$B49,Channels!$C$5:$C$34,"&lt;&gt;Supervisors"))*$D$13+(SUMIFS(Channels!$X$5:$X$34,Channels!$B$5:$B$34,$B49,Channels!$C$5:$C$34,"Supervisors",Channels!$E$5:$E$34,"&lt;&gt;Slot")-SUMIFS(Channels!$Z$5:$Z$34,Channels!$B$5:$B$34,$B49,Channels!$C$5:$C$34,"Supervisors"))*$E$13+SUMIFS(Channels!$Z$5:$Z$34,Channels!$B$5:$B$34,$B49)*$X$13</f>
        <v>0</v>
      </c>
      <c r="M49" s="41" t="n">
        <f aca="false">(SUMIFS(Channels!$X$5:$X$34,Channels!$B$5:$B$34,$B49,Channels!$C$5:$C$34,"&lt;&gt;Supervisors",Channels!$E$5:$E$34,"&lt;&gt;Slot")-SUMIFS(Channels!$Z$5:$Z$34,Channels!$B$5:$B$34,$B49,Channels!$C$5:$C$34,"&lt;&gt;Supervisors"))*$D$14+(SUMIFS(Channels!$X$5:$X$34,Channels!$B$5:$B$34,$B49,Channels!$C$5:$C$34,"Supervisors",Channels!$E$5:$E$34,"&lt;&gt;Slot")-SUMIFS(Channels!$Z$5:$Z$34,Channels!$B$5:$B$34,$B49,Channels!$C$5:$C$34,"Supervisors"))*$E$14+SUMIFS(Channels!$Z$5:$Z$34,Channels!$B$5:$B$34,$B49)*$X$14</f>
        <v>0</v>
      </c>
      <c r="N49" s="42" t="n">
        <f aca="false">SUM(C49:M49)</f>
        <v>3000</v>
      </c>
    </row>
    <row r="50" customFormat="false" ht="15" hidden="false" customHeight="false" outlineLevel="0" collapsed="false">
      <c r="B50" s="2" t="str">
        <f aca="false">Budget!B35</f>
        <v>I1a Talent rediscovery (past applicants in ATS)</v>
      </c>
      <c r="C50" s="41" t="n">
        <f aca="false">SUMIFS(Channels!$X$5:$X$34,Channels!$B$5:$B$34,$B50)*$Y$4</f>
        <v>37.98</v>
      </c>
      <c r="D50" s="41" t="n">
        <f aca="false">SUMIFS(Channels!$X$5:$X$34,Channels!$B$5:$B$34,$B50)*$Y$5</f>
        <v>18.357</v>
      </c>
      <c r="E50" s="41" t="n">
        <f aca="false">SUMIFS(Channels!$X$5:$X$34,Channels!$B$5:$B$34,$B50)*$Y$6</f>
        <v>6.963</v>
      </c>
      <c r="F50" s="41" t="n">
        <f aca="false">SUMIFS(Channels!$X$5:$X$34,Channels!$B$5:$B$34,$B50)*$Y$7</f>
        <v>0</v>
      </c>
      <c r="G50" s="41" t="n">
        <f aca="false">SUMIFS(Channels!$X$5:$X$34,Channels!$B$5:$B$34,$B50)*$Y$8</f>
        <v>0</v>
      </c>
      <c r="H50" s="41" t="n">
        <f aca="false">SUMIFS(Channels!$X$5:$X$34,Channels!$B$5:$B$34,$B50)*$Y$9</f>
        <v>0</v>
      </c>
      <c r="I50" s="41" t="n">
        <f aca="false">SUMIFS(Channels!$X$5:$X$34,Channels!$B$5:$B$34,$B50)*$Y$10</f>
        <v>0</v>
      </c>
      <c r="J50" s="41" t="n">
        <f aca="false">SUMIFS(Channels!$X$5:$X$34,Channels!$B$5:$B$34,$B50)*$Y$11</f>
        <v>0</v>
      </c>
      <c r="K50" s="41" t="n">
        <f aca="false">SUMIFS(Channels!$X$5:$X$34,Channels!$B$5:$B$34,$B50)*$Y$12</f>
        <v>0</v>
      </c>
      <c r="L50" s="41" t="n">
        <f aca="false">SUMIFS(Channels!$X$5:$X$34,Channels!$B$5:$B$34,$B50)*$Y$13</f>
        <v>0</v>
      </c>
      <c r="M50" s="41" t="n">
        <f aca="false">SUMIFS(Channels!$X$5:$X$34,Channels!$B$5:$B$34,$B50)*$Y$14</f>
        <v>0</v>
      </c>
      <c r="N50" s="42" t="n">
        <f aca="false">SUM(C50:M50)</f>
        <v>63.3</v>
      </c>
    </row>
    <row r="51" customFormat="false" ht="15" hidden="false" customHeight="false" outlineLevel="0" collapsed="false">
      <c r="B51" s="2" t="str">
        <f aca="false">Budget!B36</f>
        <v>I1b Employee referral sprint (bonus on hire)</v>
      </c>
      <c r="C51" s="41" t="n">
        <f aca="false">SUMIFS(Channels!$X$5:$X$34,Channels!$B$5:$B$34,$B51,Channels!$C$5:$C$34,"&lt;&gt;Supervisors")*$F$4+SUMIFS(Channels!$X$5:$X$34,Channels!$B$5:$B$34,$B51,Channels!$C$5:$C$34,"Supervisors")*$G$4</f>
        <v>0</v>
      </c>
      <c r="D51" s="41" t="n">
        <f aca="false">SUMIFS(Channels!$X$5:$X$34,Channels!$B$5:$B$34,$B51,Channels!$C$5:$C$34,"&lt;&gt;Supervisors")*$F$5+SUMIFS(Channels!$X$5:$X$34,Channels!$B$5:$B$34,$B51,Channels!$C$5:$C$34,"Supervisors")*$G$5</f>
        <v>0</v>
      </c>
      <c r="E51" s="41" t="n">
        <f aca="false">SUMIFS(Channels!$X$5:$X$34,Channels!$B$5:$B$34,$B51,Channels!$C$5:$C$34,"&lt;&gt;Supervisors")*$F$6+SUMIFS(Channels!$X$5:$X$34,Channels!$B$5:$B$34,$B51,Channels!$C$5:$C$34,"Supervisors")*$G$6</f>
        <v>0</v>
      </c>
      <c r="F51" s="41" t="n">
        <f aca="false">SUMIFS(Channels!$X$5:$X$34,Channels!$B$5:$B$34,$B51,Channels!$C$5:$C$34,"&lt;&gt;Supervisors")*$F$7+SUMIFS(Channels!$X$5:$X$34,Channels!$B$5:$B$34,$B51,Channels!$C$5:$C$34,"Supervisors")*$G$7</f>
        <v>3118.68063</v>
      </c>
      <c r="G51" s="41" t="n">
        <f aca="false">SUMIFS(Channels!$X$5:$X$34,Channels!$B$5:$B$34,$B51,Channels!$C$5:$C$34,"&lt;&gt;Supervisors")*$F$8+SUMIFS(Channels!$X$5:$X$34,Channels!$B$5:$B$34,$B51,Channels!$C$5:$C$34,"Supervisors")*$G$8</f>
        <v>1727.53994317807</v>
      </c>
      <c r="H51" s="41" t="n">
        <f aca="false">SUMIFS(Channels!$X$5:$X$34,Channels!$B$5:$B$34,$B51,Channels!$C$5:$C$34,"&lt;&gt;Supervisors")*$F$9+SUMIFS(Channels!$X$5:$X$34,Channels!$B$5:$B$34,$B51,Channels!$C$5:$C$34,"Supervisors")*$G$9</f>
        <v>1769.14317545515</v>
      </c>
      <c r="I51" s="41" t="n">
        <f aca="false">SUMIFS(Channels!$X$5:$X$34,Channels!$B$5:$B$34,$B51,Channels!$C$5:$C$34,"&lt;&gt;Supervisors")*$F$10+SUMIFS(Channels!$X$5:$X$34,Channels!$B$5:$B$34,$B51,Channels!$C$5:$C$34,"Supervisors")*$G$10</f>
        <v>1899.23241893725</v>
      </c>
      <c r="J51" s="41" t="n">
        <f aca="false">SUMIFS(Channels!$X$5:$X$34,Channels!$B$5:$B$34,$B51,Channels!$C$5:$C$34,"&lt;&gt;Supervisors")*$F$11+SUMIFS(Channels!$X$5:$X$34,Channels!$B$5:$B$34,$B51,Channels!$C$5:$C$34,"Supervisors")*$G$11</f>
        <v>2158.34329973187</v>
      </c>
      <c r="K51" s="41" t="n">
        <f aca="false">SUMIFS(Channels!$X$5:$X$34,Channels!$B$5:$B$34,$B51,Channels!$C$5:$C$34,"&lt;&gt;Supervisors")*$F$12+SUMIFS(Channels!$X$5:$X$34,Channels!$B$5:$B$34,$B51,Channels!$C$5:$C$34,"Supervisors")*$G$12</f>
        <v>304.78803269766</v>
      </c>
      <c r="L51" s="41" t="n">
        <f aca="false">SUMIFS(Channels!$X$5:$X$34,Channels!$B$5:$B$34,$B51,Channels!$C$5:$C$34,"&lt;&gt;Supervisors")*$F$13+SUMIFS(Channels!$X$5:$X$34,Channels!$B$5:$B$34,$B51,Channels!$C$5:$C$34,"Supervisors")*$G$13</f>
        <v>0</v>
      </c>
      <c r="M51" s="41" t="n">
        <f aca="false">SUMIFS(Channels!$X$5:$X$34,Channels!$B$5:$B$34,$B51,Channels!$C$5:$C$34,"&lt;&gt;Supervisors")*$F$14+SUMIFS(Channels!$X$5:$X$34,Channels!$B$5:$B$34,$B51,Channels!$C$5:$C$34,"Supervisors")*$G$14</f>
        <v>0</v>
      </c>
      <c r="N51" s="42" t="n">
        <f aca="false">SUM(C51:M51)</f>
        <v>10977.7275</v>
      </c>
    </row>
    <row r="52" customFormat="false" ht="15" hidden="false" customHeight="false" outlineLevel="0" collapsed="false">
      <c r="B52" s="2" t="str">
        <f aca="false">Budget!B37</f>
        <v>I2 Handwerk → Industrie (construction electricians)</v>
      </c>
      <c r="C52" s="41" t="n">
        <f aca="false">SUMIFS(Channels!$X$5:$X$34,Channels!$B$5:$B$34,$B52)*$AB$4+SUMIFS(Channels!$Y$5:$Y$34,Channels!$B$5:$B$34,$B52)</f>
        <v>3270.18638466623</v>
      </c>
      <c r="D52" s="41" t="n">
        <f aca="false">SUMIFS(Channels!$X$5:$X$34,Channels!$B$5:$B$34,$B52)*$AB$5</f>
        <v>1501.86781229346</v>
      </c>
      <c r="E52" s="41" t="n">
        <f aca="false">SUMIFS(Channels!$X$5:$X$34,Channels!$B$5:$B$34,$B52)*$AB$6</f>
        <v>1845.80700594845</v>
      </c>
      <c r="F52" s="41" t="n">
        <f aca="false">SUMIFS(Channels!$X$5:$X$34,Channels!$B$5:$B$34,$B52)*$AB$7</f>
        <v>1948.98876404494</v>
      </c>
      <c r="G52" s="41" t="n">
        <f aca="false">SUMIFS(Channels!$X$5:$X$34,Channels!$B$5:$B$34,$B52)*$AB$8</f>
        <v>2235.60475875744</v>
      </c>
      <c r="H52" s="41" t="n">
        <f aca="false">SUMIFS(Channels!$X$5:$X$34,Channels!$B$5:$B$34,$B52)*$AB$9</f>
        <v>309.545274289491</v>
      </c>
      <c r="I52" s="41" t="n">
        <f aca="false">SUMIFS(Channels!$X$5:$X$34,Channels!$B$5:$B$34,$B52)*$AB$10</f>
        <v>0</v>
      </c>
      <c r="J52" s="41" t="n">
        <f aca="false">SUMIFS(Channels!$X$5:$X$34,Channels!$B$5:$B$34,$B52)*$AB$11</f>
        <v>0</v>
      </c>
      <c r="K52" s="41" t="n">
        <f aca="false">SUMIFS(Channels!$X$5:$X$34,Channels!$B$5:$B$34,$B52)*$AB$12</f>
        <v>0</v>
      </c>
      <c r="L52" s="41" t="n">
        <f aca="false">SUMIFS(Channels!$X$5:$X$34,Channels!$B$5:$B$34,$B52)*$AB$13</f>
        <v>0</v>
      </c>
      <c r="M52" s="41" t="n">
        <f aca="false">SUMIFS(Channels!$X$5:$X$34,Channels!$B$5:$B$34,$B52)*$AB$14</f>
        <v>0</v>
      </c>
      <c r="N52" s="42" t="n">
        <f aca="false">SUM(C52:M52)</f>
        <v>11112</v>
      </c>
    </row>
    <row r="53" customFormat="false" ht="15" hidden="false" customHeight="false" outlineLevel="0" collapsed="false">
      <c r="B53" s="2" t="str">
        <f aca="false">Budget!B38</f>
        <v>I3 Polish border corridor + PL pre-screener</v>
      </c>
      <c r="C53" s="41" t="n">
        <f aca="false">SUMIFS(Channels!$X$5:$X$34,Channels!$B$5:$B$34,$B53)*$AC$4+SUMIFS(Channels!$Y$5:$Y$34,Channels!$B$5:$B$34,$B53)</f>
        <v>400</v>
      </c>
      <c r="D53" s="41" t="n">
        <f aca="false">SUMIFS(Channels!$X$5:$X$34,Channels!$B$5:$B$34,$B53)*$AC$5</f>
        <v>1243.63940153414</v>
      </c>
      <c r="E53" s="41" t="n">
        <f aca="false">SUMIFS(Channels!$X$5:$X$34,Channels!$B$5:$B$34,$B53)*$AC$6</f>
        <v>1528.442317916</v>
      </c>
      <c r="F53" s="41" t="n">
        <f aca="false">SUMIFS(Channels!$X$5:$X$34,Channels!$B$5:$B$34,$B53)*$AC$7</f>
        <v>1613.88319283056</v>
      </c>
      <c r="G53" s="41" t="n">
        <f aca="false">SUMIFS(Channels!$X$5:$X$34,Channels!$B$5:$B$34,$B53)*$AC$8</f>
        <v>1851.21895648211</v>
      </c>
      <c r="H53" s="41" t="n">
        <f aca="false">SUMIFS(Channels!$X$5:$X$34,Channels!$B$5:$B$34,$B53)*$AC$9</f>
        <v>256.322624743677</v>
      </c>
      <c r="I53" s="41" t="n">
        <f aca="false">SUMIFS(Channels!$X$5:$X$34,Channels!$B$5:$B$34,$B53)*$AC$10</f>
        <v>0</v>
      </c>
      <c r="J53" s="41" t="n">
        <f aca="false">SUMIFS(Channels!$X$5:$X$34,Channels!$B$5:$B$34,$B53)*$AC$11</f>
        <v>0</v>
      </c>
      <c r="K53" s="41" t="n">
        <f aca="false">SUMIFS(Channels!$X$5:$X$34,Channels!$B$5:$B$34,$B53)*$AC$12</f>
        <v>0</v>
      </c>
      <c r="L53" s="41" t="n">
        <f aca="false">SUMIFS(Channels!$X$5:$X$34,Channels!$B$5:$B$34,$B53)*$AC$13</f>
        <v>0</v>
      </c>
      <c r="M53" s="41" t="n">
        <f aca="false">SUMIFS(Channels!$X$5:$X$34,Channels!$B$5:$B$34,$B53)*$AC$14</f>
        <v>0</v>
      </c>
      <c r="N53" s="42" t="n">
        <f aca="false">SUM(C53:M53)</f>
        <v>6893.50649350649</v>
      </c>
    </row>
    <row r="54" customFormat="false" ht="15" hidden="false" customHeight="false" outlineLevel="0" collapsed="false">
      <c r="B54" s="28" t="s">
        <v>463</v>
      </c>
      <c r="C54" s="42" t="n">
        <f aca="false">SUM(C44:C53)</f>
        <v>32489.923944841</v>
      </c>
      <c r="D54" s="42" t="n">
        <f aca="false">SUM(D44:D53)</f>
        <v>16200.3649745329</v>
      </c>
      <c r="E54" s="42" t="n">
        <f aca="false">SUM(E44:E53)</f>
        <v>13258.1331061054</v>
      </c>
      <c r="F54" s="42" t="n">
        <f aca="false">SUM(F44:F53)</f>
        <v>17110.5993755771</v>
      </c>
      <c r="G54" s="42" t="n">
        <f aca="false">SUM(G44:G53)</f>
        <v>15251.1158941177</v>
      </c>
      <c r="H54" s="42" t="n">
        <f aca="false">SUM(H44:H53)</f>
        <v>3583.34650933261</v>
      </c>
      <c r="I54" s="42" t="n">
        <f aca="false">SUM(I44:I53)</f>
        <v>1899.23241893725</v>
      </c>
      <c r="J54" s="42" t="n">
        <f aca="false">SUM(J44:J53)</f>
        <v>2158.34329973187</v>
      </c>
      <c r="K54" s="42" t="n">
        <f aca="false">SUM(K44:K53)</f>
        <v>304.78803269766</v>
      </c>
      <c r="L54" s="42" t="n">
        <f aca="false">SUM(L44:L53)</f>
        <v>0</v>
      </c>
      <c r="M54" s="42" t="n">
        <f aca="false">SUM(M44:M53)</f>
        <v>0</v>
      </c>
      <c r="N54" s="42" t="n">
        <f aca="false">SUM(N44:N53)</f>
        <v>102255.847555873</v>
      </c>
    </row>
    <row r="55" customFormat="false" ht="15" hidden="false" customHeight="false" outlineLevel="0" collapsed="false">
      <c r="B55" s="2" t="str">
        <f aca="false">IF(ABS(N54-Budget!C9)&gt;1,"✗ matrix ≠ planned spend","✓ matrix ties to planned spend")</f>
        <v>✓ matrix ties to planned spend</v>
      </c>
    </row>
  </sheetData>
  <mergeCells count="1">
    <mergeCell ref="A16:W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0AD47"/>
    <pageSetUpPr fitToPage="false"/>
  </sheetPr>
  <dimension ref="A1:AA4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40"/>
    <col collapsed="false" customWidth="true" hidden="false" outlineLevel="0" max="3" min="3" style="0" width="13"/>
    <col collapsed="false" customWidth="true" hidden="false" outlineLevel="0" max="23" min="4" style="0" width="10"/>
    <col collapsed="false" customWidth="true" hidden="false" outlineLevel="0" max="24" min="24" style="0" width="26"/>
    <col collapsed="false" customWidth="true" hidden="false" outlineLevel="0" max="27" min="25" style="0" width="10"/>
  </cols>
  <sheetData>
    <row r="1" customFormat="false" ht="17.35" hidden="false" customHeight="false" outlineLevel="0" collapsed="false">
      <c r="A1" s="1" t="s">
        <v>763</v>
      </c>
    </row>
    <row r="2" customFormat="false" ht="15" hidden="false" customHeight="false" outlineLevel="0" collapsed="false">
      <c r="A2" s="2" t="s">
        <v>764</v>
      </c>
    </row>
    <row r="4" customFormat="false" ht="45" hidden="false" customHeight="true" outlineLevel="0" collapsed="false">
      <c r="A4" s="12" t="s">
        <v>22</v>
      </c>
      <c r="B4" s="12" t="s">
        <v>321</v>
      </c>
      <c r="C4" s="12" t="s">
        <v>322</v>
      </c>
      <c r="D4" s="12" t="s">
        <v>765</v>
      </c>
      <c r="E4" s="12" t="s">
        <v>766</v>
      </c>
      <c r="F4" s="12" t="s">
        <v>767</v>
      </c>
      <c r="G4" s="12" t="s">
        <v>768</v>
      </c>
      <c r="H4" s="12" t="s">
        <v>769</v>
      </c>
      <c r="I4" s="12" t="s">
        <v>770</v>
      </c>
      <c r="J4" s="12" t="s">
        <v>771</v>
      </c>
      <c r="K4" s="12" t="s">
        <v>772</v>
      </c>
      <c r="L4" s="12" t="s">
        <v>773</v>
      </c>
      <c r="M4" s="12" t="s">
        <v>774</v>
      </c>
      <c r="N4" s="12" t="s">
        <v>775</v>
      </c>
      <c r="O4" s="12" t="s">
        <v>776</v>
      </c>
      <c r="P4" s="12" t="s">
        <v>777</v>
      </c>
      <c r="Q4" s="12" t="s">
        <v>778</v>
      </c>
      <c r="R4" s="12" t="s">
        <v>779</v>
      </c>
      <c r="S4" s="12" t="s">
        <v>780</v>
      </c>
      <c r="T4" s="12" t="s">
        <v>781</v>
      </c>
      <c r="U4" s="12" t="s">
        <v>782</v>
      </c>
      <c r="V4" s="12" t="s">
        <v>783</v>
      </c>
      <c r="W4" s="12" t="s">
        <v>784</v>
      </c>
      <c r="X4" s="12" t="s">
        <v>785</v>
      </c>
      <c r="Y4" s="12" t="s">
        <v>786</v>
      </c>
      <c r="Z4" s="12" t="s">
        <v>787</v>
      </c>
      <c r="AA4" s="12" t="s">
        <v>788</v>
      </c>
    </row>
    <row r="5" customFormat="false" ht="15" hidden="false" customHeight="false" outlineLevel="0" collapsed="false">
      <c r="A5" s="2" t="str">
        <f aca="false">Channels!A5</f>
        <v>C01</v>
      </c>
      <c r="B5" s="2" t="str">
        <f aca="false">Channels!B5</f>
        <v>Organic (Tesla careers, BA Jobbörse, Google for Jobs)</v>
      </c>
      <c r="C5" s="2" t="str">
        <f aca="false">Channels!C5</f>
        <v>Electricians</v>
      </c>
      <c r="D5" s="43" t="n">
        <f aca="false">Channels!H5</f>
        <v>0</v>
      </c>
      <c r="E5" s="30" t="n">
        <f aca="false">Channels!I5</f>
        <v>0.175</v>
      </c>
      <c r="F5" s="41" t="n">
        <f aca="false">Channels!O5</f>
        <v>0</v>
      </c>
      <c r="G5" s="18"/>
      <c r="H5" s="15"/>
      <c r="I5" s="15"/>
      <c r="J5" s="18"/>
      <c r="K5" s="15"/>
      <c r="L5" s="15"/>
      <c r="M5" s="18"/>
      <c r="N5" s="15"/>
      <c r="O5" s="15"/>
      <c r="P5" s="41" t="n">
        <f aca="false">G5+J5+M5</f>
        <v>0</v>
      </c>
      <c r="Q5" s="29" t="n">
        <f aca="false">H5+K5+N5</f>
        <v>0</v>
      </c>
      <c r="R5" s="29" t="n">
        <f aca="false">I5+L5+O5</f>
        <v>0</v>
      </c>
      <c r="S5" s="43" t="str">
        <f aca="false">IF(Q5&gt;0,P5/Q5,"")</f>
        <v/>
      </c>
      <c r="T5" s="30" t="str">
        <f aca="false">IF(Q5&gt;0,R5/Q5,"")</f>
        <v/>
      </c>
      <c r="U5" s="30" t="n">
        <f aca="false">IF(AND(OR(P5&gt;=Assumptions!$D$83,Q5&gt;=Assumptions!$D$84),R5&gt;0),R5/Q5,E5)</f>
        <v>0.175</v>
      </c>
      <c r="V5" s="41" t="n">
        <f aca="false">IF(U5&gt;0,IF(AND(OR(P5&gt;=Assumptions!$D$83,Q5&gt;=Assumptions!$D$84),Q5&gt;0),S5,D5)/U5,0)</f>
        <v>0</v>
      </c>
      <c r="W5" s="52" t="str">
        <f aca="false">IF(F5&gt;0,V5/F5,"")</f>
        <v/>
      </c>
      <c r="X5" s="2" t="str">
        <f aca="false">IF(D5=0,"Free – monitor quality",IF(F5=0,"SWITCH OFF – plan expects no qualified applicants",IF(AND(P5&lt;Assumptions!$D$83,Q5&lt;Assumptions!$D$84),"Wait – too little data",IF(OR(W5&gt;=Assumptions!$D$87,AND(R5=0,P5&gt;=Assumptions!$D$88,Q5&gt;=Assumptions!$D$84)),"SWITCH OFF",IF(W5&gt;=Assumptions!$D$86,"CUT 50%",IF(W5&lt;=Assumptions!$D$85,"ADD +"&amp;TEXT(Assumptions!$D$96,"0%")&amp;" (if slots free)","HOLD"))))))</f>
        <v>Free – monitor quality</v>
      </c>
      <c r="Y5" s="15"/>
      <c r="Z5" s="41" t="str">
        <f aca="false">IF(Y5&gt;0,P5/Y5,"")</f>
        <v/>
      </c>
      <c r="AA5" s="32" t="n">
        <f aca="false">Channels!U5</f>
        <v>5.788125</v>
      </c>
    </row>
    <row r="6" customFormat="false" ht="15" hidden="false" customHeight="false" outlineLevel="0" collapsed="false">
      <c r="A6" s="2" t="str">
        <f aca="false">Channels!A6</f>
        <v>C02</v>
      </c>
      <c r="B6" s="2" t="str">
        <f aca="false">Channels!B6</f>
        <v>Organic (Tesla careers, BA Jobbörse, Google for Jobs)</v>
      </c>
      <c r="C6" s="2" t="str">
        <f aca="false">Channels!C6</f>
        <v>Mechatronics</v>
      </c>
      <c r="D6" s="43" t="n">
        <f aca="false">Channels!H6</f>
        <v>0</v>
      </c>
      <c r="E6" s="30" t="n">
        <f aca="false">Channels!I6</f>
        <v>0.175</v>
      </c>
      <c r="F6" s="41" t="n">
        <f aca="false">Channels!O6</f>
        <v>0</v>
      </c>
      <c r="G6" s="18"/>
      <c r="H6" s="15"/>
      <c r="I6" s="15"/>
      <c r="J6" s="18"/>
      <c r="K6" s="15"/>
      <c r="L6" s="15"/>
      <c r="M6" s="18"/>
      <c r="N6" s="15"/>
      <c r="O6" s="15"/>
      <c r="P6" s="41" t="n">
        <f aca="false">G6+J6+M6</f>
        <v>0</v>
      </c>
      <c r="Q6" s="29" t="n">
        <f aca="false">H6+K6+N6</f>
        <v>0</v>
      </c>
      <c r="R6" s="29" t="n">
        <f aca="false">I6+L6+O6</f>
        <v>0</v>
      </c>
      <c r="S6" s="43" t="str">
        <f aca="false">IF(Q6&gt;0,P6/Q6,"")</f>
        <v/>
      </c>
      <c r="T6" s="30" t="str">
        <f aca="false">IF(Q6&gt;0,R6/Q6,"")</f>
        <v/>
      </c>
      <c r="U6" s="30" t="n">
        <f aca="false">IF(AND(OR(P6&gt;=Assumptions!$D$83,Q6&gt;=Assumptions!$D$84),R6&gt;0),R6/Q6,E6)</f>
        <v>0.175</v>
      </c>
      <c r="V6" s="41" t="n">
        <f aca="false">IF(U6&gt;0,IF(AND(OR(P6&gt;=Assumptions!$D$83,Q6&gt;=Assumptions!$D$84),Q6&gt;0),S6,D6)/U6,0)</f>
        <v>0</v>
      </c>
      <c r="W6" s="52" t="str">
        <f aca="false">IF(F6&gt;0,V6/F6,"")</f>
        <v/>
      </c>
      <c r="X6" s="2" t="str">
        <f aca="false">IF(D6=0,"Free – monitor quality",IF(F6=0,"SWITCH OFF – plan expects no qualified applicants",IF(AND(P6&lt;Assumptions!$D$83,Q6&lt;Assumptions!$D$84),"Wait – too little data",IF(OR(W6&gt;=Assumptions!$D$87,AND(R6=0,P6&gt;=Assumptions!$D$88,Q6&gt;=Assumptions!$D$84)),"SWITCH OFF",IF(W6&gt;=Assumptions!$D$86,"CUT 50%",IF(W6&lt;=Assumptions!$D$85,"ADD +"&amp;TEXT(Assumptions!$D$96,"0%")&amp;" (if slots free)","HOLD"))))))</f>
        <v>Free – monitor quality</v>
      </c>
      <c r="Y6" s="15"/>
      <c r="Z6" s="41" t="str">
        <f aca="false">IF(Y6&gt;0,P6/Y6,"")</f>
        <v/>
      </c>
      <c r="AA6" s="32" t="n">
        <f aca="false">Channels!U6</f>
        <v>10.2650625</v>
      </c>
    </row>
    <row r="7" customFormat="false" ht="15" hidden="false" customHeight="false" outlineLevel="0" collapsed="false">
      <c r="A7" s="2" t="str">
        <f aca="false">Channels!A7</f>
        <v>C03</v>
      </c>
      <c r="B7" s="2" t="str">
        <f aca="false">Channels!B7</f>
        <v>Organic (Tesla careers, BA Jobbörse, Google for Jobs)</v>
      </c>
      <c r="C7" s="2" t="str">
        <f aca="false">Channels!C7</f>
        <v>Automation</v>
      </c>
      <c r="D7" s="43" t="n">
        <f aca="false">Channels!H7</f>
        <v>0</v>
      </c>
      <c r="E7" s="30" t="n">
        <f aca="false">Channels!I7</f>
        <v>0.175</v>
      </c>
      <c r="F7" s="41" t="n">
        <f aca="false">Channels!O7</f>
        <v>0</v>
      </c>
      <c r="G7" s="18"/>
      <c r="H7" s="15"/>
      <c r="I7" s="15"/>
      <c r="J7" s="18"/>
      <c r="K7" s="15"/>
      <c r="L7" s="15"/>
      <c r="M7" s="18"/>
      <c r="N7" s="15"/>
      <c r="O7" s="15"/>
      <c r="P7" s="41" t="n">
        <f aca="false">G7+J7+M7</f>
        <v>0</v>
      </c>
      <c r="Q7" s="29" t="n">
        <f aca="false">H7+K7+N7</f>
        <v>0</v>
      </c>
      <c r="R7" s="29" t="n">
        <f aca="false">I7+L7+O7</f>
        <v>0</v>
      </c>
      <c r="S7" s="43" t="str">
        <f aca="false">IF(Q7&gt;0,P7/Q7,"")</f>
        <v/>
      </c>
      <c r="T7" s="30" t="str">
        <f aca="false">IF(Q7&gt;0,R7/Q7,"")</f>
        <v/>
      </c>
      <c r="U7" s="30" t="n">
        <f aca="false">IF(AND(OR(P7&gt;=Assumptions!$D$83,Q7&gt;=Assumptions!$D$84),R7&gt;0),R7/Q7,E7)</f>
        <v>0.175</v>
      </c>
      <c r="V7" s="41" t="n">
        <f aca="false">IF(U7&gt;0,IF(AND(OR(P7&gt;=Assumptions!$D$83,Q7&gt;=Assumptions!$D$84),Q7&gt;0),S7,D7)/U7,0)</f>
        <v>0</v>
      </c>
      <c r="W7" s="52" t="str">
        <f aca="false">IF(F7&gt;0,V7/F7,"")</f>
        <v/>
      </c>
      <c r="X7" s="2" t="str">
        <f aca="false">IF(D7=0,"Free – monitor quality",IF(F7=0,"SWITCH OFF – plan expects no qualified applicants",IF(AND(P7&lt;Assumptions!$D$83,Q7&lt;Assumptions!$D$84),"Wait – too little data",IF(OR(W7&gt;=Assumptions!$D$87,AND(R7=0,P7&gt;=Assumptions!$D$88,Q7&gt;=Assumptions!$D$84)),"SWITCH OFF",IF(W7&gt;=Assumptions!$D$86,"CUT 50%",IF(W7&lt;=Assumptions!$D$85,"ADD +"&amp;TEXT(Assumptions!$D$96,"0%")&amp;" (if slots free)","HOLD"))))))</f>
        <v>Free – monitor quality</v>
      </c>
      <c r="Y7" s="15"/>
      <c r="Z7" s="41" t="str">
        <f aca="false">IF(Y7&gt;0,P7/Y7,"")</f>
        <v/>
      </c>
      <c r="AA7" s="32" t="n">
        <f aca="false">Channels!U7</f>
        <v>2.6294625</v>
      </c>
    </row>
    <row r="8" customFormat="false" ht="15" hidden="false" customHeight="false" outlineLevel="0" collapsed="false">
      <c r="A8" s="2" t="str">
        <f aca="false">Channels!A8</f>
        <v>C04</v>
      </c>
      <c r="B8" s="2" t="str">
        <f aca="false">Channels!B8</f>
        <v>Organic (Tesla careers, BA Jobbörse, Google for Jobs)</v>
      </c>
      <c r="C8" s="2" t="str">
        <f aca="false">Channels!C8</f>
        <v>Supervisors</v>
      </c>
      <c r="D8" s="43" t="n">
        <f aca="false">Channels!H8</f>
        <v>0</v>
      </c>
      <c r="E8" s="30" t="n">
        <f aca="false">Channels!I8</f>
        <v>0.161</v>
      </c>
      <c r="F8" s="41" t="n">
        <f aca="false">Channels!O8</f>
        <v>0</v>
      </c>
      <c r="G8" s="18"/>
      <c r="H8" s="15"/>
      <c r="I8" s="15"/>
      <c r="J8" s="18"/>
      <c r="K8" s="15"/>
      <c r="L8" s="15"/>
      <c r="M8" s="18"/>
      <c r="N8" s="15"/>
      <c r="O8" s="15"/>
      <c r="P8" s="41" t="n">
        <f aca="false">G8+J8+M8</f>
        <v>0</v>
      </c>
      <c r="Q8" s="29" t="n">
        <f aca="false">H8+K8+N8</f>
        <v>0</v>
      </c>
      <c r="R8" s="29" t="n">
        <f aca="false">I8+L8+O8</f>
        <v>0</v>
      </c>
      <c r="S8" s="43" t="str">
        <f aca="false">IF(Q8&gt;0,P8/Q8,"")</f>
        <v/>
      </c>
      <c r="T8" s="30" t="str">
        <f aca="false">IF(Q8&gt;0,R8/Q8,"")</f>
        <v/>
      </c>
      <c r="U8" s="30" t="n">
        <f aca="false">IF(AND(OR(P8&gt;=Assumptions!$D$83,Q8&gt;=Assumptions!$D$84),R8&gt;0),R8/Q8,E8)</f>
        <v>0.161</v>
      </c>
      <c r="V8" s="41" t="n">
        <f aca="false">IF(U8&gt;0,IF(AND(OR(P8&gt;=Assumptions!$D$83,Q8&gt;=Assumptions!$D$84),Q8&gt;0),S8,D8)/U8,0)</f>
        <v>0</v>
      </c>
      <c r="W8" s="52" t="str">
        <f aca="false">IF(F8&gt;0,V8/F8,"")</f>
        <v/>
      </c>
      <c r="X8" s="2" t="str">
        <f aca="false">IF(D8=0,"Free – monitor quality",IF(F8=0,"SWITCH OFF – plan expects no qualified applicants",IF(AND(P8&lt;Assumptions!$D$83,Q8&lt;Assumptions!$D$84),"Wait – too little data",IF(OR(W8&gt;=Assumptions!$D$87,AND(R8=0,P8&gt;=Assumptions!$D$88,Q8&gt;=Assumptions!$D$84)),"SWITCH OFF",IF(W8&gt;=Assumptions!$D$86,"CUT 50%",IF(W8&lt;=Assumptions!$D$85,"ADD +"&amp;TEXT(Assumptions!$D$96,"0%")&amp;" (if slots free)","HOLD"))))))</f>
        <v>Free – monitor quality</v>
      </c>
      <c r="Y8" s="15"/>
      <c r="Z8" s="41" t="str">
        <f aca="false">IF(Y8&gt;0,P8/Y8,"")</f>
        <v/>
      </c>
      <c r="AA8" s="32" t="n">
        <f aca="false">Channels!U8</f>
        <v>1.34113</v>
      </c>
    </row>
    <row r="9" customFormat="false" ht="15" hidden="false" customHeight="false" outlineLevel="0" collapsed="false">
      <c r="A9" s="2" t="str">
        <f aca="false">Channels!A9</f>
        <v>C05</v>
      </c>
      <c r="B9" s="2" t="str">
        <f aca="false">Channels!B9</f>
        <v>Programmatic job ads (Joveo: Indeed, Jooble, Talent.com, Kimeta, meinestadt…)</v>
      </c>
      <c r="C9" s="2" t="str">
        <f aca="false">Channels!C9</f>
        <v>Electricians</v>
      </c>
      <c r="D9" s="43" t="n">
        <f aca="false">Channels!H9</f>
        <v>161</v>
      </c>
      <c r="E9" s="30" t="n">
        <f aca="false">Channels!I9</f>
        <v>0.225</v>
      </c>
      <c r="F9" s="41" t="n">
        <f aca="false">Channels!O9</f>
        <v>715.555555555556</v>
      </c>
      <c r="G9" s="18"/>
      <c r="H9" s="15"/>
      <c r="I9" s="15"/>
      <c r="J9" s="18"/>
      <c r="K9" s="15"/>
      <c r="L9" s="15"/>
      <c r="M9" s="18"/>
      <c r="N9" s="15"/>
      <c r="O9" s="15"/>
      <c r="P9" s="41" t="n">
        <f aca="false">G9+J9+M9</f>
        <v>0</v>
      </c>
      <c r="Q9" s="29" t="n">
        <f aca="false">H9+K9+N9</f>
        <v>0</v>
      </c>
      <c r="R9" s="29" t="n">
        <f aca="false">I9+L9+O9</f>
        <v>0</v>
      </c>
      <c r="S9" s="43" t="str">
        <f aca="false">IF(Q9&gt;0,P9/Q9,"")</f>
        <v/>
      </c>
      <c r="T9" s="30" t="str">
        <f aca="false">IF(Q9&gt;0,R9/Q9,"")</f>
        <v/>
      </c>
      <c r="U9" s="30" t="n">
        <f aca="false">IF(AND(OR(P9&gt;=Assumptions!$D$83,Q9&gt;=Assumptions!$D$84),R9&gt;0),R9/Q9,E9)</f>
        <v>0.225</v>
      </c>
      <c r="V9" s="41" t="n">
        <f aca="false">IF(U9&gt;0,IF(AND(OR(P9&gt;=Assumptions!$D$83,Q9&gt;=Assumptions!$D$84),Q9&gt;0),S9,D9)/U9,0)</f>
        <v>715.555555555556</v>
      </c>
      <c r="W9" s="52" t="n">
        <f aca="false">IF(F9&gt;0,V9/F9,"")</f>
        <v>1</v>
      </c>
      <c r="X9" s="2" t="str">
        <f aca="false">IF(D9=0,"Free – monitor quality",IF(F9=0,"SWITCH OFF – plan expects no qualified applicants",IF(AND(P9&lt;Assumptions!$D$83,Q9&lt;Assumptions!$D$84),"Wait – too little data",IF(OR(W9&gt;=Assumptions!$D$87,AND(R9=0,P9&gt;=Assumptions!$D$88,Q9&gt;=Assumptions!$D$84)),"SWITCH OFF",IF(W9&gt;=Assumptions!$D$86,"CUT 50%",IF(W9&lt;=Assumptions!$D$85,"ADD +"&amp;TEXT(Assumptions!$D$96,"0%")&amp;" (if slots free)","HOLD"))))))</f>
        <v>Wait – too little data</v>
      </c>
      <c r="Y9" s="15"/>
      <c r="Z9" s="41" t="str">
        <f aca="false">IF(Y9&gt;0,P9/Y9,"")</f>
        <v/>
      </c>
      <c r="AA9" s="32" t="n">
        <f aca="false">Channels!U9</f>
        <v>8.95534807960894</v>
      </c>
    </row>
    <row r="10" customFormat="false" ht="15" hidden="false" customHeight="false" outlineLevel="0" collapsed="false">
      <c r="A10" s="2" t="str">
        <f aca="false">Channels!A10</f>
        <v>C06</v>
      </c>
      <c r="B10" s="2" t="str">
        <f aca="false">Channels!B10</f>
        <v>Programmatic job ads (Joveo: Indeed, Jooble, Talent.com, Kimeta, meinestadt…)</v>
      </c>
      <c r="C10" s="2" t="str">
        <f aca="false">Channels!C10</f>
        <v>Mechatronics</v>
      </c>
      <c r="D10" s="43" t="n">
        <f aca="false">Channels!H10</f>
        <v>161</v>
      </c>
      <c r="E10" s="30" t="n">
        <f aca="false">Channels!I10</f>
        <v>0.225</v>
      </c>
      <c r="F10" s="41" t="n">
        <f aca="false">Channels!O10</f>
        <v>715.555555555556</v>
      </c>
      <c r="G10" s="18"/>
      <c r="H10" s="15"/>
      <c r="I10" s="15"/>
      <c r="J10" s="18"/>
      <c r="K10" s="15"/>
      <c r="L10" s="15"/>
      <c r="M10" s="18"/>
      <c r="N10" s="15"/>
      <c r="O10" s="15"/>
      <c r="P10" s="41" t="n">
        <f aca="false">G10+J10+M10</f>
        <v>0</v>
      </c>
      <c r="Q10" s="29" t="n">
        <f aca="false">H10+K10+N10</f>
        <v>0</v>
      </c>
      <c r="R10" s="29" t="n">
        <f aca="false">I10+L10+O10</f>
        <v>0</v>
      </c>
      <c r="S10" s="43" t="str">
        <f aca="false">IF(Q10&gt;0,P10/Q10,"")</f>
        <v/>
      </c>
      <c r="T10" s="30" t="str">
        <f aca="false">IF(Q10&gt;0,R10/Q10,"")</f>
        <v/>
      </c>
      <c r="U10" s="30" t="n">
        <f aca="false">IF(AND(OR(P10&gt;=Assumptions!$D$83,Q10&gt;=Assumptions!$D$84),R10&gt;0),R10/Q10,E10)</f>
        <v>0.225</v>
      </c>
      <c r="V10" s="41" t="n">
        <f aca="false">IF(U10&gt;0,IF(AND(OR(P10&gt;=Assumptions!$D$83,Q10&gt;=Assumptions!$D$84),Q10&gt;0),S10,D10)/U10,0)</f>
        <v>715.555555555556</v>
      </c>
      <c r="W10" s="52" t="n">
        <f aca="false">IF(F10&gt;0,V10/F10,"")</f>
        <v>1</v>
      </c>
      <c r="X10" s="2" t="str">
        <f aca="false">IF(D10=0,"Free – monitor quality",IF(F10=0,"SWITCH OFF – plan expects no qualified applicants",IF(AND(P10&lt;Assumptions!$D$83,Q10&lt;Assumptions!$D$84),"Wait – too little data",IF(OR(W10&gt;=Assumptions!$D$87,AND(R10=0,P10&gt;=Assumptions!$D$88,Q10&gt;=Assumptions!$D$84)),"SWITCH OFF",IF(W10&gt;=Assumptions!$D$86,"CUT 50%",IF(W10&lt;=Assumptions!$D$85,"ADD +"&amp;TEXT(Assumptions!$D$96,"0%")&amp;" (if slots free)","HOLD"))))))</f>
        <v>Wait – too little data</v>
      </c>
      <c r="Y10" s="15"/>
      <c r="Z10" s="41" t="str">
        <f aca="false">IF(Y10&gt;0,P10/Y10,"")</f>
        <v/>
      </c>
      <c r="AA10" s="32" t="n">
        <f aca="false">Channels!U10</f>
        <v>7.17620827239625</v>
      </c>
    </row>
    <row r="11" customFormat="false" ht="15" hidden="false" customHeight="false" outlineLevel="0" collapsed="false">
      <c r="A11" s="2" t="str">
        <f aca="false">Channels!A11</f>
        <v>C07</v>
      </c>
      <c r="B11" s="2" t="str">
        <f aca="false">Channels!B11</f>
        <v>Programmatic job ads (Joveo: Indeed, Jooble, Talent.com, Kimeta, meinestadt…)</v>
      </c>
      <c r="C11" s="2" t="str">
        <f aca="false">Channels!C11</f>
        <v>Automation</v>
      </c>
      <c r="D11" s="43" t="n">
        <f aca="false">Channels!H11</f>
        <v>161</v>
      </c>
      <c r="E11" s="30" t="n">
        <f aca="false">Channels!I11</f>
        <v>0.225</v>
      </c>
      <c r="F11" s="41" t="n">
        <f aca="false">Channels!O11</f>
        <v>715.555555555556</v>
      </c>
      <c r="G11" s="18"/>
      <c r="H11" s="15"/>
      <c r="I11" s="15"/>
      <c r="J11" s="18"/>
      <c r="K11" s="15"/>
      <c r="L11" s="15"/>
      <c r="M11" s="18"/>
      <c r="N11" s="15"/>
      <c r="O11" s="15"/>
      <c r="P11" s="41" t="n">
        <f aca="false">G11+J11+M11</f>
        <v>0</v>
      </c>
      <c r="Q11" s="29" t="n">
        <f aca="false">H11+K11+N11</f>
        <v>0</v>
      </c>
      <c r="R11" s="29" t="n">
        <f aca="false">I11+L11+O11</f>
        <v>0</v>
      </c>
      <c r="S11" s="43" t="str">
        <f aca="false">IF(Q11&gt;0,P11/Q11,"")</f>
        <v/>
      </c>
      <c r="T11" s="30" t="str">
        <f aca="false">IF(Q11&gt;0,R11/Q11,"")</f>
        <v/>
      </c>
      <c r="U11" s="30" t="n">
        <f aca="false">IF(AND(OR(P11&gt;=Assumptions!$D$83,Q11&gt;=Assumptions!$D$84),R11&gt;0),R11/Q11,E11)</f>
        <v>0.225</v>
      </c>
      <c r="V11" s="41" t="n">
        <f aca="false">IF(U11&gt;0,IF(AND(OR(P11&gt;=Assumptions!$D$83,Q11&gt;=Assumptions!$D$84),Q11&gt;0),S11,D11)/U11,0)</f>
        <v>715.555555555556</v>
      </c>
      <c r="W11" s="52" t="n">
        <f aca="false">IF(F11&gt;0,V11/F11,"")</f>
        <v>1</v>
      </c>
      <c r="X11" s="2" t="str">
        <f aca="false">IF(D11=0,"Free – monitor quality",IF(F11=0,"SWITCH OFF – plan expects no qualified applicants",IF(AND(P11&lt;Assumptions!$D$83,Q11&lt;Assumptions!$D$84),"Wait – too little data",IF(OR(W11&gt;=Assumptions!$D$87,AND(R11=0,P11&gt;=Assumptions!$D$88,Q11&gt;=Assumptions!$D$84)),"SWITCH OFF",IF(W11&gt;=Assumptions!$D$86,"CUT 50%",IF(W11&lt;=Assumptions!$D$85,"ADD +"&amp;TEXT(Assumptions!$D$96,"0%")&amp;" (if slots free)","HOLD"))))))</f>
        <v>Wait – too little data</v>
      </c>
      <c r="Y11" s="15"/>
      <c r="Z11" s="41" t="str">
        <f aca="false">IF(Y11&gt;0,P11/Y11,"")</f>
        <v/>
      </c>
      <c r="AA11" s="32" t="n">
        <f aca="false">Channels!U11</f>
        <v>0.297146739130435</v>
      </c>
    </row>
    <row r="12" customFormat="false" ht="15" hidden="false" customHeight="false" outlineLevel="0" collapsed="false">
      <c r="A12" s="2" t="str">
        <f aca="false">Channels!A12</f>
        <v>C08</v>
      </c>
      <c r="B12" s="2" t="str">
        <f aca="false">Channels!B12</f>
        <v>Programmatic job ads (Joveo: Indeed, Jooble, Talent.com, Kimeta, meinestadt…)</v>
      </c>
      <c r="C12" s="2" t="str">
        <f aca="false">Channels!C12</f>
        <v>Supervisors</v>
      </c>
      <c r="D12" s="43" t="n">
        <f aca="false">Channels!H12</f>
        <v>161</v>
      </c>
      <c r="E12" s="30" t="n">
        <f aca="false">Channels!I12</f>
        <v>0.207</v>
      </c>
      <c r="F12" s="41" t="n">
        <f aca="false">Channels!O12</f>
        <v>777.777777777778</v>
      </c>
      <c r="G12" s="18"/>
      <c r="H12" s="15"/>
      <c r="I12" s="15"/>
      <c r="J12" s="18"/>
      <c r="K12" s="15"/>
      <c r="L12" s="15"/>
      <c r="M12" s="18"/>
      <c r="N12" s="15"/>
      <c r="O12" s="15"/>
      <c r="P12" s="41" t="n">
        <f aca="false">G12+J12+M12</f>
        <v>0</v>
      </c>
      <c r="Q12" s="29" t="n">
        <f aca="false">H12+K12+N12</f>
        <v>0</v>
      </c>
      <c r="R12" s="29" t="n">
        <f aca="false">I12+L12+O12</f>
        <v>0</v>
      </c>
      <c r="S12" s="43" t="str">
        <f aca="false">IF(Q12&gt;0,P12/Q12,"")</f>
        <v/>
      </c>
      <c r="T12" s="30" t="str">
        <f aca="false">IF(Q12&gt;0,R12/Q12,"")</f>
        <v/>
      </c>
      <c r="U12" s="30" t="n">
        <f aca="false">IF(AND(OR(P12&gt;=Assumptions!$D$83,Q12&gt;=Assumptions!$D$84),R12&gt;0),R12/Q12,E12)</f>
        <v>0.207</v>
      </c>
      <c r="V12" s="41" t="n">
        <f aca="false">IF(U12&gt;0,IF(AND(OR(P12&gt;=Assumptions!$D$83,Q12&gt;=Assumptions!$D$84),Q12&gt;0),S12,D12)/U12,0)</f>
        <v>777.777777777778</v>
      </c>
      <c r="W12" s="52" t="n">
        <f aca="false">IF(F12&gt;0,V12/F12,"")</f>
        <v>1</v>
      </c>
      <c r="X12" s="2" t="str">
        <f aca="false">IF(D12=0,"Free – monitor quality",IF(F12=0,"SWITCH OFF – plan expects no qualified applicants",IF(AND(P12&lt;Assumptions!$D$83,Q12&lt;Assumptions!$D$84),"Wait – too little data",IF(OR(W12&gt;=Assumptions!$D$87,AND(R12=0,P12&gt;=Assumptions!$D$88,Q12&gt;=Assumptions!$D$84)),"SWITCH OFF",IF(W12&gt;=Assumptions!$D$86,"CUT 50%",IF(W12&lt;=Assumptions!$D$85,"ADD +"&amp;TEXT(Assumptions!$D$96,"0%")&amp;" (if slots free)","HOLD"))))))</f>
        <v>Wait – too little data</v>
      </c>
      <c r="Y12" s="15"/>
      <c r="Z12" s="41" t="str">
        <f aca="false">IF(Y12&gt;0,P12/Y12,"")</f>
        <v/>
      </c>
      <c r="AA12" s="32" t="n">
        <f aca="false">Channels!U12</f>
        <v>0.2295</v>
      </c>
    </row>
    <row r="13" customFormat="false" ht="15" hidden="false" customHeight="false" outlineLevel="0" collapsed="false">
      <c r="A13" s="2" t="str">
        <f aca="false">Channels!A13</f>
        <v>C09</v>
      </c>
      <c r="B13" s="2" t="str">
        <f aca="false">Channels!B13</f>
        <v>StepStone (30-day single ad)</v>
      </c>
      <c r="C13" s="2" t="str">
        <f aca="false">Channels!C13</f>
        <v>Electricians</v>
      </c>
      <c r="D13" s="43" t="n">
        <f aca="false">Channels!H13</f>
        <v>120.75</v>
      </c>
      <c r="E13" s="30" t="n">
        <f aca="false">Channels!I13</f>
        <v>0.225</v>
      </c>
      <c r="F13" s="41" t="n">
        <f aca="false">Channels!O13</f>
        <v>536.666666666667</v>
      </c>
      <c r="G13" s="18"/>
      <c r="H13" s="15"/>
      <c r="I13" s="15"/>
      <c r="J13" s="18"/>
      <c r="K13" s="15"/>
      <c r="L13" s="15"/>
      <c r="M13" s="18"/>
      <c r="N13" s="15"/>
      <c r="O13" s="15"/>
      <c r="P13" s="41" t="n">
        <f aca="false">G13+J13+M13</f>
        <v>0</v>
      </c>
      <c r="Q13" s="29" t="n">
        <f aca="false">H13+K13+N13</f>
        <v>0</v>
      </c>
      <c r="R13" s="29" t="n">
        <f aca="false">I13+L13+O13</f>
        <v>0</v>
      </c>
      <c r="S13" s="43" t="str">
        <f aca="false">IF(Q13&gt;0,P13/Q13,"")</f>
        <v/>
      </c>
      <c r="T13" s="30" t="str">
        <f aca="false">IF(Q13&gt;0,R13/Q13,"")</f>
        <v/>
      </c>
      <c r="U13" s="30" t="n">
        <f aca="false">IF(AND(OR(P13&gt;=Assumptions!$D$83,Q13&gt;=Assumptions!$D$84),R13&gt;0),R13/Q13,E13)</f>
        <v>0.225</v>
      </c>
      <c r="V13" s="41" t="n">
        <f aca="false">IF(U13&gt;0,IF(AND(OR(P13&gt;=Assumptions!$D$83,Q13&gt;=Assumptions!$D$84),Q13&gt;0),S13,D13)/U13,0)</f>
        <v>536.666666666667</v>
      </c>
      <c r="W13" s="52" t="n">
        <f aca="false">IF(F13&gt;0,V13/F13,"")</f>
        <v>1</v>
      </c>
      <c r="X13" s="2" t="str">
        <f aca="false">IF(D13=0,"Free – monitor quality",IF(F13=0,"SWITCH OFF – plan expects no qualified applicants",IF(AND(P13&lt;Assumptions!$D$83,Q13&lt;Assumptions!$D$84),"Wait – too little data",IF(OR(W13&gt;=Assumptions!$D$87,AND(R13=0,P13&gt;=Assumptions!$D$88,Q13&gt;=Assumptions!$D$84)),"SWITCH OFF",IF(W13&gt;=Assumptions!$D$86,"CUT 50%",IF(W13&lt;=Assumptions!$D$85,"ADD +"&amp;TEXT(Assumptions!$D$96,"0%")&amp;" (if slots free)","HOLD"))))))</f>
        <v>Wait – too little data</v>
      </c>
      <c r="Y13" s="15"/>
      <c r="Z13" s="41" t="str">
        <f aca="false">IF(Y13&gt;0,P13/Y13,"")</f>
        <v/>
      </c>
      <c r="AA13" s="32" t="n">
        <f aca="false">Channels!U13</f>
        <v>1.701</v>
      </c>
    </row>
    <row r="14" customFormat="false" ht="15" hidden="false" customHeight="false" outlineLevel="0" collapsed="false">
      <c r="A14" s="2" t="str">
        <f aca="false">Channels!A14</f>
        <v>C10</v>
      </c>
      <c r="B14" s="2" t="str">
        <f aca="false">Channels!B14</f>
        <v>StepStone (30-day single ad)</v>
      </c>
      <c r="C14" s="2" t="str">
        <f aca="false">Channels!C14</f>
        <v>Mechatronics</v>
      </c>
      <c r="D14" s="43" t="n">
        <f aca="false">Channels!H14</f>
        <v>120.75</v>
      </c>
      <c r="E14" s="30" t="n">
        <f aca="false">Channels!I14</f>
        <v>0.225</v>
      </c>
      <c r="F14" s="41" t="n">
        <f aca="false">Channels!O14</f>
        <v>536.666666666667</v>
      </c>
      <c r="G14" s="18"/>
      <c r="H14" s="15"/>
      <c r="I14" s="15"/>
      <c r="J14" s="18"/>
      <c r="K14" s="15"/>
      <c r="L14" s="15"/>
      <c r="M14" s="18"/>
      <c r="N14" s="15"/>
      <c r="O14" s="15"/>
      <c r="P14" s="41" t="n">
        <f aca="false">G14+J14+M14</f>
        <v>0</v>
      </c>
      <c r="Q14" s="29" t="n">
        <f aca="false">H14+K14+N14</f>
        <v>0</v>
      </c>
      <c r="R14" s="29" t="n">
        <f aca="false">I14+L14+O14</f>
        <v>0</v>
      </c>
      <c r="S14" s="43" t="str">
        <f aca="false">IF(Q14&gt;0,P14/Q14,"")</f>
        <v/>
      </c>
      <c r="T14" s="30" t="str">
        <f aca="false">IF(Q14&gt;0,R14/Q14,"")</f>
        <v/>
      </c>
      <c r="U14" s="30" t="n">
        <f aca="false">IF(AND(OR(P14&gt;=Assumptions!$D$83,Q14&gt;=Assumptions!$D$84),R14&gt;0),R14/Q14,E14)</f>
        <v>0.225</v>
      </c>
      <c r="V14" s="41" t="n">
        <f aca="false">IF(U14&gt;0,IF(AND(OR(P14&gt;=Assumptions!$D$83,Q14&gt;=Assumptions!$D$84),Q14&gt;0),S14,D14)/U14,0)</f>
        <v>536.666666666667</v>
      </c>
      <c r="W14" s="52" t="n">
        <f aca="false">IF(F14&gt;0,V14/F14,"")</f>
        <v>1</v>
      </c>
      <c r="X14" s="2" t="str">
        <f aca="false">IF(D14=0,"Free – monitor quality",IF(F14=0,"SWITCH OFF – plan expects no qualified applicants",IF(AND(P14&lt;Assumptions!$D$83,Q14&lt;Assumptions!$D$84),"Wait – too little data",IF(OR(W14&gt;=Assumptions!$D$87,AND(R14=0,P14&gt;=Assumptions!$D$88,Q14&gt;=Assumptions!$D$84)),"SWITCH OFF",IF(W14&gt;=Assumptions!$D$86,"CUT 50%",IF(W14&lt;=Assumptions!$D$85,"ADD +"&amp;TEXT(Assumptions!$D$96,"0%")&amp;" (if slots free)","HOLD"))))))</f>
        <v>Wait – too little data</v>
      </c>
      <c r="Y14" s="15"/>
      <c r="Z14" s="41" t="str">
        <f aca="false">IF(Y14&gt;0,P14/Y14,"")</f>
        <v/>
      </c>
      <c r="AA14" s="32" t="n">
        <f aca="false">Channels!U14</f>
        <v>2.00475</v>
      </c>
    </row>
    <row r="15" customFormat="false" ht="15" hidden="false" customHeight="false" outlineLevel="0" collapsed="false">
      <c r="A15" s="2" t="str">
        <f aca="false">Channels!A15</f>
        <v>C11</v>
      </c>
      <c r="B15" s="2" t="str">
        <f aca="false">Channels!B15</f>
        <v>StepStone (30-day single ad)</v>
      </c>
      <c r="C15" s="2" t="str">
        <f aca="false">Channels!C15</f>
        <v>Automation</v>
      </c>
      <c r="D15" s="43" t="n">
        <f aca="false">Channels!H15</f>
        <v>120.75</v>
      </c>
      <c r="E15" s="30" t="n">
        <f aca="false">Channels!I15</f>
        <v>0.225</v>
      </c>
      <c r="F15" s="41" t="n">
        <f aca="false">Channels!O15</f>
        <v>536.666666666667</v>
      </c>
      <c r="G15" s="18"/>
      <c r="H15" s="15"/>
      <c r="I15" s="15"/>
      <c r="J15" s="18"/>
      <c r="K15" s="15"/>
      <c r="L15" s="15"/>
      <c r="M15" s="18"/>
      <c r="N15" s="15"/>
      <c r="O15" s="15"/>
      <c r="P15" s="41" t="n">
        <f aca="false">G15+J15+M15</f>
        <v>0</v>
      </c>
      <c r="Q15" s="29" t="n">
        <f aca="false">H15+K15+N15</f>
        <v>0</v>
      </c>
      <c r="R15" s="29" t="n">
        <f aca="false">I15+L15+O15</f>
        <v>0</v>
      </c>
      <c r="S15" s="43" t="str">
        <f aca="false">IF(Q15&gt;0,P15/Q15,"")</f>
        <v/>
      </c>
      <c r="T15" s="30" t="str">
        <f aca="false">IF(Q15&gt;0,R15/Q15,"")</f>
        <v/>
      </c>
      <c r="U15" s="30" t="n">
        <f aca="false">IF(AND(OR(P15&gt;=Assumptions!$D$83,Q15&gt;=Assumptions!$D$84),R15&gt;0),R15/Q15,E15)</f>
        <v>0.225</v>
      </c>
      <c r="V15" s="41" t="n">
        <f aca="false">IF(U15&gt;0,IF(AND(OR(P15&gt;=Assumptions!$D$83,Q15&gt;=Assumptions!$D$84),Q15&gt;0),S15,D15)/U15,0)</f>
        <v>536.666666666667</v>
      </c>
      <c r="W15" s="52" t="n">
        <f aca="false">IF(F15&gt;0,V15/F15,"")</f>
        <v>1</v>
      </c>
      <c r="X15" s="2" t="str">
        <f aca="false">IF(D15=0,"Free – monitor quality",IF(F15=0,"SWITCH OFF – plan expects no qualified applicants",IF(AND(P15&lt;Assumptions!$D$83,Q15&lt;Assumptions!$D$84),"Wait – too little data",IF(OR(W15&gt;=Assumptions!$D$87,AND(R15=0,P15&gt;=Assumptions!$D$88,Q15&gt;=Assumptions!$D$84)),"SWITCH OFF",IF(W15&gt;=Assumptions!$D$86,"CUT 50%",IF(W15&lt;=Assumptions!$D$85,"ADD +"&amp;TEXT(Assumptions!$D$96,"0%")&amp;" (if slots free)","HOLD"))))))</f>
        <v>Wait – too little data</v>
      </c>
      <c r="Y15" s="15"/>
      <c r="Z15" s="41" t="str">
        <f aca="false">IF(Y15&gt;0,P15/Y15,"")</f>
        <v/>
      </c>
      <c r="AA15" s="32" t="n">
        <f aca="false">Channels!U15</f>
        <v>0</v>
      </c>
    </row>
    <row r="16" customFormat="false" ht="15" hidden="false" customHeight="false" outlineLevel="0" collapsed="false">
      <c r="A16" s="2" t="str">
        <f aca="false">Channels!A16</f>
        <v>C12</v>
      </c>
      <c r="B16" s="2" t="str">
        <f aca="false">Channels!B16</f>
        <v>StepStone (30-day single ad)</v>
      </c>
      <c r="C16" s="2" t="str">
        <f aca="false">Channels!C16</f>
        <v>Supervisors</v>
      </c>
      <c r="D16" s="43" t="n">
        <f aca="false">Channels!H16</f>
        <v>120.75</v>
      </c>
      <c r="E16" s="30" t="n">
        <f aca="false">Channels!I16</f>
        <v>0.207</v>
      </c>
      <c r="F16" s="41" t="n">
        <f aca="false">Channels!O16</f>
        <v>583.333333333333</v>
      </c>
      <c r="G16" s="18"/>
      <c r="H16" s="15"/>
      <c r="I16" s="15"/>
      <c r="J16" s="18"/>
      <c r="K16" s="15"/>
      <c r="L16" s="15"/>
      <c r="M16" s="18"/>
      <c r="N16" s="15"/>
      <c r="O16" s="15"/>
      <c r="P16" s="41" t="n">
        <f aca="false">G16+J16+M16</f>
        <v>0</v>
      </c>
      <c r="Q16" s="29" t="n">
        <f aca="false">H16+K16+N16</f>
        <v>0</v>
      </c>
      <c r="R16" s="29" t="n">
        <f aca="false">I16+L16+O16</f>
        <v>0</v>
      </c>
      <c r="S16" s="43" t="str">
        <f aca="false">IF(Q16&gt;0,P16/Q16,"")</f>
        <v/>
      </c>
      <c r="T16" s="30" t="str">
        <f aca="false">IF(Q16&gt;0,R16/Q16,"")</f>
        <v/>
      </c>
      <c r="U16" s="30" t="n">
        <f aca="false">IF(AND(OR(P16&gt;=Assumptions!$D$83,Q16&gt;=Assumptions!$D$84),R16&gt;0),R16/Q16,E16)</f>
        <v>0.207</v>
      </c>
      <c r="V16" s="41" t="n">
        <f aca="false">IF(U16&gt;0,IF(AND(OR(P16&gt;=Assumptions!$D$83,Q16&gt;=Assumptions!$D$84),Q16&gt;0),S16,D16)/U16,0)</f>
        <v>583.333333333333</v>
      </c>
      <c r="W16" s="52" t="n">
        <f aca="false">IF(F16&gt;0,V16/F16,"")</f>
        <v>1</v>
      </c>
      <c r="X16" s="2" t="str">
        <f aca="false">IF(D16=0,"Free – monitor quality",IF(F16=0,"SWITCH OFF – plan expects no qualified applicants",IF(AND(P16&lt;Assumptions!$D$83,Q16&lt;Assumptions!$D$84),"Wait – too little data",IF(OR(W16&gt;=Assumptions!$D$87,AND(R16=0,P16&gt;=Assumptions!$D$88,Q16&gt;=Assumptions!$D$84)),"SWITCH OFF",IF(W16&gt;=Assumptions!$D$86,"CUT 50%",IF(W16&lt;=Assumptions!$D$85,"ADD +"&amp;TEXT(Assumptions!$D$96,"0%")&amp;" (if slots free)","HOLD"))))))</f>
        <v>Wait – too little data</v>
      </c>
      <c r="Y16" s="15"/>
      <c r="Z16" s="41" t="str">
        <f aca="false">IF(Y16&gt;0,P16/Y16,"")</f>
        <v/>
      </c>
      <c r="AA16" s="32" t="n">
        <f aca="false">Channels!U16</f>
        <v>0</v>
      </c>
    </row>
    <row r="17" customFormat="false" ht="15" hidden="false" customHeight="false" outlineLevel="0" collapsed="false">
      <c r="A17" s="2" t="str">
        <f aca="false">Channels!A17</f>
        <v>C13</v>
      </c>
      <c r="B17" s="2" t="str">
        <f aca="false">Channels!B17</f>
        <v>LinkedIn (promoted jobs + InMail)</v>
      </c>
      <c r="C17" s="2" t="str">
        <f aca="false">Channels!C17</f>
        <v>Automation</v>
      </c>
      <c r="D17" s="43" t="n">
        <f aca="false">Channels!H17</f>
        <v>96</v>
      </c>
      <c r="E17" s="30" t="n">
        <f aca="false">Channels!I17</f>
        <v>0.225</v>
      </c>
      <c r="F17" s="41" t="n">
        <f aca="false">Channels!O17</f>
        <v>426.666666666667</v>
      </c>
      <c r="G17" s="18"/>
      <c r="H17" s="15"/>
      <c r="I17" s="15"/>
      <c r="J17" s="18"/>
      <c r="K17" s="15"/>
      <c r="L17" s="15"/>
      <c r="M17" s="18"/>
      <c r="N17" s="15"/>
      <c r="O17" s="15"/>
      <c r="P17" s="41" t="n">
        <f aca="false">G17+J17+M17</f>
        <v>0</v>
      </c>
      <c r="Q17" s="29" t="n">
        <f aca="false">H17+K17+N17</f>
        <v>0</v>
      </c>
      <c r="R17" s="29" t="n">
        <f aca="false">I17+L17+O17</f>
        <v>0</v>
      </c>
      <c r="S17" s="43" t="str">
        <f aca="false">IF(Q17&gt;0,P17/Q17,"")</f>
        <v/>
      </c>
      <c r="T17" s="30" t="str">
        <f aca="false">IF(Q17&gt;0,R17/Q17,"")</f>
        <v/>
      </c>
      <c r="U17" s="30" t="n">
        <f aca="false">IF(AND(OR(P17&gt;=Assumptions!$D$83,Q17&gt;=Assumptions!$D$84),R17&gt;0),R17/Q17,E17)</f>
        <v>0.225</v>
      </c>
      <c r="V17" s="41" t="n">
        <f aca="false">IF(U17&gt;0,IF(AND(OR(P17&gt;=Assumptions!$D$83,Q17&gt;=Assumptions!$D$84),Q17&gt;0),S17,D17)/U17,0)</f>
        <v>426.666666666667</v>
      </c>
      <c r="W17" s="52" t="n">
        <f aca="false">IF(F17&gt;0,V17/F17,"")</f>
        <v>1</v>
      </c>
      <c r="X17" s="2" t="str">
        <f aca="false">IF(D17=0,"Free – monitor quality",IF(F17=0,"SWITCH OFF – plan expects no qualified applicants",IF(AND(P17&lt;Assumptions!$D$83,Q17&lt;Assumptions!$D$84),"Wait – too little data",IF(OR(W17&gt;=Assumptions!$D$87,AND(R17=0,P17&gt;=Assumptions!$D$88,Q17&gt;=Assumptions!$D$84)),"SWITCH OFF",IF(W17&gt;=Assumptions!$D$86,"CUT 50%",IF(W17&lt;=Assumptions!$D$85,"ADD +"&amp;TEXT(Assumptions!$D$96,"0%")&amp;" (if slots free)","HOLD"))))))</f>
        <v>Wait – too little data</v>
      </c>
      <c r="Y17" s="15"/>
      <c r="Z17" s="41" t="str">
        <f aca="false">IF(Y17&gt;0,P17/Y17,"")</f>
        <v/>
      </c>
      <c r="AA17" s="32" t="n">
        <f aca="false">Channels!U17</f>
        <v>9.50835640751761</v>
      </c>
    </row>
    <row r="18" customFormat="false" ht="15" hidden="false" customHeight="false" outlineLevel="0" collapsed="false">
      <c r="A18" s="2" t="str">
        <f aca="false">Channels!A18</f>
        <v>C14</v>
      </c>
      <c r="B18" s="2" t="str">
        <f aca="false">Channels!B18</f>
        <v>LinkedIn (promoted jobs + InMail)</v>
      </c>
      <c r="C18" s="2" t="str">
        <f aca="false">Channels!C18</f>
        <v>Supervisors</v>
      </c>
      <c r="D18" s="43" t="n">
        <f aca="false">Channels!H18</f>
        <v>96</v>
      </c>
      <c r="E18" s="30" t="n">
        <f aca="false">Channels!I18</f>
        <v>0.207</v>
      </c>
      <c r="F18" s="41" t="n">
        <f aca="false">Channels!O18</f>
        <v>463.768115942029</v>
      </c>
      <c r="G18" s="18"/>
      <c r="H18" s="15"/>
      <c r="I18" s="15"/>
      <c r="J18" s="18"/>
      <c r="K18" s="15"/>
      <c r="L18" s="15"/>
      <c r="M18" s="18"/>
      <c r="N18" s="15"/>
      <c r="O18" s="15"/>
      <c r="P18" s="41" t="n">
        <f aca="false">G18+J18+M18</f>
        <v>0</v>
      </c>
      <c r="Q18" s="29" t="n">
        <f aca="false">H18+K18+N18</f>
        <v>0</v>
      </c>
      <c r="R18" s="29" t="n">
        <f aca="false">I18+L18+O18</f>
        <v>0</v>
      </c>
      <c r="S18" s="43" t="str">
        <f aca="false">IF(Q18&gt;0,P18/Q18,"")</f>
        <v/>
      </c>
      <c r="T18" s="30" t="str">
        <f aca="false">IF(Q18&gt;0,R18/Q18,"")</f>
        <v/>
      </c>
      <c r="U18" s="30" t="n">
        <f aca="false">IF(AND(OR(P18&gt;=Assumptions!$D$83,Q18&gt;=Assumptions!$D$84),R18&gt;0),R18/Q18,E18)</f>
        <v>0.207</v>
      </c>
      <c r="V18" s="41" t="n">
        <f aca="false">IF(U18&gt;0,IF(AND(OR(P18&gt;=Assumptions!$D$83,Q18&gt;=Assumptions!$D$84),Q18&gt;0),S18,D18)/U18,0)</f>
        <v>463.768115942029</v>
      </c>
      <c r="W18" s="52" t="n">
        <f aca="false">IF(F18&gt;0,V18/F18,"")</f>
        <v>1</v>
      </c>
      <c r="X18" s="2" t="str">
        <f aca="false">IF(D18=0,"Free – monitor quality",IF(F18=0,"SWITCH OFF – plan expects no qualified applicants",IF(AND(P18&lt;Assumptions!$D$83,Q18&lt;Assumptions!$D$84),"Wait – too little data",IF(OR(W18&gt;=Assumptions!$D$87,AND(R18=0,P18&gt;=Assumptions!$D$88,Q18&gt;=Assumptions!$D$84)),"SWITCH OFF",IF(W18&gt;=Assumptions!$D$86,"CUT 50%",IF(W18&lt;=Assumptions!$D$85,"ADD +"&amp;TEXT(Assumptions!$D$96,"0%")&amp;" (if slots free)","HOLD"))))))</f>
        <v>Wait – too little data</v>
      </c>
      <c r="Y18" s="15"/>
      <c r="Z18" s="41" t="str">
        <f aca="false">IF(Y18&gt;0,P18/Y18,"")</f>
        <v/>
      </c>
      <c r="AA18" s="32" t="n">
        <f aca="false">Channels!U18</f>
        <v>6.63483072067039</v>
      </c>
    </row>
    <row r="19" customFormat="false" ht="15" hidden="false" customHeight="false" outlineLevel="0" collapsed="false">
      <c r="A19" s="2" t="str">
        <f aca="false">Channels!A19</f>
        <v>C15</v>
      </c>
      <c r="B19" s="2" t="str">
        <f aca="false">Channels!B19</f>
        <v>Meta social (FB/IG lead ads, 75 km geo)</v>
      </c>
      <c r="C19" s="2" t="str">
        <f aca="false">Channels!C19</f>
        <v>Electricians</v>
      </c>
      <c r="D19" s="43" t="n">
        <f aca="false">Channels!H19</f>
        <v>84</v>
      </c>
      <c r="E19" s="30" t="n">
        <f aca="false">Channels!I19</f>
        <v>0.1025</v>
      </c>
      <c r="F19" s="41" t="n">
        <f aca="false">Channels!O19</f>
        <v>819.512195121951</v>
      </c>
      <c r="G19" s="18"/>
      <c r="H19" s="15"/>
      <c r="I19" s="15"/>
      <c r="J19" s="18"/>
      <c r="K19" s="15"/>
      <c r="L19" s="15"/>
      <c r="M19" s="18"/>
      <c r="N19" s="15"/>
      <c r="O19" s="15"/>
      <c r="P19" s="41" t="n">
        <f aca="false">G19+J19+M19</f>
        <v>0</v>
      </c>
      <c r="Q19" s="29" t="n">
        <f aca="false">H19+K19+N19</f>
        <v>0</v>
      </c>
      <c r="R19" s="29" t="n">
        <f aca="false">I19+L19+O19</f>
        <v>0</v>
      </c>
      <c r="S19" s="43" t="str">
        <f aca="false">IF(Q19&gt;0,P19/Q19,"")</f>
        <v/>
      </c>
      <c r="T19" s="30" t="str">
        <f aca="false">IF(Q19&gt;0,R19/Q19,"")</f>
        <v/>
      </c>
      <c r="U19" s="30" t="n">
        <f aca="false">IF(AND(OR(P19&gt;=Assumptions!$D$83,Q19&gt;=Assumptions!$D$84),R19&gt;0),R19/Q19,E19)</f>
        <v>0.1025</v>
      </c>
      <c r="V19" s="41" t="n">
        <f aca="false">IF(U19&gt;0,IF(AND(OR(P19&gt;=Assumptions!$D$83,Q19&gt;=Assumptions!$D$84),Q19&gt;0),S19,D19)/U19,0)</f>
        <v>819.512195121951</v>
      </c>
      <c r="W19" s="52" t="n">
        <f aca="false">IF(F19&gt;0,V19/F19,"")</f>
        <v>1</v>
      </c>
      <c r="X19" s="2" t="str">
        <f aca="false">IF(D19=0,"Free – monitor quality",IF(F19=0,"SWITCH OFF – plan expects no qualified applicants",IF(AND(P19&lt;Assumptions!$D$83,Q19&lt;Assumptions!$D$84),"Wait – too little data",IF(OR(W19&gt;=Assumptions!$D$87,AND(R19=0,P19&gt;=Assumptions!$D$88,Q19&gt;=Assumptions!$D$84)),"SWITCH OFF",IF(W19&gt;=Assumptions!$D$86,"CUT 50%",IF(W19&lt;=Assumptions!$D$85,"ADD +"&amp;TEXT(Assumptions!$D$96,"0%")&amp;" (if slots free)","HOLD"))))))</f>
        <v>Wait – too little data</v>
      </c>
      <c r="Y19" s="15"/>
      <c r="Z19" s="41" t="str">
        <f aca="false">IF(Y19&gt;0,P19/Y19,"")</f>
        <v/>
      </c>
      <c r="AA19" s="32" t="n">
        <f aca="false">Channels!U19</f>
        <v>0.28828125</v>
      </c>
    </row>
    <row r="20" customFormat="false" ht="15" hidden="false" customHeight="false" outlineLevel="0" collapsed="false">
      <c r="A20" s="2" t="str">
        <f aca="false">Channels!A20</f>
        <v>C16</v>
      </c>
      <c r="B20" s="2" t="str">
        <f aca="false">Channels!B20</f>
        <v>Meta social (FB/IG lead ads, 75 km geo)</v>
      </c>
      <c r="C20" s="2" t="str">
        <f aca="false">Channels!C20</f>
        <v>Mechatronics</v>
      </c>
      <c r="D20" s="43" t="n">
        <f aca="false">Channels!H20</f>
        <v>84</v>
      </c>
      <c r="E20" s="30" t="n">
        <f aca="false">Channels!I20</f>
        <v>0.1025</v>
      </c>
      <c r="F20" s="41" t="n">
        <f aca="false">Channels!O20</f>
        <v>819.512195121951</v>
      </c>
      <c r="G20" s="18"/>
      <c r="H20" s="15"/>
      <c r="I20" s="15"/>
      <c r="J20" s="18"/>
      <c r="K20" s="15"/>
      <c r="L20" s="15"/>
      <c r="M20" s="18"/>
      <c r="N20" s="15"/>
      <c r="O20" s="15"/>
      <c r="P20" s="41" t="n">
        <f aca="false">G20+J20+M20</f>
        <v>0</v>
      </c>
      <c r="Q20" s="29" t="n">
        <f aca="false">H20+K20+N20</f>
        <v>0</v>
      </c>
      <c r="R20" s="29" t="n">
        <f aca="false">I20+L20+O20</f>
        <v>0</v>
      </c>
      <c r="S20" s="43" t="str">
        <f aca="false">IF(Q20&gt;0,P20/Q20,"")</f>
        <v/>
      </c>
      <c r="T20" s="30" t="str">
        <f aca="false">IF(Q20&gt;0,R20/Q20,"")</f>
        <v/>
      </c>
      <c r="U20" s="30" t="n">
        <f aca="false">IF(AND(OR(P20&gt;=Assumptions!$D$83,Q20&gt;=Assumptions!$D$84),R20&gt;0),R20/Q20,E20)</f>
        <v>0.1025</v>
      </c>
      <c r="V20" s="41" t="n">
        <f aca="false">IF(U20&gt;0,IF(AND(OR(P20&gt;=Assumptions!$D$83,Q20&gt;=Assumptions!$D$84),Q20&gt;0),S20,D20)/U20,0)</f>
        <v>819.512195121951</v>
      </c>
      <c r="W20" s="52" t="n">
        <f aca="false">IF(F20&gt;0,V20/F20,"")</f>
        <v>1</v>
      </c>
      <c r="X20" s="2" t="str">
        <f aca="false">IF(D20=0,"Free – monitor quality",IF(F20=0,"SWITCH OFF – plan expects no qualified applicants",IF(AND(P20&lt;Assumptions!$D$83,Q20&lt;Assumptions!$D$84),"Wait – too little data",IF(OR(W20&gt;=Assumptions!$D$87,AND(R20=0,P20&gt;=Assumptions!$D$88,Q20&gt;=Assumptions!$D$84)),"SWITCH OFF",IF(W20&gt;=Assumptions!$D$86,"CUT 50%",IF(W20&lt;=Assumptions!$D$85,"ADD +"&amp;TEXT(Assumptions!$D$96,"0%")&amp;" (if slots free)","HOLD"))))))</f>
        <v>Wait – too little data</v>
      </c>
      <c r="Y20" s="15"/>
      <c r="Z20" s="41" t="str">
        <f aca="false">IF(Y20&gt;0,P20/Y20,"")</f>
        <v/>
      </c>
      <c r="AA20" s="32" t="n">
        <f aca="false">Channels!U20</f>
        <v>0.339760044642857</v>
      </c>
    </row>
    <row r="21" customFormat="false" ht="15" hidden="false" customHeight="false" outlineLevel="0" collapsed="false">
      <c r="A21" s="2" t="str">
        <f aca="false">Channels!A21</f>
        <v>C17</v>
      </c>
      <c r="B21" s="2" t="str">
        <f aca="false">Channels!B21</f>
        <v>Google Search ads (job-intent keywords)</v>
      </c>
      <c r="C21" s="2" t="str">
        <f aca="false">Channels!C21</f>
        <v>Electricians</v>
      </c>
      <c r="D21" s="43" t="n">
        <f aca="false">Channels!H21</f>
        <v>179</v>
      </c>
      <c r="E21" s="30" t="n">
        <f aca="false">Channels!I21</f>
        <v>0.175</v>
      </c>
      <c r="F21" s="41" t="n">
        <f aca="false">Channels!O21</f>
        <v>1022.85714285714</v>
      </c>
      <c r="G21" s="18"/>
      <c r="H21" s="15"/>
      <c r="I21" s="15"/>
      <c r="J21" s="18"/>
      <c r="K21" s="15"/>
      <c r="L21" s="15"/>
      <c r="M21" s="18"/>
      <c r="N21" s="15"/>
      <c r="O21" s="15"/>
      <c r="P21" s="41" t="n">
        <f aca="false">G21+J21+M21</f>
        <v>0</v>
      </c>
      <c r="Q21" s="29" t="n">
        <f aca="false">H21+K21+N21</f>
        <v>0</v>
      </c>
      <c r="R21" s="29" t="n">
        <f aca="false">I21+L21+O21</f>
        <v>0</v>
      </c>
      <c r="S21" s="43" t="str">
        <f aca="false">IF(Q21&gt;0,P21/Q21,"")</f>
        <v/>
      </c>
      <c r="T21" s="30" t="str">
        <f aca="false">IF(Q21&gt;0,R21/Q21,"")</f>
        <v/>
      </c>
      <c r="U21" s="30" t="n">
        <f aca="false">IF(AND(OR(P21&gt;=Assumptions!$D$83,Q21&gt;=Assumptions!$D$84),R21&gt;0),R21/Q21,E21)</f>
        <v>0.175</v>
      </c>
      <c r="V21" s="41" t="n">
        <f aca="false">IF(U21&gt;0,IF(AND(OR(P21&gt;=Assumptions!$D$83,Q21&gt;=Assumptions!$D$84),Q21&gt;0),S21,D21)/U21,0)</f>
        <v>1022.85714285714</v>
      </c>
      <c r="W21" s="52" t="n">
        <f aca="false">IF(F21&gt;0,V21/F21,"")</f>
        <v>1</v>
      </c>
      <c r="X21" s="2" t="str">
        <f aca="false">IF(D21=0,"Free – monitor quality",IF(F21=0,"SWITCH OFF – plan expects no qualified applicants",IF(AND(P21&lt;Assumptions!$D$83,Q21&lt;Assumptions!$D$84),"Wait – too little data",IF(OR(W21&gt;=Assumptions!$D$87,AND(R21=0,P21&gt;=Assumptions!$D$88,Q21&gt;=Assumptions!$D$84)),"SWITCH OFF",IF(W21&gt;=Assumptions!$D$86,"CUT 50%",IF(W21&lt;=Assumptions!$D$85,"ADD +"&amp;TEXT(Assumptions!$D$96,"0%")&amp;" (if slots free)","HOLD"))))))</f>
        <v>Wait – too little data</v>
      </c>
      <c r="Y21" s="15"/>
      <c r="Z21" s="41" t="str">
        <f aca="false">IF(Y21&gt;0,P21/Y21,"")</f>
        <v/>
      </c>
      <c r="AA21" s="32" t="n">
        <f aca="false">Channels!U21</f>
        <v>0.230970670391061</v>
      </c>
    </row>
    <row r="22" customFormat="false" ht="15" hidden="false" customHeight="false" outlineLevel="0" collapsed="false">
      <c r="A22" s="2" t="str">
        <f aca="false">Channels!A22</f>
        <v>C18</v>
      </c>
      <c r="B22" s="2" t="str">
        <f aca="false">Channels!B22</f>
        <v>Google Search ads (job-intent keywords)</v>
      </c>
      <c r="C22" s="2" t="str">
        <f aca="false">Channels!C22</f>
        <v>Mechatronics</v>
      </c>
      <c r="D22" s="43" t="n">
        <f aca="false">Channels!H22</f>
        <v>179</v>
      </c>
      <c r="E22" s="30" t="n">
        <f aca="false">Channels!I22</f>
        <v>0.175</v>
      </c>
      <c r="F22" s="41" t="n">
        <f aca="false">Channels!O22</f>
        <v>1022.85714285714</v>
      </c>
      <c r="G22" s="18"/>
      <c r="H22" s="15"/>
      <c r="I22" s="15"/>
      <c r="J22" s="18"/>
      <c r="K22" s="15"/>
      <c r="L22" s="15"/>
      <c r="M22" s="18"/>
      <c r="N22" s="15"/>
      <c r="O22" s="15"/>
      <c r="P22" s="41" t="n">
        <f aca="false">G22+J22+M22</f>
        <v>0</v>
      </c>
      <c r="Q22" s="29" t="n">
        <f aca="false">H22+K22+N22</f>
        <v>0</v>
      </c>
      <c r="R22" s="29" t="n">
        <f aca="false">I22+L22+O22</f>
        <v>0</v>
      </c>
      <c r="S22" s="43" t="str">
        <f aca="false">IF(Q22&gt;0,P22/Q22,"")</f>
        <v/>
      </c>
      <c r="T22" s="30" t="str">
        <f aca="false">IF(Q22&gt;0,R22/Q22,"")</f>
        <v/>
      </c>
      <c r="U22" s="30" t="n">
        <f aca="false">IF(AND(OR(P22&gt;=Assumptions!$D$83,Q22&gt;=Assumptions!$D$84),R22&gt;0),R22/Q22,E22)</f>
        <v>0.175</v>
      </c>
      <c r="V22" s="41" t="n">
        <f aca="false">IF(U22&gt;0,IF(AND(OR(P22&gt;=Assumptions!$D$83,Q22&gt;=Assumptions!$D$84),Q22&gt;0),S22,D22)/U22,0)</f>
        <v>1022.85714285714</v>
      </c>
      <c r="W22" s="52" t="n">
        <f aca="false">IF(F22&gt;0,V22/F22,"")</f>
        <v>1</v>
      </c>
      <c r="X22" s="2" t="str">
        <f aca="false">IF(D22=0,"Free – monitor quality",IF(F22=0,"SWITCH OFF – plan expects no qualified applicants",IF(AND(P22&lt;Assumptions!$D$83,Q22&lt;Assumptions!$D$84),"Wait – too little data",IF(OR(W22&gt;=Assumptions!$D$87,AND(R22=0,P22&gt;=Assumptions!$D$88,Q22&gt;=Assumptions!$D$84)),"SWITCH OFF",IF(W22&gt;=Assumptions!$D$86,"CUT 50%",IF(W22&lt;=Assumptions!$D$85,"ADD +"&amp;TEXT(Assumptions!$D$96,"0%")&amp;" (if slots free)","HOLD"))))))</f>
        <v>Wait – too little data</v>
      </c>
      <c r="Y22" s="15"/>
      <c r="Z22" s="41" t="str">
        <f aca="false">IF(Y22&gt;0,P22/Y22,"")</f>
        <v/>
      </c>
      <c r="AA22" s="32" t="n">
        <f aca="false">Channels!U22</f>
        <v>0.272215432960894</v>
      </c>
    </row>
    <row r="23" customFormat="false" ht="15" hidden="false" customHeight="false" outlineLevel="0" collapsed="false">
      <c r="A23" s="2" t="str">
        <f aca="false">Channels!A23</f>
        <v>C19</v>
      </c>
      <c r="B23" s="2" t="str">
        <f aca="false">Channels!B23</f>
        <v>Google Search ads (job-intent keywords)</v>
      </c>
      <c r="C23" s="2" t="str">
        <f aca="false">Channels!C23</f>
        <v>Automation</v>
      </c>
      <c r="D23" s="43" t="n">
        <f aca="false">Channels!H23</f>
        <v>179</v>
      </c>
      <c r="E23" s="30" t="n">
        <f aca="false">Channels!I23</f>
        <v>0.175</v>
      </c>
      <c r="F23" s="41" t="n">
        <f aca="false">Channels!O23</f>
        <v>1022.85714285714</v>
      </c>
      <c r="G23" s="18"/>
      <c r="H23" s="15"/>
      <c r="I23" s="15"/>
      <c r="J23" s="18"/>
      <c r="K23" s="15"/>
      <c r="L23" s="15"/>
      <c r="M23" s="18"/>
      <c r="N23" s="15"/>
      <c r="O23" s="15"/>
      <c r="P23" s="41" t="n">
        <f aca="false">G23+J23+M23</f>
        <v>0</v>
      </c>
      <c r="Q23" s="29" t="n">
        <f aca="false">H23+K23+N23</f>
        <v>0</v>
      </c>
      <c r="R23" s="29" t="n">
        <f aca="false">I23+L23+O23</f>
        <v>0</v>
      </c>
      <c r="S23" s="43" t="str">
        <f aca="false">IF(Q23&gt;0,P23/Q23,"")</f>
        <v/>
      </c>
      <c r="T23" s="30" t="str">
        <f aca="false">IF(Q23&gt;0,R23/Q23,"")</f>
        <v/>
      </c>
      <c r="U23" s="30" t="n">
        <f aca="false">IF(AND(OR(P23&gt;=Assumptions!$D$83,Q23&gt;=Assumptions!$D$84),R23&gt;0),R23/Q23,E23)</f>
        <v>0.175</v>
      </c>
      <c r="V23" s="41" t="n">
        <f aca="false">IF(U23&gt;0,IF(AND(OR(P23&gt;=Assumptions!$D$83,Q23&gt;=Assumptions!$D$84),Q23&gt;0),S23,D23)/U23,0)</f>
        <v>1022.85714285714</v>
      </c>
      <c r="W23" s="52" t="n">
        <f aca="false">IF(F23&gt;0,V23/F23,"")</f>
        <v>1</v>
      </c>
      <c r="X23" s="2" t="str">
        <f aca="false">IF(D23=0,"Free – monitor quality",IF(F23=0,"SWITCH OFF – plan expects no qualified applicants",IF(AND(P23&lt;Assumptions!$D$83,Q23&lt;Assumptions!$D$84),"Wait – too little data",IF(OR(W23&gt;=Assumptions!$D$87,AND(R23=0,P23&gt;=Assumptions!$D$88,Q23&gt;=Assumptions!$D$84)),"SWITCH OFF",IF(W23&gt;=Assumptions!$D$86,"CUT 50%",IF(W23&lt;=Assumptions!$D$85,"ADD +"&amp;TEXT(Assumptions!$D$96,"0%")&amp;" (if slots free)","HOLD"))))))</f>
        <v>Wait – too little data</v>
      </c>
      <c r="Y23" s="15"/>
      <c r="Z23" s="41" t="str">
        <f aca="false">IF(Y23&gt;0,P23/Y23,"")</f>
        <v/>
      </c>
      <c r="AA23" s="32" t="n">
        <f aca="false">Channels!U23</f>
        <v>0.207873603351955</v>
      </c>
    </row>
    <row r="24" customFormat="false" ht="15" hidden="false" customHeight="false" outlineLevel="0" collapsed="false">
      <c r="A24" s="2" t="str">
        <f aca="false">Channels!A24</f>
        <v>C20</v>
      </c>
      <c r="B24" s="2" t="str">
        <f aca="false">Channels!B24</f>
        <v>Google Search ads (job-intent keywords)</v>
      </c>
      <c r="C24" s="2" t="str">
        <f aca="false">Channels!C24</f>
        <v>Supervisors</v>
      </c>
      <c r="D24" s="43" t="n">
        <f aca="false">Channels!H24</f>
        <v>179</v>
      </c>
      <c r="E24" s="30" t="n">
        <f aca="false">Channels!I24</f>
        <v>0.161</v>
      </c>
      <c r="F24" s="41" t="n">
        <f aca="false">Channels!O24</f>
        <v>1111.80124223602</v>
      </c>
      <c r="G24" s="18"/>
      <c r="H24" s="15"/>
      <c r="I24" s="15"/>
      <c r="J24" s="18"/>
      <c r="K24" s="15"/>
      <c r="L24" s="15"/>
      <c r="M24" s="18"/>
      <c r="N24" s="15"/>
      <c r="O24" s="15"/>
      <c r="P24" s="41" t="n">
        <f aca="false">G24+J24+M24</f>
        <v>0</v>
      </c>
      <c r="Q24" s="29" t="n">
        <f aca="false">H24+K24+N24</f>
        <v>0</v>
      </c>
      <c r="R24" s="29" t="n">
        <f aca="false">I24+L24+O24</f>
        <v>0</v>
      </c>
      <c r="S24" s="43" t="str">
        <f aca="false">IF(Q24&gt;0,P24/Q24,"")</f>
        <v/>
      </c>
      <c r="T24" s="30" t="str">
        <f aca="false">IF(Q24&gt;0,R24/Q24,"")</f>
        <v/>
      </c>
      <c r="U24" s="30" t="n">
        <f aca="false">IF(AND(OR(P24&gt;=Assumptions!$D$83,Q24&gt;=Assumptions!$D$84),R24&gt;0),R24/Q24,E24)</f>
        <v>0.161</v>
      </c>
      <c r="V24" s="41" t="n">
        <f aca="false">IF(U24&gt;0,IF(AND(OR(P24&gt;=Assumptions!$D$83,Q24&gt;=Assumptions!$D$84),Q24&gt;0),S24,D24)/U24,0)</f>
        <v>1111.80124223602</v>
      </c>
      <c r="W24" s="52" t="n">
        <f aca="false">IF(F24&gt;0,V24/F24,"")</f>
        <v>1</v>
      </c>
      <c r="X24" s="2" t="str">
        <f aca="false">IF(D24=0,"Free – monitor quality",IF(F24=0,"SWITCH OFF – plan expects no qualified applicants",IF(AND(P24&lt;Assumptions!$D$83,Q24&lt;Assumptions!$D$84),"Wait – too little data",IF(OR(W24&gt;=Assumptions!$D$87,AND(R24=0,P24&gt;=Assumptions!$D$88,Q24&gt;=Assumptions!$D$84)),"SWITCH OFF",IF(W24&gt;=Assumptions!$D$86,"CUT 50%",IF(W24&lt;=Assumptions!$D$85,"ADD +"&amp;TEXT(Assumptions!$D$96,"0%")&amp;" (if slots free)","HOLD"))))))</f>
        <v>Wait – too little data</v>
      </c>
      <c r="Y24" s="15"/>
      <c r="Z24" s="41" t="str">
        <f aca="false">IF(Y24&gt;0,P24/Y24,"")</f>
        <v/>
      </c>
      <c r="AA24" s="32" t="n">
        <f aca="false">Channels!U24</f>
        <v>0.160550279329609</v>
      </c>
    </row>
    <row r="25" customFormat="false" ht="15" hidden="false" customHeight="false" outlineLevel="0" collapsed="false">
      <c r="A25" s="2" t="str">
        <f aca="false">Channels!A25</f>
        <v>I1a-E</v>
      </c>
      <c r="B25" s="2" t="str">
        <f aca="false">Channels!B25</f>
        <v>I1a Talent rediscovery (past applicants in ATS)</v>
      </c>
      <c r="C25" s="2" t="str">
        <f aca="false">Channels!C25</f>
        <v>Electricians</v>
      </c>
      <c r="D25" s="43" t="n">
        <f aca="false">Channels!H25</f>
        <v>2.5</v>
      </c>
      <c r="E25" s="30" t="n">
        <f aca="false">Channels!I25</f>
        <v>0.5</v>
      </c>
      <c r="F25" s="41" t="n">
        <f aca="false">Channels!O25</f>
        <v>5</v>
      </c>
      <c r="G25" s="18"/>
      <c r="H25" s="15"/>
      <c r="I25" s="15"/>
      <c r="J25" s="18"/>
      <c r="K25" s="15"/>
      <c r="L25" s="15"/>
      <c r="M25" s="18"/>
      <c r="N25" s="15"/>
      <c r="O25" s="15"/>
      <c r="P25" s="41" t="n">
        <f aca="false">G25+J25+M25</f>
        <v>0</v>
      </c>
      <c r="Q25" s="29" t="n">
        <f aca="false">H25+K25+N25</f>
        <v>0</v>
      </c>
      <c r="R25" s="29" t="n">
        <f aca="false">I25+L25+O25</f>
        <v>0</v>
      </c>
      <c r="S25" s="43" t="str">
        <f aca="false">IF(Q25&gt;0,P25/Q25,"")</f>
        <v/>
      </c>
      <c r="T25" s="30" t="str">
        <f aca="false">IF(Q25&gt;0,R25/Q25,"")</f>
        <v/>
      </c>
      <c r="U25" s="30" t="n">
        <f aca="false">IF(AND(OR(P25&gt;=Assumptions!$D$83,Q25&gt;=Assumptions!$D$84),R25&gt;0),R25/Q25,E25)</f>
        <v>0.5</v>
      </c>
      <c r="V25" s="41" t="n">
        <f aca="false">IF(U25&gt;0,IF(AND(OR(P25&gt;=Assumptions!$D$83,Q25&gt;=Assumptions!$D$84),Q25&gt;0),S25,D25)/U25,0)</f>
        <v>5</v>
      </c>
      <c r="W25" s="52" t="n">
        <f aca="false">IF(F25&gt;0,V25/F25,"")</f>
        <v>1</v>
      </c>
      <c r="X25" s="2" t="str">
        <f aca="false">IF(D25=0,"Free – monitor quality",IF(F25=0,"SWITCH OFF – plan expects no qualified applicants",IF(AND(P25&lt;Assumptions!$D$83,Q25&lt;Assumptions!$D$84),"Wait – too little data",IF(OR(W25&gt;=Assumptions!$D$87,AND(R25=0,P25&gt;=Assumptions!$D$88,Q25&gt;=Assumptions!$D$84)),"SWITCH OFF",IF(W25&gt;=Assumptions!$D$86,"CUT 50%",IF(W25&lt;=Assumptions!$D$85,"ADD +"&amp;TEXT(Assumptions!$D$96,"0%")&amp;" (if slots free)","HOLD"))))))</f>
        <v>Wait – too little data</v>
      </c>
      <c r="Y25" s="15"/>
      <c r="Z25" s="41" t="str">
        <f aca="false">IF(Y25&gt;0,P25/Y25,"")</f>
        <v/>
      </c>
      <c r="AA25" s="32" t="n">
        <f aca="false">Channels!U25</f>
        <v>1.412775</v>
      </c>
    </row>
    <row r="26" customFormat="false" ht="15" hidden="false" customHeight="false" outlineLevel="0" collapsed="false">
      <c r="A26" s="2" t="str">
        <f aca="false">Channels!A26</f>
        <v>I1a-M</v>
      </c>
      <c r="B26" s="2" t="str">
        <f aca="false">Channels!B26</f>
        <v>I1a Talent rediscovery (past applicants in ATS)</v>
      </c>
      <c r="C26" s="2" t="str">
        <f aca="false">Channels!C26</f>
        <v>Mechatronics</v>
      </c>
      <c r="D26" s="43" t="n">
        <f aca="false">Channels!H26</f>
        <v>2.5</v>
      </c>
      <c r="E26" s="30" t="n">
        <f aca="false">Channels!I26</f>
        <v>0.5</v>
      </c>
      <c r="F26" s="41" t="n">
        <f aca="false">Channels!O26</f>
        <v>5</v>
      </c>
      <c r="G26" s="18"/>
      <c r="H26" s="15"/>
      <c r="I26" s="15"/>
      <c r="J26" s="18"/>
      <c r="K26" s="15"/>
      <c r="L26" s="15"/>
      <c r="M26" s="18"/>
      <c r="N26" s="15"/>
      <c r="O26" s="15"/>
      <c r="P26" s="41" t="n">
        <f aca="false">G26+J26+M26</f>
        <v>0</v>
      </c>
      <c r="Q26" s="29" t="n">
        <f aca="false">H26+K26+N26</f>
        <v>0</v>
      </c>
      <c r="R26" s="29" t="n">
        <f aca="false">I26+L26+O26</f>
        <v>0</v>
      </c>
      <c r="S26" s="43" t="str">
        <f aca="false">IF(Q26&gt;0,P26/Q26,"")</f>
        <v/>
      </c>
      <c r="T26" s="30" t="str">
        <f aca="false">IF(Q26&gt;0,R26/Q26,"")</f>
        <v/>
      </c>
      <c r="U26" s="30" t="n">
        <f aca="false">IF(AND(OR(P26&gt;=Assumptions!$D$83,Q26&gt;=Assumptions!$D$84),R26&gt;0),R26/Q26,E26)</f>
        <v>0.5</v>
      </c>
      <c r="V26" s="41" t="n">
        <f aca="false">IF(U26&gt;0,IF(AND(OR(P26&gt;=Assumptions!$D$83,Q26&gt;=Assumptions!$D$84),Q26&gt;0),S26,D26)/U26,0)</f>
        <v>5</v>
      </c>
      <c r="W26" s="52" t="n">
        <f aca="false">IF(F26&gt;0,V26/F26,"")</f>
        <v>1</v>
      </c>
      <c r="X26" s="2" t="str">
        <f aca="false">IF(D26=0,"Free – monitor quality",IF(F26=0,"SWITCH OFF – plan expects no qualified applicants",IF(AND(P26&lt;Assumptions!$D$83,Q26&lt;Assumptions!$D$84),"Wait – too little data",IF(OR(W26&gt;=Assumptions!$D$87,AND(R26=0,P26&gt;=Assumptions!$D$88,Q26&gt;=Assumptions!$D$84)),"SWITCH OFF",IF(W26&gt;=Assumptions!$D$86,"CUT 50%",IF(W26&lt;=Assumptions!$D$85,"ADD +"&amp;TEXT(Assumptions!$D$96,"0%")&amp;" (if slots free)","HOLD"))))))</f>
        <v>Wait – too little data</v>
      </c>
      <c r="Y26" s="15"/>
      <c r="Z26" s="41" t="str">
        <f aca="false">IF(Y26&gt;0,P26/Y26,"")</f>
        <v/>
      </c>
      <c r="AA26" s="32" t="n">
        <f aca="false">Channels!U26</f>
        <v>1.946835</v>
      </c>
    </row>
    <row r="27" customFormat="false" ht="15" hidden="false" customHeight="false" outlineLevel="0" collapsed="false">
      <c r="A27" s="2" t="str">
        <f aca="false">Channels!A27</f>
        <v>I1a-A</v>
      </c>
      <c r="B27" s="2" t="str">
        <f aca="false">Channels!B27</f>
        <v>I1a Talent rediscovery (past applicants in ATS)</v>
      </c>
      <c r="C27" s="2" t="str">
        <f aca="false">Channels!C27</f>
        <v>Automation</v>
      </c>
      <c r="D27" s="43" t="n">
        <f aca="false">Channels!H27</f>
        <v>2.5</v>
      </c>
      <c r="E27" s="30" t="n">
        <f aca="false">Channels!I27</f>
        <v>0.5</v>
      </c>
      <c r="F27" s="41" t="n">
        <f aca="false">Channels!O27</f>
        <v>5</v>
      </c>
      <c r="G27" s="18"/>
      <c r="H27" s="15"/>
      <c r="I27" s="15"/>
      <c r="J27" s="18"/>
      <c r="K27" s="15"/>
      <c r="L27" s="15"/>
      <c r="M27" s="18"/>
      <c r="N27" s="15"/>
      <c r="O27" s="15"/>
      <c r="P27" s="41" t="n">
        <f aca="false">G27+J27+M27</f>
        <v>0</v>
      </c>
      <c r="Q27" s="29" t="n">
        <f aca="false">H27+K27+N27</f>
        <v>0</v>
      </c>
      <c r="R27" s="29" t="n">
        <f aca="false">I27+L27+O27</f>
        <v>0</v>
      </c>
      <c r="S27" s="43" t="str">
        <f aca="false">IF(Q27&gt;0,P27/Q27,"")</f>
        <v/>
      </c>
      <c r="T27" s="30" t="str">
        <f aca="false">IF(Q27&gt;0,R27/Q27,"")</f>
        <v/>
      </c>
      <c r="U27" s="30" t="n">
        <f aca="false">IF(AND(OR(P27&gt;=Assumptions!$D$83,Q27&gt;=Assumptions!$D$84),R27&gt;0),R27/Q27,E27)</f>
        <v>0.5</v>
      </c>
      <c r="V27" s="41" t="n">
        <f aca="false">IF(U27&gt;0,IF(AND(OR(P27&gt;=Assumptions!$D$83,Q27&gt;=Assumptions!$D$84),Q27&gt;0),S27,D27)/U27,0)</f>
        <v>5</v>
      </c>
      <c r="W27" s="52" t="n">
        <f aca="false">IF(F27&gt;0,V27/F27,"")</f>
        <v>1</v>
      </c>
      <c r="X27" s="2" t="str">
        <f aca="false">IF(D27=0,"Free – monitor quality",IF(F27=0,"SWITCH OFF – plan expects no qualified applicants",IF(AND(P27&lt;Assumptions!$D$83,Q27&lt;Assumptions!$D$84),"Wait – too little data",IF(OR(W27&gt;=Assumptions!$D$87,AND(R27=0,P27&gt;=Assumptions!$D$88,Q27&gt;=Assumptions!$D$84)),"SWITCH OFF",IF(W27&gt;=Assumptions!$D$86,"CUT 50%",IF(W27&lt;=Assumptions!$D$85,"ADD +"&amp;TEXT(Assumptions!$D$96,"0%")&amp;" (if slots free)","HOLD"))))))</f>
        <v>Wait – too little data</v>
      </c>
      <c r="Y27" s="15"/>
      <c r="Z27" s="41" t="str">
        <f aca="false">IF(Y27&gt;0,P27/Y27,"")</f>
        <v/>
      </c>
      <c r="AA27" s="32" t="n">
        <f aca="false">Channels!U27</f>
        <v>0.743337</v>
      </c>
    </row>
    <row r="28" customFormat="false" ht="15" hidden="false" customHeight="false" outlineLevel="0" collapsed="false">
      <c r="A28" s="2" t="str">
        <f aca="false">Channels!A28</f>
        <v>I1a-S</v>
      </c>
      <c r="B28" s="2" t="str">
        <f aca="false">Channels!B28</f>
        <v>I1a Talent rediscovery (past applicants in ATS)</v>
      </c>
      <c r="C28" s="2" t="str">
        <f aca="false">Channels!C28</f>
        <v>Supervisors</v>
      </c>
      <c r="D28" s="43" t="n">
        <f aca="false">Channels!H28</f>
        <v>2.5</v>
      </c>
      <c r="E28" s="30" t="n">
        <f aca="false">Channels!I28</f>
        <v>0.5</v>
      </c>
      <c r="F28" s="41" t="n">
        <f aca="false">Channels!O28</f>
        <v>5</v>
      </c>
      <c r="G28" s="18"/>
      <c r="H28" s="15"/>
      <c r="I28" s="15"/>
      <c r="J28" s="18"/>
      <c r="K28" s="15"/>
      <c r="L28" s="15"/>
      <c r="M28" s="18"/>
      <c r="N28" s="15"/>
      <c r="O28" s="15"/>
      <c r="P28" s="41" t="n">
        <f aca="false">G28+J28+M28</f>
        <v>0</v>
      </c>
      <c r="Q28" s="29" t="n">
        <f aca="false">H28+K28+N28</f>
        <v>0</v>
      </c>
      <c r="R28" s="29" t="n">
        <f aca="false">I28+L28+O28</f>
        <v>0</v>
      </c>
      <c r="S28" s="43" t="str">
        <f aca="false">IF(Q28&gt;0,P28/Q28,"")</f>
        <v/>
      </c>
      <c r="T28" s="30" t="str">
        <f aca="false">IF(Q28&gt;0,R28/Q28,"")</f>
        <v/>
      </c>
      <c r="U28" s="30" t="n">
        <f aca="false">IF(AND(OR(P28&gt;=Assumptions!$D$83,Q28&gt;=Assumptions!$D$84),R28&gt;0),R28/Q28,E28)</f>
        <v>0.5</v>
      </c>
      <c r="V28" s="41" t="n">
        <f aca="false">IF(U28&gt;0,IF(AND(OR(P28&gt;=Assumptions!$D$83,Q28&gt;=Assumptions!$D$84),Q28&gt;0),S28,D28)/U28,0)</f>
        <v>5</v>
      </c>
      <c r="W28" s="52" t="n">
        <f aca="false">IF(F28&gt;0,V28/F28,"")</f>
        <v>1</v>
      </c>
      <c r="X28" s="2" t="str">
        <f aca="false">IF(D28=0,"Free – monitor quality",IF(F28=0,"SWITCH OFF – plan expects no qualified applicants",IF(AND(P28&lt;Assumptions!$D$83,Q28&lt;Assumptions!$D$84),"Wait – too little data",IF(OR(W28&gt;=Assumptions!$D$87,AND(R28=0,P28&gt;=Assumptions!$D$88,Q28&gt;=Assumptions!$D$84)),"SWITCH OFF",IF(W28&gt;=Assumptions!$D$86,"CUT 50%",IF(W28&lt;=Assumptions!$D$85,"ADD +"&amp;TEXT(Assumptions!$D$96,"0%")&amp;" (if slots free)","HOLD"))))))</f>
        <v>Wait – too little data</v>
      </c>
      <c r="Y28" s="15"/>
      <c r="Z28" s="41" t="str">
        <f aca="false">IF(Y28&gt;0,P28/Y28,"")</f>
        <v/>
      </c>
      <c r="AA28" s="32" t="n">
        <f aca="false">Channels!U28</f>
        <v>0.525504</v>
      </c>
    </row>
    <row r="29" customFormat="false" ht="15" hidden="false" customHeight="false" outlineLevel="0" collapsed="false">
      <c r="A29" s="2" t="str">
        <f aca="false">Channels!A29</f>
        <v>I1b-E</v>
      </c>
      <c r="B29" s="2" t="str">
        <f aca="false">Channels!B29</f>
        <v>I1b Employee referral sprint (bonus on hire)</v>
      </c>
      <c r="C29" s="2" t="str">
        <f aca="false">Channels!C29</f>
        <v>Electricians</v>
      </c>
      <c r="D29" s="43" t="n">
        <f aca="false">Channels!H29</f>
        <v>163.0125</v>
      </c>
      <c r="E29" s="30" t="n">
        <f aca="false">Channels!I29</f>
        <v>0.45</v>
      </c>
      <c r="F29" s="41" t="n">
        <f aca="false">Channels!O29</f>
        <v>362.25</v>
      </c>
      <c r="G29" s="18"/>
      <c r="H29" s="15"/>
      <c r="I29" s="15"/>
      <c r="J29" s="18"/>
      <c r="K29" s="15"/>
      <c r="L29" s="15"/>
      <c r="M29" s="18"/>
      <c r="N29" s="15"/>
      <c r="O29" s="15"/>
      <c r="P29" s="41" t="n">
        <f aca="false">G29+J29+M29</f>
        <v>0</v>
      </c>
      <c r="Q29" s="29" t="n">
        <f aca="false">H29+K29+N29</f>
        <v>0</v>
      </c>
      <c r="R29" s="29" t="n">
        <f aca="false">I29+L29+O29</f>
        <v>0</v>
      </c>
      <c r="S29" s="43" t="str">
        <f aca="false">IF(Q29&gt;0,P29/Q29,"")</f>
        <v/>
      </c>
      <c r="T29" s="30" t="str">
        <f aca="false">IF(Q29&gt;0,R29/Q29,"")</f>
        <v/>
      </c>
      <c r="U29" s="30" t="n">
        <f aca="false">IF(AND(OR(P29&gt;=Assumptions!$D$83,Q29&gt;=Assumptions!$D$84),R29&gt;0),R29/Q29,E29)</f>
        <v>0.45</v>
      </c>
      <c r="V29" s="41" t="n">
        <f aca="false">IF(U29&gt;0,IF(AND(OR(P29&gt;=Assumptions!$D$83,Q29&gt;=Assumptions!$D$84),Q29&gt;0),S29,D29)/U29,0)</f>
        <v>362.25</v>
      </c>
      <c r="W29" s="52" t="n">
        <f aca="false">IF(F29&gt;0,V29/F29,"")</f>
        <v>1</v>
      </c>
      <c r="X29" s="2" t="str">
        <f aca="false">IF(D29=0,"Free – monitor quality",IF(F29=0,"SWITCH OFF – plan expects no qualified applicants",IF(AND(P29&lt;Assumptions!$D$83,Q29&lt;Assumptions!$D$84),"Wait – too little data",IF(OR(W29&gt;=Assumptions!$D$87,AND(R29=0,P29&gt;=Assumptions!$D$88,Q29&gt;=Assumptions!$D$84)),"SWITCH OFF",IF(W29&gt;=Assumptions!$D$86,"CUT 50%",IF(W29&lt;=Assumptions!$D$85,"ADD +"&amp;TEXT(Assumptions!$D$96,"0%")&amp;" (if slots free)","HOLD"))))))</f>
        <v>Wait – too little data</v>
      </c>
      <c r="Y29" s="15"/>
      <c r="Z29" s="41" t="str">
        <f aca="false">IF(Y29&gt;0,P29/Y29,"")</f>
        <v/>
      </c>
      <c r="AA29" s="32" t="n">
        <f aca="false">Channels!U29</f>
        <v>3.26025</v>
      </c>
    </row>
    <row r="30" customFormat="false" ht="15" hidden="false" customHeight="false" outlineLevel="0" collapsed="false">
      <c r="A30" s="2" t="str">
        <f aca="false">Channels!A30</f>
        <v>I1b-M</v>
      </c>
      <c r="B30" s="2" t="str">
        <f aca="false">Channels!B30</f>
        <v>I1b Employee referral sprint (bonus on hire)</v>
      </c>
      <c r="C30" s="2" t="str">
        <f aca="false">Channels!C30</f>
        <v>Mechatronics</v>
      </c>
      <c r="D30" s="43" t="n">
        <f aca="false">Channels!H30</f>
        <v>192.121875</v>
      </c>
      <c r="E30" s="30" t="n">
        <f aca="false">Channels!I30</f>
        <v>0.45</v>
      </c>
      <c r="F30" s="41" t="n">
        <f aca="false">Channels!O30</f>
        <v>426.9375</v>
      </c>
      <c r="G30" s="18"/>
      <c r="H30" s="15"/>
      <c r="I30" s="15"/>
      <c r="J30" s="18"/>
      <c r="K30" s="15"/>
      <c r="L30" s="15"/>
      <c r="M30" s="18"/>
      <c r="N30" s="15"/>
      <c r="O30" s="15"/>
      <c r="P30" s="41" t="n">
        <f aca="false">G30+J30+M30</f>
        <v>0</v>
      </c>
      <c r="Q30" s="29" t="n">
        <f aca="false">H30+K30+N30</f>
        <v>0</v>
      </c>
      <c r="R30" s="29" t="n">
        <f aca="false">I30+L30+O30</f>
        <v>0</v>
      </c>
      <c r="S30" s="43" t="str">
        <f aca="false">IF(Q30&gt;0,P30/Q30,"")</f>
        <v/>
      </c>
      <c r="T30" s="30" t="str">
        <f aca="false">IF(Q30&gt;0,R30/Q30,"")</f>
        <v/>
      </c>
      <c r="U30" s="30" t="n">
        <f aca="false">IF(AND(OR(P30&gt;=Assumptions!$D$83,Q30&gt;=Assumptions!$D$84),R30&gt;0),R30/Q30,E30)</f>
        <v>0.45</v>
      </c>
      <c r="V30" s="41" t="n">
        <f aca="false">IF(U30&gt;0,IF(AND(OR(P30&gt;=Assumptions!$D$83,Q30&gt;=Assumptions!$D$84),Q30&gt;0),S30,D30)/U30,0)</f>
        <v>426.9375</v>
      </c>
      <c r="W30" s="52" t="n">
        <f aca="false">IF(F30&gt;0,V30/F30,"")</f>
        <v>1</v>
      </c>
      <c r="X30" s="2" t="str">
        <f aca="false">IF(D30=0,"Free – monitor quality",IF(F30=0,"SWITCH OFF – plan expects no qualified applicants",IF(AND(P30&lt;Assumptions!$D$83,Q30&lt;Assumptions!$D$84),"Wait – too little data",IF(OR(W30&gt;=Assumptions!$D$87,AND(R30=0,P30&gt;=Assumptions!$D$88,Q30&gt;=Assumptions!$D$84)),"SWITCH OFF",IF(W30&gt;=Assumptions!$D$86,"CUT 50%",IF(W30&lt;=Assumptions!$D$85,"ADD +"&amp;TEXT(Assumptions!$D$96,"0%")&amp;" (if slots free)","HOLD"))))))</f>
        <v>Wait – too little data</v>
      </c>
      <c r="Y30" s="15"/>
      <c r="Z30" s="41" t="str">
        <f aca="false">IF(Y30&gt;0,P30/Y30,"")</f>
        <v/>
      </c>
      <c r="AA30" s="32" t="n">
        <f aca="false">Channels!U30</f>
        <v>4.99516875</v>
      </c>
    </row>
    <row r="31" customFormat="false" ht="15" hidden="false" customHeight="false" outlineLevel="0" collapsed="false">
      <c r="A31" s="2" t="str">
        <f aca="false">Channels!A31</f>
        <v>I1b-A</v>
      </c>
      <c r="B31" s="2" t="str">
        <f aca="false">Channels!B31</f>
        <v>I1b Employee referral sprint (bonus on hire)</v>
      </c>
      <c r="C31" s="2" t="str">
        <f aca="false">Channels!C31</f>
        <v>Automation</v>
      </c>
      <c r="D31" s="43" t="n">
        <f aca="false">Channels!H31</f>
        <v>146.71125</v>
      </c>
      <c r="E31" s="30" t="n">
        <f aca="false">Channels!I31</f>
        <v>0.45</v>
      </c>
      <c r="F31" s="41" t="n">
        <f aca="false">Channels!O31</f>
        <v>326.025</v>
      </c>
      <c r="G31" s="18"/>
      <c r="H31" s="15"/>
      <c r="I31" s="15"/>
      <c r="J31" s="18"/>
      <c r="K31" s="15"/>
      <c r="L31" s="15"/>
      <c r="M31" s="18"/>
      <c r="N31" s="15"/>
      <c r="O31" s="15"/>
      <c r="P31" s="41" t="n">
        <f aca="false">G31+J31+M31</f>
        <v>0</v>
      </c>
      <c r="Q31" s="29" t="n">
        <f aca="false">H31+K31+N31</f>
        <v>0</v>
      </c>
      <c r="R31" s="29" t="n">
        <f aca="false">I31+L31+O31</f>
        <v>0</v>
      </c>
      <c r="S31" s="43" t="str">
        <f aca="false">IF(Q31&gt;0,P31/Q31,"")</f>
        <v/>
      </c>
      <c r="T31" s="30" t="str">
        <f aca="false">IF(Q31&gt;0,R31/Q31,"")</f>
        <v/>
      </c>
      <c r="U31" s="30" t="n">
        <f aca="false">IF(AND(OR(P31&gt;=Assumptions!$D$83,Q31&gt;=Assumptions!$D$84),R31&gt;0),R31/Q31,E31)</f>
        <v>0.45</v>
      </c>
      <c r="V31" s="41" t="n">
        <f aca="false">IF(U31&gt;0,IF(AND(OR(P31&gt;=Assumptions!$D$83,Q31&gt;=Assumptions!$D$84),Q31&gt;0),S31,D31)/U31,0)</f>
        <v>326.025</v>
      </c>
      <c r="W31" s="52" t="n">
        <f aca="false">IF(F31&gt;0,V31/F31,"")</f>
        <v>1</v>
      </c>
      <c r="X31" s="2" t="str">
        <f aca="false">IF(D31=0,"Free – monitor quality",IF(F31=0,"SWITCH OFF – plan expects no qualified applicants",IF(AND(P31&lt;Assumptions!$D$83,Q31&lt;Assumptions!$D$84),"Wait – too little data",IF(OR(W31&gt;=Assumptions!$D$87,AND(R31=0,P31&gt;=Assumptions!$D$88,Q31&gt;=Assumptions!$D$84)),"SWITCH OFF",IF(W31&gt;=Assumptions!$D$86,"CUT 50%",IF(W31&lt;=Assumptions!$D$85,"ADD +"&amp;TEXT(Assumptions!$D$96,"0%")&amp;" (if slots free)","HOLD"))))))</f>
        <v>Wait – too little data</v>
      </c>
      <c r="Y31" s="15"/>
      <c r="Z31" s="41" t="str">
        <f aca="false">IF(Y31&gt;0,P31/Y31,"")</f>
        <v/>
      </c>
      <c r="AA31" s="32" t="n">
        <f aca="false">Channels!U31</f>
        <v>1.61382375</v>
      </c>
    </row>
    <row r="32" customFormat="false" ht="15" hidden="false" customHeight="false" outlineLevel="0" collapsed="false">
      <c r="A32" s="2" t="str">
        <f aca="false">Channels!A32</f>
        <v>I1b-S</v>
      </c>
      <c r="B32" s="2" t="str">
        <f aca="false">Channels!B32</f>
        <v>I1b Employee referral sprint (bonus on hire)</v>
      </c>
      <c r="C32" s="2" t="str">
        <f aca="false">Channels!C32</f>
        <v>Supervisors</v>
      </c>
      <c r="D32" s="43" t="n">
        <f aca="false">Channels!H32</f>
        <v>123.165</v>
      </c>
      <c r="E32" s="30" t="n">
        <f aca="false">Channels!I32</f>
        <v>0.45</v>
      </c>
      <c r="F32" s="41" t="n">
        <f aca="false">Channels!O32</f>
        <v>273.7</v>
      </c>
      <c r="G32" s="18"/>
      <c r="H32" s="15"/>
      <c r="I32" s="15"/>
      <c r="J32" s="18"/>
      <c r="K32" s="15"/>
      <c r="L32" s="15"/>
      <c r="M32" s="18"/>
      <c r="N32" s="15"/>
      <c r="O32" s="15"/>
      <c r="P32" s="41" t="n">
        <f aca="false">G32+J32+M32</f>
        <v>0</v>
      </c>
      <c r="Q32" s="29" t="n">
        <f aca="false">H32+K32+N32</f>
        <v>0</v>
      </c>
      <c r="R32" s="29" t="n">
        <f aca="false">I32+L32+O32</f>
        <v>0</v>
      </c>
      <c r="S32" s="43" t="str">
        <f aca="false">IF(Q32&gt;0,P32/Q32,"")</f>
        <v/>
      </c>
      <c r="T32" s="30" t="str">
        <f aca="false">IF(Q32&gt;0,R32/Q32,"")</f>
        <v/>
      </c>
      <c r="U32" s="30" t="n">
        <f aca="false">IF(AND(OR(P32&gt;=Assumptions!$D$83,Q32&gt;=Assumptions!$D$84),R32&gt;0),R32/Q32,E32)</f>
        <v>0.45</v>
      </c>
      <c r="V32" s="41" t="n">
        <f aca="false">IF(U32&gt;0,IF(AND(OR(P32&gt;=Assumptions!$D$83,Q32&gt;=Assumptions!$D$84),Q32&gt;0),S32,D32)/U32,0)</f>
        <v>273.7</v>
      </c>
      <c r="W32" s="52" t="n">
        <f aca="false">IF(F32&gt;0,V32/F32,"")</f>
        <v>1</v>
      </c>
      <c r="X32" s="2" t="str">
        <f aca="false">IF(D32=0,"Free – monitor quality",IF(F32=0,"SWITCH OFF – plan expects no qualified applicants",IF(AND(P32&lt;Assumptions!$D$83,Q32&lt;Assumptions!$D$84),"Wait – too little data",IF(OR(W32&gt;=Assumptions!$D$87,AND(R32=0,P32&gt;=Assumptions!$D$88,Q32&gt;=Assumptions!$D$84)),"SWITCH OFF",IF(W32&gt;=Assumptions!$D$86,"CUT 50%",IF(W32&lt;=Assumptions!$D$85,"ADD +"&amp;TEXT(Assumptions!$D$96,"0%")&amp;" (if slots free)","HOLD"))))))</f>
        <v>Wait – too little data</v>
      </c>
      <c r="Y32" s="15"/>
      <c r="Z32" s="41" t="str">
        <f aca="false">IF(Y32&gt;0,P32/Y32,"")</f>
        <v/>
      </c>
      <c r="AA32" s="32" t="n">
        <f aca="false">Channels!U32</f>
        <v>1.108485</v>
      </c>
    </row>
    <row r="33" customFormat="false" ht="15" hidden="false" customHeight="false" outlineLevel="0" collapsed="false">
      <c r="A33" s="2" t="str">
        <f aca="false">Channels!A33</f>
        <v>I2-E</v>
      </c>
      <c r="B33" s="2" t="str">
        <f aca="false">Channels!B33</f>
        <v>I2 Handwerk → Industrie (construction electricians)</v>
      </c>
      <c r="C33" s="2" t="str">
        <f aca="false">Channels!C33</f>
        <v>Electricians</v>
      </c>
      <c r="D33" s="43" t="n">
        <f aca="false">Channels!H33</f>
        <v>84</v>
      </c>
      <c r="E33" s="30" t="n">
        <f aca="false">Channels!I33</f>
        <v>0.25</v>
      </c>
      <c r="F33" s="41" t="n">
        <f aca="false">Channels!O33</f>
        <v>336</v>
      </c>
      <c r="G33" s="18"/>
      <c r="H33" s="15"/>
      <c r="I33" s="15"/>
      <c r="J33" s="18"/>
      <c r="K33" s="15"/>
      <c r="L33" s="15"/>
      <c r="M33" s="18"/>
      <c r="N33" s="15"/>
      <c r="O33" s="15"/>
      <c r="P33" s="41" t="n">
        <f aca="false">G33+J33+M33</f>
        <v>0</v>
      </c>
      <c r="Q33" s="29" t="n">
        <f aca="false">H33+K33+N33</f>
        <v>0</v>
      </c>
      <c r="R33" s="29" t="n">
        <f aca="false">I33+L33+O33</f>
        <v>0</v>
      </c>
      <c r="S33" s="43" t="str">
        <f aca="false">IF(Q33&gt;0,P33/Q33,"")</f>
        <v/>
      </c>
      <c r="T33" s="30" t="str">
        <f aca="false">IF(Q33&gt;0,R33/Q33,"")</f>
        <v/>
      </c>
      <c r="U33" s="30" t="n">
        <f aca="false">IF(AND(OR(P33&gt;=Assumptions!$D$83,Q33&gt;=Assumptions!$D$84),R33&gt;0),R33/Q33,E33)</f>
        <v>0.25</v>
      </c>
      <c r="V33" s="41" t="n">
        <f aca="false">IF(U33&gt;0,IF(AND(OR(P33&gt;=Assumptions!$D$83,Q33&gt;=Assumptions!$D$84),Q33&gt;0),S33,D33)/U33,0)</f>
        <v>336</v>
      </c>
      <c r="W33" s="52" t="n">
        <f aca="false">IF(F33&gt;0,V33/F33,"")</f>
        <v>1</v>
      </c>
      <c r="X33" s="2" t="str">
        <f aca="false">IF(D33=0,"Free – monitor quality",IF(F33=0,"SWITCH OFF – plan expects no qualified applicants",IF(AND(P33&lt;Assumptions!$D$83,Q33&lt;Assumptions!$D$84),"Wait – too little data",IF(OR(W33&gt;=Assumptions!$D$87,AND(R33=0,P33&gt;=Assumptions!$D$88,Q33&gt;=Assumptions!$D$84)),"SWITCH OFF",IF(W33&gt;=Assumptions!$D$86,"CUT 50%",IF(W33&lt;=Assumptions!$D$85,"ADD +"&amp;TEXT(Assumptions!$D$96,"0%")&amp;" (if slots free)","HOLD"))))))</f>
        <v>Wait – too little data</v>
      </c>
      <c r="Y33" s="15"/>
      <c r="Z33" s="41" t="str">
        <f aca="false">IF(Y33&gt;0,P33/Y33,"")</f>
        <v/>
      </c>
      <c r="AA33" s="32" t="n">
        <f aca="false">Channels!U33</f>
        <v>8.36325</v>
      </c>
    </row>
    <row r="34" customFormat="false" ht="15" hidden="false" customHeight="false" outlineLevel="0" collapsed="false">
      <c r="A34" s="2" t="str">
        <f aca="false">Channels!A34</f>
        <v>I3-M</v>
      </c>
      <c r="B34" s="2" t="str">
        <f aca="false">Channels!B34</f>
        <v>I3 Polish border corridor + PL pre-screener</v>
      </c>
      <c r="C34" s="2" t="str">
        <f aca="false">Channels!C34</f>
        <v>Mechatronics</v>
      </c>
      <c r="D34" s="43" t="n">
        <f aca="false">Channels!H34</f>
        <v>18.75</v>
      </c>
      <c r="E34" s="30" t="n">
        <f aca="false">Channels!I34</f>
        <v>0.14</v>
      </c>
      <c r="F34" s="41" t="n">
        <f aca="false">Channels!O34</f>
        <v>133.928571428571</v>
      </c>
      <c r="G34" s="18"/>
      <c r="H34" s="15"/>
      <c r="I34" s="15"/>
      <c r="J34" s="18"/>
      <c r="K34" s="15"/>
      <c r="L34" s="15"/>
      <c r="M34" s="18"/>
      <c r="N34" s="15"/>
      <c r="O34" s="15"/>
      <c r="P34" s="41" t="n">
        <f aca="false">G34+J34+M34</f>
        <v>0</v>
      </c>
      <c r="Q34" s="29" t="n">
        <f aca="false">H34+K34+N34</f>
        <v>0</v>
      </c>
      <c r="R34" s="29" t="n">
        <f aca="false">I34+L34+O34</f>
        <v>0</v>
      </c>
      <c r="S34" s="43" t="str">
        <f aca="false">IF(Q34&gt;0,P34/Q34,"")</f>
        <v/>
      </c>
      <c r="T34" s="30" t="str">
        <f aca="false">IF(Q34&gt;0,R34/Q34,"")</f>
        <v/>
      </c>
      <c r="U34" s="30" t="n">
        <f aca="false">IF(AND(OR(P34&gt;=Assumptions!$D$83,Q34&gt;=Assumptions!$D$84),R34&gt;0),R34/Q34,E34)</f>
        <v>0.14</v>
      </c>
      <c r="V34" s="41" t="n">
        <f aca="false">IF(U34&gt;0,IF(AND(OR(P34&gt;=Assumptions!$D$83,Q34&gt;=Assumptions!$D$84),Q34&gt;0),S34,D34)/U34,0)</f>
        <v>133.928571428571</v>
      </c>
      <c r="W34" s="52" t="n">
        <f aca="false">IF(F34&gt;0,V34/F34,"")</f>
        <v>1</v>
      </c>
      <c r="X34" s="2" t="str">
        <f aca="false">IF(D34=0,"Free – monitor quality",IF(F34=0,"SWITCH OFF – plan expects no qualified applicants",IF(AND(P34&lt;Assumptions!$D$83,Q34&lt;Assumptions!$D$84),"Wait – too little data",IF(OR(W34&gt;=Assumptions!$D$87,AND(R34=0,P34&gt;=Assumptions!$D$88,Q34&gt;=Assumptions!$D$84)),"SWITCH OFF",IF(W34&gt;=Assumptions!$D$86,"CUT 50%",IF(W34&lt;=Assumptions!$D$85,"ADD +"&amp;TEXT(Assumptions!$D$96,"0%")&amp;" (if slots free)","HOLD"))))))</f>
        <v>Wait – too little data</v>
      </c>
      <c r="Y34" s="15"/>
      <c r="Z34" s="41" t="str">
        <f aca="false">IF(Y34&gt;0,P34/Y34,"")</f>
        <v/>
      </c>
      <c r="AA34" s="32" t="n">
        <f aca="false">Channels!U34</f>
        <v>18</v>
      </c>
    </row>
    <row r="35" customFormat="false" ht="15" hidden="false" customHeight="false" outlineLevel="0" collapsed="false">
      <c r="B35" s="28" t="s">
        <v>463</v>
      </c>
      <c r="G35" s="42" t="n">
        <f aca="false">SUM(G5:G34)</f>
        <v>0</v>
      </c>
      <c r="H35" s="33" t="n">
        <f aca="false">SUM(H5:H34)</f>
        <v>0</v>
      </c>
      <c r="I35" s="33" t="n">
        <f aca="false">SUM(I5:I34)</f>
        <v>0</v>
      </c>
      <c r="J35" s="42" t="n">
        <f aca="false">SUM(J5:J34)</f>
        <v>0</v>
      </c>
      <c r="K35" s="33" t="n">
        <f aca="false">SUM(K5:K34)</f>
        <v>0</v>
      </c>
      <c r="L35" s="33" t="n">
        <f aca="false">SUM(L5:L34)</f>
        <v>0</v>
      </c>
      <c r="M35" s="42" t="n">
        <f aca="false">SUM(M5:M34)</f>
        <v>0</v>
      </c>
      <c r="N35" s="33" t="n">
        <f aca="false">SUM(N5:N34)</f>
        <v>0</v>
      </c>
      <c r="O35" s="33" t="n">
        <f aca="false">SUM(O5:O34)</f>
        <v>0</v>
      </c>
      <c r="P35" s="42" t="n">
        <f aca="false">SUM(P5:P34)</f>
        <v>0</v>
      </c>
      <c r="Q35" s="33" t="n">
        <f aca="false">SUM(Q5:Q34)</f>
        <v>0</v>
      </c>
      <c r="R35" s="33" t="n">
        <f aca="false">SUM(R5:R34)</f>
        <v>0</v>
      </c>
      <c r="Y35" s="33" t="n">
        <f aca="false">SUM(Y5:Y34)</f>
        <v>0</v>
      </c>
      <c r="AA35" s="35" t="n">
        <f aca="false">SUM(AA5:AA34)</f>
        <v>100</v>
      </c>
    </row>
    <row r="38" customFormat="false" ht="15" hidden="false" customHeight="false" outlineLevel="0" collapsed="false">
      <c r="A38" s="28" t="s">
        <v>789</v>
      </c>
    </row>
    <row r="39" customFormat="false" ht="45" hidden="false" customHeight="true" outlineLevel="0" collapsed="false">
      <c r="A39" s="12"/>
      <c r="B39" s="12" t="s">
        <v>322</v>
      </c>
      <c r="C39" s="12" t="s">
        <v>790</v>
      </c>
      <c r="D39" s="12" t="s">
        <v>791</v>
      </c>
      <c r="E39" s="12" t="s">
        <v>792</v>
      </c>
      <c r="F39" s="12" t="s">
        <v>793</v>
      </c>
      <c r="G39" s="12" t="s">
        <v>794</v>
      </c>
      <c r="H39" s="12" t="s">
        <v>795</v>
      </c>
      <c r="I39" s="12" t="s">
        <v>796</v>
      </c>
      <c r="J39" s="12" t="s">
        <v>797</v>
      </c>
      <c r="K39" s="12" t="s">
        <v>798</v>
      </c>
      <c r="L39" s="12" t="s">
        <v>799</v>
      </c>
      <c r="M39" s="12" t="s">
        <v>800</v>
      </c>
      <c r="N39" s="12" t="s">
        <v>801</v>
      </c>
      <c r="O39" s="12" t="s">
        <v>47</v>
      </c>
      <c r="P39" s="12" t="s">
        <v>802</v>
      </c>
    </row>
    <row r="40" customFormat="false" ht="15" hidden="false" customHeight="false" outlineLevel="0" collapsed="false">
      <c r="B40" s="2" t="s">
        <v>48</v>
      </c>
      <c r="C40" s="15"/>
      <c r="D40" s="15"/>
      <c r="E40" s="15"/>
      <c r="F40" s="15"/>
      <c r="G40" s="15"/>
      <c r="H40" s="30" t="n">
        <f aca="false">Assumptions!$D$33</f>
        <v>0.5</v>
      </c>
      <c r="I40" s="30" t="n">
        <f aca="false">IF(D40&gt;=Assumptions!$D$97,E40/D40,H40)</f>
        <v>0.5</v>
      </c>
      <c r="J40" s="30" t="n">
        <f aca="false">Assumptions!$D$41</f>
        <v>0.7</v>
      </c>
      <c r="K40" s="30" t="n">
        <f aca="false">IF(F40&gt;=Assumptions!$D$98,G40/F40,J40)</f>
        <v>0.7</v>
      </c>
      <c r="L40" s="31" t="n">
        <f aca="false">IF(Funnel!O5*Funnel!G5&gt;0,I40*Assumptions!$D$37*K40*Budget!G21/(Funnel!O5*Funnel!G5),0)</f>
        <v>0.311678288638832</v>
      </c>
      <c r="M40" s="32" t="n">
        <f aca="false">MAX(0,Funnel!O5-C40)</f>
        <v>96.2530952380952</v>
      </c>
      <c r="N40" s="46" t="n">
        <f aca="false">MIN(O40,G40+(F40-G40)*K40+(E40-F40)*Assumptions!$D$37*K40+(C40-D40)*L40+M40*L40)</f>
        <v>30</v>
      </c>
      <c r="O40" s="29" t="n">
        <f aca="false">Funnel!B5</f>
        <v>30</v>
      </c>
      <c r="P40" s="32" t="n">
        <f aca="false">O40-N40</f>
        <v>0</v>
      </c>
    </row>
    <row r="41" customFormat="false" ht="15" hidden="false" customHeight="false" outlineLevel="0" collapsed="false">
      <c r="B41" s="2" t="s">
        <v>43</v>
      </c>
      <c r="C41" s="15"/>
      <c r="D41" s="15"/>
      <c r="E41" s="15"/>
      <c r="F41" s="15"/>
      <c r="G41" s="15"/>
      <c r="H41" s="30" t="n">
        <f aca="false">Assumptions!$D$34</f>
        <v>0.55</v>
      </c>
      <c r="I41" s="30" t="n">
        <f aca="false">IF(D41&gt;=Assumptions!$D$97,E41/D41,H41)</f>
        <v>0.55</v>
      </c>
      <c r="J41" s="30" t="n">
        <f aca="false">Assumptions!$D$42</f>
        <v>0.75</v>
      </c>
      <c r="K41" s="30" t="n">
        <f aca="false">IF(F41&gt;=Assumptions!$D$98,G41/F41,J41)</f>
        <v>0.75</v>
      </c>
      <c r="L41" s="31" t="n">
        <f aca="false">IF(Funnel!O6*Funnel!G6&gt;0,I41*Assumptions!$D$38*K41*Budget!G22/(Funnel!O6*Funnel!G6),0)</f>
        <v>0.378873599857942</v>
      </c>
      <c r="M41" s="32" t="n">
        <f aca="false">MAX(0,Funnel!O6-C41)</f>
        <v>118.773121212121</v>
      </c>
      <c r="N41" s="46" t="n">
        <f aca="false">MIN(O41,G41+(F41-G41)*K41+(E41-F41)*Assumptions!$D$38*K41+(C41-D41)*L41+M41*L41)</f>
        <v>45</v>
      </c>
      <c r="O41" s="29" t="n">
        <f aca="false">Funnel!B6</f>
        <v>45</v>
      </c>
      <c r="P41" s="32" t="n">
        <f aca="false">O41-N41</f>
        <v>0</v>
      </c>
    </row>
    <row r="42" customFormat="false" ht="15" hidden="false" customHeight="false" outlineLevel="0" collapsed="false">
      <c r="B42" s="2" t="s">
        <v>52</v>
      </c>
      <c r="C42" s="15"/>
      <c r="D42" s="15"/>
      <c r="E42" s="15"/>
      <c r="F42" s="15"/>
      <c r="G42" s="15"/>
      <c r="H42" s="30" t="n">
        <f aca="false">Assumptions!$D$35</f>
        <v>0.45</v>
      </c>
      <c r="I42" s="30" t="n">
        <f aca="false">IF(D42&gt;=Assumptions!$D$97,E42/D42,H42)</f>
        <v>0.45</v>
      </c>
      <c r="J42" s="30" t="n">
        <f aca="false">Assumptions!$D$43</f>
        <v>0.7</v>
      </c>
      <c r="K42" s="30" t="n">
        <f aca="false">IF(F42&gt;=Assumptions!$D$98,G42/F42,J42)</f>
        <v>0.7</v>
      </c>
      <c r="L42" s="31" t="n">
        <f aca="false">IF(Funnel!O7*Funnel!G7&gt;0,I42*Assumptions!$D$39*K42*Budget!G23/(Funnel!O7*Funnel!G7),0)</f>
        <v>0.289432512684112</v>
      </c>
      <c r="M42" s="32" t="n">
        <f aca="false">MAX(0,Funnel!O7-C42)</f>
        <v>51.8255529100529</v>
      </c>
      <c r="N42" s="46" t="n">
        <f aca="false">MIN(O42,G42+(F42-G42)*K42+(E42-F42)*Assumptions!$D$39*K42+(C42-D42)*L42+M42*L42)</f>
        <v>15</v>
      </c>
      <c r="O42" s="29" t="n">
        <f aca="false">Funnel!B7</f>
        <v>15</v>
      </c>
      <c r="P42" s="32" t="n">
        <f aca="false">O42-N42</f>
        <v>0</v>
      </c>
    </row>
    <row r="43" customFormat="false" ht="15" hidden="false" customHeight="false" outlineLevel="0" collapsed="false">
      <c r="B43" s="2" t="s">
        <v>54</v>
      </c>
      <c r="C43" s="15"/>
      <c r="D43" s="15"/>
      <c r="E43" s="15"/>
      <c r="F43" s="15"/>
      <c r="G43" s="15"/>
      <c r="H43" s="30" t="n">
        <f aca="false">Assumptions!$D$36</f>
        <v>0.4</v>
      </c>
      <c r="I43" s="30" t="n">
        <f aca="false">IF(D43&gt;=Assumptions!$D$97,E43/D43,H43)</f>
        <v>0.4</v>
      </c>
      <c r="J43" s="30" t="n">
        <f aca="false">Assumptions!$D$44</f>
        <v>0.7</v>
      </c>
      <c r="K43" s="30" t="n">
        <f aca="false">IF(F43&gt;=Assumptions!$D$98,G43/F43,J43)</f>
        <v>0.7</v>
      </c>
      <c r="L43" s="31" t="n">
        <f aca="false">IF(Funnel!O8*Funnel!G8&gt;0,I43*Assumptions!$D$40*K43*Budget!G24/(Funnel!O8*Funnel!G8),0)</f>
        <v>0.243182933544337</v>
      </c>
      <c r="M43" s="32" t="n">
        <f aca="false">MAX(0,Funnel!O8-C43)</f>
        <v>41.1213067226891</v>
      </c>
      <c r="N43" s="46" t="n">
        <f aca="false">MIN(O43,G43+(F43-G43)*K43+(E43-F43)*Assumptions!$D$40*K43+(C43-D43)*L43+M43*L43)</f>
        <v>10</v>
      </c>
      <c r="O43" s="29" t="n">
        <f aca="false">Funnel!B8</f>
        <v>10</v>
      </c>
      <c r="P43" s="32" t="n">
        <f aca="false">O43-N43</f>
        <v>0</v>
      </c>
    </row>
    <row r="44" customFormat="false" ht="15" hidden="false" customHeight="false" outlineLevel="0" collapsed="false">
      <c r="B44" s="28" t="s">
        <v>463</v>
      </c>
      <c r="C44" s="35" t="n">
        <f aca="false">SUM(C40:C43)</f>
        <v>0</v>
      </c>
      <c r="D44" s="35" t="n">
        <f aca="false">SUM(D40:D43)</f>
        <v>0</v>
      </c>
      <c r="E44" s="35" t="n">
        <f aca="false">SUM(E40:E43)</f>
        <v>0</v>
      </c>
      <c r="F44" s="35" t="n">
        <f aca="false">SUM(F40:F43)</f>
        <v>0</v>
      </c>
      <c r="G44" s="35" t="n">
        <f aca="false">SUM(G40:G43)</f>
        <v>0</v>
      </c>
      <c r="M44" s="35" t="n">
        <f aca="false">SUM(M40:M43)</f>
        <v>307.973076082958</v>
      </c>
      <c r="N44" s="35" t="n">
        <f aca="false">SUM(N40:N43)</f>
        <v>100</v>
      </c>
      <c r="O44" s="35" t="n">
        <f aca="false">SUM(O40:O43)</f>
        <v>100</v>
      </c>
      <c r="P44" s="35" t="n">
        <f aca="false">SUM(P40:P43)</f>
        <v>0</v>
      </c>
    </row>
    <row r="46" customFormat="false" ht="15" hidden="false" customHeight="true" outlineLevel="0" collapsed="false">
      <c r="A46" s="9" t="s">
        <v>803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</row>
    <row r="47" customFormat="false" ht="15" hidden="false" customHeight="false" outlineLevel="0" collapsed="false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</row>
    <row r="48" customFormat="false" ht="15" hidden="false" customHeight="false" outlineLevel="0" collapsed="false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</row>
  </sheetData>
  <mergeCells count="1">
    <mergeCell ref="A46:P4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2026-10-09T16:37:56Z</dcterms:created>
  <dc:creator/>
  <dc:description/>
  <dc:language>en-US</dc:language>
  <cp:lastModifiedBy/>
  <dcterms:modified xsi:type="dcterms:W3CDTF">2026-10-09T16:37:56Z</dcterms:modified>
  <cp:revision>0</cp:revision>
  <dc:subject/>
  <dc:title>Operation Uptime model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