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<sst xmlns="http://schemas.openxmlformats.org/spreadsheetml/2006/main" count="1467" uniqueCount="769">
  <si>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</si>
  <si>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</si>
  <si>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</si>
  <si>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</si>
  <si>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</si>
  <si>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</si>
  <si>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</si>
  <si>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</si>
  <si>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</si>
  <si>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</si>
  <si>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</si>
  <si>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</si>
  <si>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</si>
  <si>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</si>
  <si>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</si>
  <si>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</si>
  <si>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</si>
  <si>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</si>
  <si>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</si>
  <si>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</si>
  <si>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</si>
  <si>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</si>
  <si>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</si>
  <si>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</si>
  <si>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</si>
  <si>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</si>
  <si>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</si>
  <si>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</si>
  <si>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</si>
  <si>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</si>
  <si>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</si>
  <si>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</si>
  <si>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</si>
  <si>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</si>
  <si>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</si>
  <si>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</si>
  <si>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</si>
  <si>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</si>
  <si>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</si>
  <si>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</si>
  <si>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</si>
  <si>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</si>
  <si>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</si>
  <si>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</si>
  <si>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</si>
  <si>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</si>
  <si>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</si>
  <si>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</si>
  <si>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</si>
  <si>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</si>
  <si>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</si>
  <si>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</si>
  <si>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</si>
  <si>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</si>
  <si>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</si>
  <si>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</si>
  <si>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</si>
  <si>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</si>
  <si>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</si>
  <si>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</si>
  <si>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</si>
  <si>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</si>
  <si>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</si>
  <si>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</si>
  <si>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</si>
  <si>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</si>
  <si>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</si>
  <si>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</si>
  <si>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</si>
  <si>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</si>
  <si>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Researched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</si>
  <si>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</si>
  <si>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</si>
  <si>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</si>
  <si>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</si>
  <si>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</si>
  <si>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</si>
  <si>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</si>
  <si>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</si>
  <si>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</si>
  <si>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</si>
  <si>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</si>
  <si>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</si>
  <si>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</si>
  <si>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</si>
  <si>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</si>
  <si>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</si>
  <si>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</si>
  <si>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</si>
  <si>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</si>
  <si>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</si>
  <si>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</si>
  <si>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</si>
  <si>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</si>
  <si>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</si>
  <si>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</si>
  <si>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</si>
  <si>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</si>
  <si>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</si>
  <si>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</si>
  <si>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</si>
  <si>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</si>
  <si>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</si>
  <si>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</si>
  <si>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</si>
  <si>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</si>
  <si>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</si>
  <si>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</si>
  <si>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</si>
  <si>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</si>
  <si>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</si>
  <si>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</si>
  <si>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</si>
  <si>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</si>
  <si>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</si>
  <si>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</si>
  <si>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</si>
  <si>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</si>
  <si>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</si>
  <si>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</si>
  <si>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</si>
  <si>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</si>
  <si>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</si>
  <si>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</si>
  <si>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</si>
  <si>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</si>
  <si>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</si>
  <si>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</si>
  <si>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</si>
  <si>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</si>
  <si>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</si>
  <si>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</si>
  <si>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</si>
  <si>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</si>
  <si>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</si>
  <si>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</si>
  <si>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</si>
  <si>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</si>
  <si>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</si>
  <si>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</si>
  <si>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</si>
  <si>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</si>
  <si>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</si>
  <si>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</si>
  <si>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</si>
  <si>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</si>
  <si>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</si>
  <si>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</si>
  <si>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</si>
  <si>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</si>
  <si>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</si>
  <si>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</si>
  <si>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</si>
  <si>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</si>
  <si>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</si>
  <si>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</si>
  <si>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</si>
  <si>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</si>
  <si>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</si>
  <si>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</si>
  <si>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</si>
  <si>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</si>
  <si>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</si>
  <si>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</si>
  <si>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</si>
  <si>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</si>
  <si>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</si>
  <si>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</si>
  <si>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</si>
  <si>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</si>
  <si>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</si>
  <si>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</si>
  <si>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</si>
  <si>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</si>
  <si>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</si>
  <si>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</si>
  <si>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</si>
  <si>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</si>
  <si>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</si>
  <si>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</si>
  <si>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</si>
  <si>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</si>
  <si>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</si>
  <si>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</si>
  <si>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</si>
  <si>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</si>
  <si>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</si>
  <si>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</si>
  <si>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</si>
  <si>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</si>
  <si>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</si>
  <si>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</si>
  <si>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</si>
  <si>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</si>
  <si>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</si>
  <si>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</si>
  <si>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</si>
  <si>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</si>
  <si>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</si>
  <si>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</si>
  <si>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</si>
  <si>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</si>
  <si>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</si>
  <si>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</si>
  <si>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</si>
  <si>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</si>
  <si>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</si>
  <si>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</si>
  <si>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</si>
  <si>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</si>
  <si>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</si>
  <si>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</si>
  <si>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</si>
  <si>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</si>
  <si>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</si>
  <si>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</si>
  <si>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</si>
  <si>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</si>
  <si>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</si>
  <si>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</si>
  <si>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</si>
  <si>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</si>
  <si>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</si>
  <si>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</si>
  <si>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</si>
  <si>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</si>
  <si>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</si>
  <si>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</si>
  <si>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</si>
  <si>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</si>
  <si>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</si>
  <si>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</si>
  <si>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</si>
  <si>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</si>
  <si>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</si>
  <si>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</si>
  <si>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</si>
  <si>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</si>
  <si>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</si>
  <si>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</si>
  <si>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</si>
  <si>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</si>
  <si>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</si>
  <si>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</si>
  <si>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</si>
  <si>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</si>
  <si>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</si>
  <si>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</si>
  <si>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</si>
  <si>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</si>
  <si>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</si>
  <si>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</si>
  <si>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</si>
  <si>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</si>
  <si>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</si>
  <si>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</si>
  <si>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</si>
  <si>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</si>
  <si>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</si>
  <si>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</si>
  <si>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</si>
  <si>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</si>
  <si>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</si>
  <si>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</si>
  <si>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</si>
  <si>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</si>
  <si>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</si>
  <si>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</si>
  <si>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</si>
  <si>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</si>
  <si>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</si>
  <si>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</si>
  <si>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</si>
  <si>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</si>
  <si>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</si>
  <si>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</si>
  <si>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</si>
  <si>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</si>
  <si>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</si>
  <si>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</si>
  <si>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</si>
  <si>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</si>
  <si>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</si>
  <si>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</si>
  <si>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</si>
  <si>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</si>
  <si>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</si>
  <si>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</si>
  <si>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</si>
  <si>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</si>
  <si>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</si>
  <si>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</si>
  <si>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</si>
  <si>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</si>
  <si>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</si>
  <si>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</si>
  <si>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</si>
  <si>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</si>
  <si>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</si>
  <si>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</si>
  <si>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</si>
  <si>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</si>
  <si>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</si>
  <si>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</si>
  <si>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</si>
  <si>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</si>
  <si>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</si>
  <si>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</si>
  <si>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</si>
  <si>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</si>
  <si>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</si>
  <si>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</si>
  <si>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</si>
  <si>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</si>
  <si>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</si>
  <si>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</si>
  <si>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</si>
  <si>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</si>
  <si>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</si>
  <si>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</si>
  <si>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</si>
  <si>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</si>
  <si>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</si>
  <si>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</si>
  <si>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</si>
  <si>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</si>
  <si>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</si>
  <si>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</si>
  <si>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</si>
  <si>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</si>
  <si>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</si>
  <si>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</si>
  <si>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</si>
  <si>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</si>
  <si>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</si>
  <si>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</si>
  <si>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</si>
  <si>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</si>
  <si>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</si>
  <si>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</si>
  <si>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</si>
  <si>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</si>
  <si>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</si>
  <si>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</si>
  <si>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</si>
  <si>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</si>
  <si>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</si>
  <si>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</si>
  <si>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</si>
  <si>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</si>
  <si>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</si>
  <si>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</si>
  <si>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</si>
  <si>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</si>
  <si>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</si>
  <si>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</si>
  <si>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</si>
  <si>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</si>
  <si>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</si>
  <si>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</si>
  <si>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</si>
  <si>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</si>
  <si>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</si>
  <si>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</si>
  <si>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</si>
  <si>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</si>
  <si>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</si>
  <si>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</si>
  <si>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</si>
  <si>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</si>
  <si>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</si>
  <si>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</si>
  <si>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</si>
  <si>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</si>
  <si>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</si>
  <si>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</si>
  <si>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</si>
  <si>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</si>
  <si>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</si>
  <si>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</si>
  <si>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</si>
  <si>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</si>
  <si>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</si>
  <si>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</si>
  <si>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</si>
  <si>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</si>
  <si>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</si>
  <si>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</si>
  <si>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</si>
  <si>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</si>
  <si>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</si>
  <si>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</si>
  <si>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</si>
  <si>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</si>
  <si>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</si>
  <si>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</si>
  <si>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</si>
  <si>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</si>
  <si>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</si>
  <si>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</si>
  <si>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</si>
  <si>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</si>
  <si>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</si>
  <si>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</si>
  <si>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</si>
  <si>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</si>
  <si>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</si>
  <si>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</si>
  <si>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</si>
  <si>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</si>
  <si>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Eurostat AES 2022, Poland, ages 25–64, vocational upper-secondary: 58.7% know a foreign language (edat_aes_l23: 100 − 41.3%)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</si>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</sst>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www.arbeitsagentur.de/faktor-a/mitarbeiter-finden/so-funktioniert-deutschlands-groesste-jobboers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talentbait.de/recruiting-kanaele-uebersicht/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stepstone.de/e-recruiting/stellenanzeige-aufgeben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social-media-recruiting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pin.com/blog/recruiting-outreach-benchmark-report/" TargetMode="External"/><Relationship Id="rId73" Type="http://schemas.openxmlformats.org/officeDocument/2006/relationships/hyperlink" Target="https://www.shrm.org/mena/topics-tools/news/technology/talent-rediscovery-tools-help-address-labor-shortages" TargetMode="External"/><Relationship Id="rId74" Type="http://schemas.openxmlformats.org/officeDocument/2006/relationships/hyperlink" Target="https://iab-forum.de/online-medien-sind-bei-der-personalsuche-auf-dem-vormarsch/" TargetMode="External"/><Relationship Id="rId75" Type="http://schemas.openxmlformats.org/officeDocument/2006/relationships/hyperlink" Target="https://www.seven.io/en/prices/" TargetMode="External"/><Relationship Id="rId76" Type="http://schemas.openxmlformats.org/officeDocument/2006/relationships/hyperlink" Target="https://www.personalwirtschaft.de/?p=166393" TargetMode="External"/><Relationship Id="rId77" Type="http://schemas.openxmlformats.org/officeDocument/2006/relationships/hyperlink" Target="https://www.metaview.ai/resources/blog/do-referred-candidates-interview-better" TargetMode="External"/><Relationship Id="rId78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79" Type="http://schemas.openxmlformats.org/officeDocument/2006/relationships/hyperlink" Target="https://www.talentbait.de/social-media-recruiting" TargetMode="External"/><Relationship Id="rId80" Type="http://schemas.openxmlformats.org/officeDocument/2006/relationships/hyperlink" Target="https://www.freelancermap.de/freelancer/texterstellung" TargetMode="External"/><Relationship Id="rId81" Type="http://schemas.openxmlformats.org/officeDocument/2006/relationships/hyperlink" Target="https://dlafirm.pracuj.pl/cennik-uslug/pakiety-ogloszen" TargetMode="External"/><Relationship Id="rId82" Type="http://schemas.openxmlformats.org/officeDocument/2006/relationships/hyperlink" Target="https://ec.europa.eu/eurostat/databrowser/view/edat_aes_l23/default/table" TargetMode="External"/><Relationship Id="rId83" Type="http://schemas.openxmlformats.org/officeDocument/2006/relationships/hyperlink" Target="https://www.indeed.com/hire/c/info/what-is-a-phone-screen" TargetMode="External"/><Relationship Id="rId84" Type="http://schemas.openxmlformats.org/officeDocument/2006/relationships/hyperlink" Target="https://rocketjobs.pl/oferta-pracy/intent-tech-recruiter-freelance--warszawa-hr-recruitment-9e0cdcee" TargetMode="External"/><Relationship Id="rId85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70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70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70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70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70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70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0.25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0.145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0.18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0.185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0.215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0.025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70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70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70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70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70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70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70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70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70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70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70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70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70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70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70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70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70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70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70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70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70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70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70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70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70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70</v>
      </c>
      <c r="G123" s="17" t="s">
        <v>309</v>
      </c>
    </row>
    <row r="125" customFormat="false" ht="15" hidden="false" customHeight="false" outlineLevel="0" collapsed="false">
      <c r="A125" s="10" t="s">
        <v>310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311</v>
      </c>
      <c r="C126" s="12" t="s">
        <v>312</v>
      </c>
      <c r="D126" s="12" t="s">
        <v>313</v>
      </c>
      <c r="E126" s="12" t="s">
        <v>314</v>
      </c>
      <c r="F126" s="12" t="s">
        <v>315</v>
      </c>
      <c r="G126" s="12" t="s">
        <v>316</v>
      </c>
      <c r="H126" s="12" t="s">
        <v>317</v>
      </c>
      <c r="I126" s="12" t="s">
        <v>318</v>
      </c>
      <c r="J126" s="12" t="s">
        <v>319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320</v>
      </c>
      <c r="B127" s="13" t="s">
        <v>321</v>
      </c>
      <c r="C127" s="2" t="s">
        <v>48</v>
      </c>
      <c r="D127" s="2" t="s">
        <v>322</v>
      </c>
      <c r="E127" s="23" t="n">
        <v>0</v>
      </c>
      <c r="F127" s="24"/>
      <c r="G127" s="25" t="n">
        <f aca="false">Assumptions!$D$29*Assumptions!$D$109</f>
        <v>0.175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70</v>
      </c>
      <c r="L127" s="17" t="s">
        <v>323</v>
      </c>
    </row>
    <row r="128" customFormat="false" ht="26.85" hidden="false" customHeight="false" outlineLevel="0" collapsed="false">
      <c r="A128" s="2" t="s">
        <v>324</v>
      </c>
      <c r="B128" s="13" t="s">
        <v>321</v>
      </c>
      <c r="C128" s="2" t="s">
        <v>43</v>
      </c>
      <c r="D128" s="2" t="s">
        <v>322</v>
      </c>
      <c r="E128" s="23" t="n">
        <v>0</v>
      </c>
      <c r="F128" s="24"/>
      <c r="G128" s="25" t="n">
        <f aca="false">Assumptions!$D$30*Assumptions!$D$109</f>
        <v>0.175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70</v>
      </c>
      <c r="L128" s="17" t="s">
        <v>323</v>
      </c>
    </row>
    <row r="129" customFormat="false" ht="26.85" hidden="false" customHeight="false" outlineLevel="0" collapsed="false">
      <c r="A129" s="2" t="s">
        <v>325</v>
      </c>
      <c r="B129" s="13" t="s">
        <v>321</v>
      </c>
      <c r="C129" s="2" t="s">
        <v>52</v>
      </c>
      <c r="D129" s="2" t="s">
        <v>322</v>
      </c>
      <c r="E129" s="23" t="n">
        <v>0</v>
      </c>
      <c r="F129" s="24"/>
      <c r="G129" s="25" t="n">
        <f aca="false">Assumptions!$D$31*Assumptions!$D$109</f>
        <v>0.175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70</v>
      </c>
      <c r="L129" s="17" t="s">
        <v>323</v>
      </c>
    </row>
    <row r="130" customFormat="false" ht="26.85" hidden="false" customHeight="false" outlineLevel="0" collapsed="false">
      <c r="A130" s="2" t="s">
        <v>326</v>
      </c>
      <c r="B130" s="13" t="s">
        <v>321</v>
      </c>
      <c r="C130" s="2" t="s">
        <v>54</v>
      </c>
      <c r="D130" s="2" t="s">
        <v>322</v>
      </c>
      <c r="E130" s="23" t="n">
        <v>0</v>
      </c>
      <c r="F130" s="24"/>
      <c r="G130" s="25" t="n">
        <f aca="false">Assumptions!$D$32*Assumptions!$D$109</f>
        <v>0.161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70</v>
      </c>
      <c r="L130" s="17" t="s">
        <v>323</v>
      </c>
    </row>
    <row r="131" customFormat="false" ht="26.85" hidden="false" customHeight="false" outlineLevel="0" collapsed="false">
      <c r="A131" s="2" t="s">
        <v>327</v>
      </c>
      <c r="B131" s="13" t="s">
        <v>328</v>
      </c>
      <c r="C131" s="2" t="s">
        <v>48</v>
      </c>
      <c r="D131" s="2" t="s">
        <v>329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70</v>
      </c>
      <c r="L131" s="17" t="s">
        <v>330</v>
      </c>
    </row>
    <row r="132" customFormat="false" ht="26.85" hidden="false" customHeight="false" outlineLevel="0" collapsed="false">
      <c r="A132" s="2" t="s">
        <v>331</v>
      </c>
      <c r="B132" s="13" t="s">
        <v>328</v>
      </c>
      <c r="C132" s="2" t="s">
        <v>43</v>
      </c>
      <c r="D132" s="2" t="s">
        <v>329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70</v>
      </c>
      <c r="L132" s="17" t="s">
        <v>330</v>
      </c>
    </row>
    <row r="133" customFormat="false" ht="26.85" hidden="false" customHeight="false" outlineLevel="0" collapsed="false">
      <c r="A133" s="2" t="s">
        <v>332</v>
      </c>
      <c r="B133" s="13" t="s">
        <v>328</v>
      </c>
      <c r="C133" s="2" t="s">
        <v>52</v>
      </c>
      <c r="D133" s="2" t="s">
        <v>329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70</v>
      </c>
      <c r="L133" s="17" t="s">
        <v>330</v>
      </c>
    </row>
    <row r="134" customFormat="false" ht="26.85" hidden="false" customHeight="false" outlineLevel="0" collapsed="false">
      <c r="A134" s="2" t="s">
        <v>333</v>
      </c>
      <c r="B134" s="13" t="s">
        <v>328</v>
      </c>
      <c r="C134" s="2" t="s">
        <v>54</v>
      </c>
      <c r="D134" s="2" t="s">
        <v>329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70</v>
      </c>
      <c r="L134" s="17" t="s">
        <v>330</v>
      </c>
    </row>
    <row r="135" customFormat="false" ht="15" hidden="false" customHeight="false" outlineLevel="0" collapsed="false">
      <c r="A135" s="2" t="s">
        <v>334</v>
      </c>
      <c r="B135" s="13" t="s">
        <v>335</v>
      </c>
      <c r="C135" s="2" t="s">
        <v>48</v>
      </c>
      <c r="D135" s="2" t="s">
        <v>336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70</v>
      </c>
      <c r="L135" s="17" t="s">
        <v>337</v>
      </c>
    </row>
    <row r="136" customFormat="false" ht="15" hidden="false" customHeight="false" outlineLevel="0" collapsed="false">
      <c r="A136" s="2" t="s">
        <v>338</v>
      </c>
      <c r="B136" s="13" t="s">
        <v>335</v>
      </c>
      <c r="C136" s="2" t="s">
        <v>43</v>
      </c>
      <c r="D136" s="2" t="s">
        <v>336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70</v>
      </c>
      <c r="L136" s="17" t="s">
        <v>337</v>
      </c>
    </row>
    <row r="137" customFormat="false" ht="15" hidden="false" customHeight="false" outlineLevel="0" collapsed="false">
      <c r="A137" s="2" t="s">
        <v>339</v>
      </c>
      <c r="B137" s="13" t="s">
        <v>335</v>
      </c>
      <c r="C137" s="2" t="s">
        <v>52</v>
      </c>
      <c r="D137" s="2" t="s">
        <v>336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70</v>
      </c>
      <c r="L137" s="17" t="s">
        <v>337</v>
      </c>
    </row>
    <row r="138" customFormat="false" ht="15" hidden="false" customHeight="false" outlineLevel="0" collapsed="false">
      <c r="A138" s="2" t="s">
        <v>340</v>
      </c>
      <c r="B138" s="13" t="s">
        <v>335</v>
      </c>
      <c r="C138" s="2" t="s">
        <v>54</v>
      </c>
      <c r="D138" s="2" t="s">
        <v>336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70</v>
      </c>
      <c r="L138" s="17" t="s">
        <v>337</v>
      </c>
    </row>
    <row r="139" customFormat="false" ht="15" hidden="false" customHeight="false" outlineLevel="0" collapsed="false">
      <c r="A139" s="2" t="s">
        <v>341</v>
      </c>
      <c r="B139" s="13" t="s">
        <v>342</v>
      </c>
      <c r="C139" s="2" t="s">
        <v>52</v>
      </c>
      <c r="D139" s="2" t="s">
        <v>329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70</v>
      </c>
      <c r="L139" s="17" t="s">
        <v>343</v>
      </c>
    </row>
    <row r="140" customFormat="false" ht="15" hidden="false" customHeight="false" outlineLevel="0" collapsed="false">
      <c r="A140" s="2" t="s">
        <v>344</v>
      </c>
      <c r="B140" s="13" t="s">
        <v>342</v>
      </c>
      <c r="C140" s="2" t="s">
        <v>54</v>
      </c>
      <c r="D140" s="2" t="s">
        <v>329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70</v>
      </c>
      <c r="L140" s="17" t="s">
        <v>343</v>
      </c>
    </row>
    <row r="141" customFormat="false" ht="15" hidden="false" customHeight="false" outlineLevel="0" collapsed="false">
      <c r="A141" s="2" t="s">
        <v>345</v>
      </c>
      <c r="B141" s="13" t="s">
        <v>346</v>
      </c>
      <c r="C141" s="2" t="s">
        <v>48</v>
      </c>
      <c r="D141" s="2" t="s">
        <v>329</v>
      </c>
      <c r="E141" s="23" t="n">
        <v>84</v>
      </c>
      <c r="F141" s="24"/>
      <c r="G141" s="25" t="n">
        <f aca="false">Assumptions!$D$29*Assumptions!$D$110</f>
        <v>0.1025</v>
      </c>
      <c r="H141" s="26" t="n">
        <f aca="false">IF(G141&gt;0,ROUND(Assumptions!$D$116/G141,-1),0)</f>
        <v>200</v>
      </c>
      <c r="I141" s="20" t="n">
        <v>1</v>
      </c>
      <c r="J141" s="18" t="n">
        <v>0</v>
      </c>
      <c r="K141" s="2" t="s">
        <v>63</v>
      </c>
      <c r="L141" s="17" t="s">
        <v>347</v>
      </c>
    </row>
    <row r="142" customFormat="false" ht="15" hidden="false" customHeight="false" outlineLevel="0" collapsed="false">
      <c r="A142" s="2" t="s">
        <v>348</v>
      </c>
      <c r="B142" s="13" t="s">
        <v>346</v>
      </c>
      <c r="C142" s="2" t="s">
        <v>43</v>
      </c>
      <c r="D142" s="2" t="s">
        <v>329</v>
      </c>
      <c r="E142" s="23" t="n">
        <v>84</v>
      </c>
      <c r="F142" s="24"/>
      <c r="G142" s="25" t="n">
        <f aca="false">Assumptions!$D$30*Assumptions!$D$110</f>
        <v>0.1025</v>
      </c>
      <c r="H142" s="26" t="n">
        <f aca="false">IF(G142&gt;0,ROUND(Assumptions!$D$117/G142,-1),0)</f>
        <v>220</v>
      </c>
      <c r="I142" s="20" t="n">
        <v>1</v>
      </c>
      <c r="J142" s="18" t="n">
        <v>0</v>
      </c>
      <c r="K142" s="2" t="s">
        <v>63</v>
      </c>
      <c r="L142" s="17" t="s">
        <v>347</v>
      </c>
    </row>
    <row r="143" customFormat="false" ht="15" hidden="false" customHeight="false" outlineLevel="0" collapsed="false">
      <c r="A143" s="2" t="s">
        <v>349</v>
      </c>
      <c r="B143" s="13" t="s">
        <v>350</v>
      </c>
      <c r="C143" s="2" t="s">
        <v>48</v>
      </c>
      <c r="D143" s="2" t="s">
        <v>329</v>
      </c>
      <c r="E143" s="23" t="n">
        <v>179</v>
      </c>
      <c r="F143" s="24"/>
      <c r="G143" s="25" t="n">
        <f aca="false">Assumptions!$D$29*Assumptions!$D$109</f>
        <v>0.175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70</v>
      </c>
      <c r="L143" s="17" t="s">
        <v>351</v>
      </c>
    </row>
    <row r="144" customFormat="false" ht="15" hidden="false" customHeight="false" outlineLevel="0" collapsed="false">
      <c r="A144" s="2" t="s">
        <v>352</v>
      </c>
      <c r="B144" s="13" t="s">
        <v>350</v>
      </c>
      <c r="C144" s="2" t="s">
        <v>43</v>
      </c>
      <c r="D144" s="2" t="s">
        <v>329</v>
      </c>
      <c r="E144" s="23" t="n">
        <v>179</v>
      </c>
      <c r="F144" s="24"/>
      <c r="G144" s="25" t="n">
        <f aca="false">Assumptions!$D$30*Assumptions!$D$109</f>
        <v>0.175</v>
      </c>
      <c r="H144" s="26" t="n">
        <f aca="false">IF(G144&gt;0,ROUND((Assumptions!$D$69*Assumptions!$D$73+Assumptions!$D$77)*Assumptions!$D$113/G144,-1),0)</f>
        <v>1760</v>
      </c>
      <c r="I144" s="20" t="n">
        <v>1</v>
      </c>
      <c r="J144" s="18" t="n">
        <v>0</v>
      </c>
      <c r="K144" s="2" t="s">
        <v>70</v>
      </c>
      <c r="L144" s="17" t="s">
        <v>351</v>
      </c>
    </row>
    <row r="145" customFormat="false" ht="15" hidden="false" customHeight="false" outlineLevel="0" collapsed="false">
      <c r="A145" s="2" t="s">
        <v>353</v>
      </c>
      <c r="B145" s="13" t="s">
        <v>350</v>
      </c>
      <c r="C145" s="2" t="s">
        <v>52</v>
      </c>
      <c r="D145" s="2" t="s">
        <v>329</v>
      </c>
      <c r="E145" s="23" t="n">
        <v>179</v>
      </c>
      <c r="F145" s="24"/>
      <c r="G145" s="25" t="n">
        <f aca="false">Assumptions!$D$31*Assumptions!$D$109</f>
        <v>0.175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70</v>
      </c>
      <c r="L145" s="17" t="s">
        <v>351</v>
      </c>
    </row>
    <row r="146" customFormat="false" ht="15" hidden="false" customHeight="false" outlineLevel="0" collapsed="false">
      <c r="A146" s="2" t="s">
        <v>354</v>
      </c>
      <c r="B146" s="13" t="s">
        <v>350</v>
      </c>
      <c r="C146" s="2" t="s">
        <v>54</v>
      </c>
      <c r="D146" s="2" t="s">
        <v>329</v>
      </c>
      <c r="E146" s="23" t="n">
        <v>179</v>
      </c>
      <c r="F146" s="24"/>
      <c r="G146" s="25" t="n">
        <f aca="false">Assumptions!$D$32*Assumptions!$D$109</f>
        <v>0.161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70</v>
      </c>
      <c r="L146" s="17" t="s">
        <v>351</v>
      </c>
    </row>
    <row r="148" customFormat="false" ht="15" hidden="false" customHeight="false" outlineLevel="0" collapsed="false">
      <c r="A148" s="10" t="s">
        <v>355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356</v>
      </c>
      <c r="B150" s="13" t="s">
        <v>357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358</v>
      </c>
      <c r="F150" s="2" t="s">
        <v>63</v>
      </c>
      <c r="G150" s="13" t="s">
        <v>359</v>
      </c>
    </row>
    <row r="151" customFormat="false" ht="26.85" hidden="false" customHeight="false" outlineLevel="0" collapsed="false">
      <c r="A151" s="2" t="s">
        <v>360</v>
      </c>
      <c r="B151" s="13" t="s">
        <v>357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358</v>
      </c>
      <c r="F151" s="2" t="s">
        <v>63</v>
      </c>
      <c r="G151" s="13" t="s">
        <v>359</v>
      </c>
    </row>
    <row r="152" customFormat="false" ht="26.85" hidden="false" customHeight="false" outlineLevel="0" collapsed="false">
      <c r="A152" s="2" t="s">
        <v>361</v>
      </c>
      <c r="B152" s="13" t="s">
        <v>357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358</v>
      </c>
      <c r="F152" s="2" t="s">
        <v>63</v>
      </c>
      <c r="G152" s="13" t="s">
        <v>359</v>
      </c>
    </row>
    <row r="153" customFormat="false" ht="26.85" hidden="false" customHeight="false" outlineLevel="0" collapsed="false">
      <c r="A153" s="2" t="s">
        <v>362</v>
      </c>
      <c r="B153" s="13" t="s">
        <v>357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358</v>
      </c>
      <c r="F153" s="2" t="s">
        <v>63</v>
      </c>
      <c r="G153" s="13" t="s">
        <v>359</v>
      </c>
    </row>
    <row r="154" customFormat="false" ht="26.85" hidden="false" customHeight="false" outlineLevel="0" collapsed="false">
      <c r="A154" s="2" t="s">
        <v>363</v>
      </c>
      <c r="B154" s="13" t="s">
        <v>364</v>
      </c>
      <c r="C154" s="2" t="s">
        <v>31</v>
      </c>
      <c r="D154" s="16" t="n">
        <v>0.12</v>
      </c>
      <c r="E154" s="2" t="s">
        <v>44</v>
      </c>
      <c r="F154" s="2" t="s">
        <v>63</v>
      </c>
      <c r="G154" s="17" t="s">
        <v>365</v>
      </c>
    </row>
    <row r="155" customFormat="false" ht="15" hidden="false" customHeight="false" outlineLevel="0" collapsed="false">
      <c r="A155" s="2" t="s">
        <v>366</v>
      </c>
      <c r="B155" s="13" t="s">
        <v>367</v>
      </c>
      <c r="C155" s="2" t="s">
        <v>31</v>
      </c>
      <c r="D155" s="16" t="n">
        <v>0.5</v>
      </c>
      <c r="E155" s="2" t="s">
        <v>44</v>
      </c>
      <c r="F155" s="2" t="s">
        <v>63</v>
      </c>
      <c r="G155" s="17" t="s">
        <v>368</v>
      </c>
    </row>
    <row r="156" customFormat="false" ht="26.85" hidden="false" customHeight="false" outlineLevel="0" collapsed="false">
      <c r="A156" s="2" t="s">
        <v>369</v>
      </c>
      <c r="B156" s="13" t="s">
        <v>370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186</v>
      </c>
      <c r="F156" s="2" t="s">
        <v>63</v>
      </c>
      <c r="G156" s="13" t="s">
        <v>371</v>
      </c>
    </row>
    <row r="157" customFormat="false" ht="26.85" hidden="false" customHeight="false" outlineLevel="0" collapsed="false">
      <c r="A157" s="2" t="s">
        <v>372</v>
      </c>
      <c r="B157" s="13" t="s">
        <v>370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186</v>
      </c>
      <c r="F157" s="2" t="s">
        <v>63</v>
      </c>
      <c r="G157" s="13" t="s">
        <v>371</v>
      </c>
    </row>
    <row r="158" customFormat="false" ht="26.85" hidden="false" customHeight="false" outlineLevel="0" collapsed="false">
      <c r="A158" s="2" t="s">
        <v>373</v>
      </c>
      <c r="B158" s="13" t="s">
        <v>370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186</v>
      </c>
      <c r="F158" s="2" t="s">
        <v>63</v>
      </c>
      <c r="G158" s="13" t="s">
        <v>371</v>
      </c>
    </row>
    <row r="159" customFormat="false" ht="26.85" hidden="false" customHeight="false" outlineLevel="0" collapsed="false">
      <c r="A159" s="2" t="s">
        <v>374</v>
      </c>
      <c r="B159" s="13" t="s">
        <v>370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186</v>
      </c>
      <c r="F159" s="2" t="s">
        <v>63</v>
      </c>
      <c r="G159" s="13" t="s">
        <v>371</v>
      </c>
    </row>
    <row r="160" customFormat="false" ht="15" hidden="false" customHeight="false" outlineLevel="0" collapsed="false">
      <c r="A160" s="2" t="s">
        <v>375</v>
      </c>
      <c r="B160" s="13" t="s">
        <v>376</v>
      </c>
      <c r="C160" s="2" t="s">
        <v>31</v>
      </c>
      <c r="D160" s="16" t="n">
        <v>0.45</v>
      </c>
      <c r="E160" s="2" t="s">
        <v>44</v>
      </c>
      <c r="F160" s="2" t="s">
        <v>63</v>
      </c>
      <c r="G160" s="17" t="s">
        <v>377</v>
      </c>
    </row>
    <row r="161" customFormat="false" ht="26.85" hidden="false" customHeight="false" outlineLevel="0" collapsed="false">
      <c r="A161" s="2" t="s">
        <v>378</v>
      </c>
      <c r="B161" s="13" t="s">
        <v>379</v>
      </c>
      <c r="C161" s="2" t="s">
        <v>31</v>
      </c>
      <c r="D161" s="23" t="n">
        <v>0.3</v>
      </c>
      <c r="E161" s="2" t="s">
        <v>119</v>
      </c>
      <c r="F161" s="2" t="s">
        <v>63</v>
      </c>
      <c r="G161" s="17" t="s">
        <v>380</v>
      </c>
    </row>
    <row r="162" customFormat="false" ht="26.85" hidden="false" customHeight="false" outlineLevel="0" collapsed="false">
      <c r="A162" s="2" t="s">
        <v>381</v>
      </c>
      <c r="B162" s="13" t="s">
        <v>382</v>
      </c>
      <c r="C162" s="2" t="s">
        <v>31</v>
      </c>
      <c r="D162" s="18" t="n">
        <v>1000</v>
      </c>
      <c r="E162" s="2" t="s">
        <v>119</v>
      </c>
      <c r="F162" s="2" t="s">
        <v>70</v>
      </c>
      <c r="G162" s="17" t="s">
        <v>383</v>
      </c>
    </row>
    <row r="163" customFormat="false" ht="26.85" hidden="false" customHeight="false" outlineLevel="0" collapsed="false">
      <c r="A163" s="2" t="s">
        <v>384</v>
      </c>
      <c r="B163" s="13" t="s">
        <v>385</v>
      </c>
      <c r="C163" s="2" t="s">
        <v>31</v>
      </c>
      <c r="D163" s="20" t="n">
        <v>1.15</v>
      </c>
      <c r="E163" s="2" t="s">
        <v>256</v>
      </c>
      <c r="F163" s="2" t="s">
        <v>63</v>
      </c>
      <c r="G163" s="17" t="s">
        <v>386</v>
      </c>
    </row>
    <row r="164" customFormat="false" ht="39.55" hidden="false" customHeight="false" outlineLevel="0" collapsed="false">
      <c r="A164" s="2" t="s">
        <v>387</v>
      </c>
      <c r="B164" s="13" t="s">
        <v>388</v>
      </c>
      <c r="C164" s="2" t="s">
        <v>48</v>
      </c>
      <c r="D164" s="15" t="n">
        <v>10000</v>
      </c>
      <c r="E164" s="2" t="s">
        <v>159</v>
      </c>
      <c r="F164" s="2" t="s">
        <v>63</v>
      </c>
      <c r="G164" s="17" t="s">
        <v>389</v>
      </c>
    </row>
    <row r="165" customFormat="false" ht="26.85" hidden="false" customHeight="false" outlineLevel="0" collapsed="false">
      <c r="A165" s="2" t="s">
        <v>390</v>
      </c>
      <c r="B165" s="13" t="s">
        <v>391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63</v>
      </c>
      <c r="G165" s="13" t="s">
        <v>392</v>
      </c>
    </row>
    <row r="166" customFormat="false" ht="26.85" hidden="false" customHeight="false" outlineLevel="0" collapsed="false">
      <c r="A166" s="2" t="s">
        <v>393</v>
      </c>
      <c r="B166" s="13" t="s">
        <v>394</v>
      </c>
      <c r="C166" s="2" t="s">
        <v>48</v>
      </c>
      <c r="D166" s="18" t="n">
        <v>84</v>
      </c>
      <c r="E166" s="2" t="s">
        <v>119</v>
      </c>
      <c r="F166" s="2" t="s">
        <v>63</v>
      </c>
      <c r="G166" s="17" t="s">
        <v>395</v>
      </c>
    </row>
    <row r="167" customFormat="false" ht="26.85" hidden="false" customHeight="false" outlineLevel="0" collapsed="false">
      <c r="A167" s="2" t="s">
        <v>396</v>
      </c>
      <c r="B167" s="13" t="s">
        <v>397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398</v>
      </c>
    </row>
    <row r="168" customFormat="false" ht="15" hidden="false" customHeight="false" outlineLevel="0" collapsed="false">
      <c r="A168" s="2" t="s">
        <v>399</v>
      </c>
      <c r="B168" s="13" t="s">
        <v>400</v>
      </c>
      <c r="C168" s="2" t="s">
        <v>48</v>
      </c>
      <c r="D168" s="20" t="n">
        <v>0.9</v>
      </c>
      <c r="E168" s="2" t="s">
        <v>256</v>
      </c>
      <c r="F168" s="2" t="s">
        <v>63</v>
      </c>
      <c r="G168" s="13" t="s">
        <v>401</v>
      </c>
    </row>
    <row r="169" customFormat="false" ht="26.85" hidden="false" customHeight="false" outlineLevel="0" collapsed="false">
      <c r="A169" s="2" t="s">
        <v>402</v>
      </c>
      <c r="B169" s="13" t="s">
        <v>403</v>
      </c>
      <c r="C169" s="2" t="s">
        <v>48</v>
      </c>
      <c r="D169" s="18" t="n">
        <v>1200</v>
      </c>
      <c r="E169" s="2" t="s">
        <v>119</v>
      </c>
      <c r="F169" s="2" t="s">
        <v>63</v>
      </c>
      <c r="G169" s="17" t="s">
        <v>404</v>
      </c>
    </row>
    <row r="170" customFormat="false" ht="26.85" hidden="false" customHeight="false" outlineLevel="0" collapsed="false">
      <c r="A170" s="2" t="s">
        <v>405</v>
      </c>
      <c r="B170" s="13" t="s">
        <v>406</v>
      </c>
      <c r="C170" s="2" t="s">
        <v>43</v>
      </c>
      <c r="D170" s="18" t="n">
        <v>14</v>
      </c>
      <c r="E170" s="2" t="s">
        <v>119</v>
      </c>
      <c r="F170" s="2" t="s">
        <v>63</v>
      </c>
      <c r="G170" s="17" t="s">
        <v>407</v>
      </c>
    </row>
    <row r="171" customFormat="false" ht="26.85" hidden="false" customHeight="false" outlineLevel="0" collapsed="false">
      <c r="A171" s="2" t="s">
        <v>408</v>
      </c>
      <c r="B171" s="13" t="s">
        <v>409</v>
      </c>
      <c r="C171" s="2" t="s">
        <v>43</v>
      </c>
      <c r="D171" s="16" t="n">
        <v>0.14</v>
      </c>
      <c r="E171" s="2" t="s">
        <v>44</v>
      </c>
      <c r="F171" s="2" t="s">
        <v>70</v>
      </c>
      <c r="G171" s="17" t="s">
        <v>410</v>
      </c>
    </row>
    <row r="172" customFormat="false" ht="15" hidden="false" customHeight="false" outlineLevel="0" collapsed="false">
      <c r="A172" s="2" t="s">
        <v>411</v>
      </c>
      <c r="B172" s="13" t="s">
        <v>412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186</v>
      </c>
      <c r="F172" s="2" t="s">
        <v>63</v>
      </c>
      <c r="G172" s="13" t="s">
        <v>413</v>
      </c>
    </row>
    <row r="173" customFormat="false" ht="15" hidden="false" customHeight="false" outlineLevel="0" collapsed="false">
      <c r="A173" s="2" t="s">
        <v>414</v>
      </c>
      <c r="B173" s="13" t="s">
        <v>415</v>
      </c>
      <c r="C173" s="2" t="s">
        <v>43</v>
      </c>
      <c r="D173" s="20" t="n">
        <v>1</v>
      </c>
      <c r="E173" s="2" t="s">
        <v>256</v>
      </c>
      <c r="F173" s="2" t="s">
        <v>63</v>
      </c>
      <c r="G173" s="13" t="s">
        <v>416</v>
      </c>
    </row>
    <row r="174" customFormat="false" ht="15" hidden="false" customHeight="false" outlineLevel="0" collapsed="false">
      <c r="A174" s="2" t="s">
        <v>417</v>
      </c>
      <c r="B174" s="13" t="s">
        <v>418</v>
      </c>
      <c r="C174" s="2" t="s">
        <v>43</v>
      </c>
      <c r="D174" s="15" t="n">
        <v>15</v>
      </c>
      <c r="E174" s="2" t="s">
        <v>419</v>
      </c>
      <c r="F174" s="2" t="s">
        <v>70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8" t="n">
        <v>19</v>
      </c>
      <c r="E175" s="2" t="s">
        <v>119</v>
      </c>
      <c r="F175" s="2" t="s">
        <v>70</v>
      </c>
      <c r="G175" s="17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18" t="n">
        <v>400</v>
      </c>
      <c r="E176" s="2" t="s">
        <v>119</v>
      </c>
      <c r="F176" s="2" t="s">
        <v>63</v>
      </c>
      <c r="G176" s="17" t="s">
        <v>426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L127" r:id="rId52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Indeed's CPA median is €161 in TalentBait's DACH 2024–26 dataset (2,549 channel-campaigns across all channels), used as the programmatic proxy. Volume capped by Indeed's reach. https://www.talentbait.de/recruiting-kanaele-uebersicht/"/>
    <hyperlink ref="L132" r:id="rId57" display="Indeed's CPA median is €161 in TalentBait's DACH 2024–26 dataset (2,549 channel-campaigns across all channels), used as the programmatic proxy. Volume capped by Indeed's reach. https://www.talentbait.de/recruiting-kanaele-uebersicht/"/>
    <hyperlink ref="L133" r:id="rId58" display="Indeed's CPA median is €161 in TalentBait's DACH 2024–26 dataset (2,549 channel-campaigns across all channels), used as the programmatic proxy. Volume capped by Indeed's reach. https://www.talentbait.de/recruiting-kanaele-uebersicht/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DACH median €96 per application (TalentBait). Used only for automation and supervisors. https://www.talentbait.de/recruiting-kanaele-uebersicht/"/>
    <hyperlink ref="L140" r:id="rId65" display="DACH median €96 per application (TalentBait). Used only for automation and supervisors. https://www.talentbait.de/recruiting-kanaele-uebersicht/"/>
    <hyperlink ref="L141" r:id="rId66" display="Own estimate: TalentBait's example ad shows ~€84 per application for trades (its measured averages: €52 raw, €104 per qualified); volume from Redline campaign data. https://www.talentbait.de/social-media-recruiting"/>
    <hyperlink ref="L142" r:id="rId67" display="Own estimate: TalentBait's example ad shows ~€84 per application for trades (its measured averages: €52 raw, €104 per qualified); volume from Redline campaign data. https://www.talentbait.de/social-media-recruiting"/>
    <hyperlink ref="L143" r:id="rId68" display="Google Search ads ~€179 per application, low volume (TalentBait). https://www.talentbait.de/recruiting-kanaele-uebersicht/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G154" r:id="rId72" display="Cold outreach gets ~5% replies (Pin 2026); past applicants already know the employer, so I assume 12%. https://www.pin.com/blog/recruiting-outreach-benchmark-report/"/>
    <hyperlink ref="G155" r:id="rId73" display="They met the requirements once; I assume half still do (Forrester via SHRM: most remain a 70%+ match). https://www.shrm.org/mena/topics-tools/news/technology/talent-rediscovery-tools-help-address-labor-shortages"/>
    <hyperlink ref="G160" r:id="rId74" display="Referred applicants are better pre-filtered (IAB: referrals are the most decisive channel), so 45% qualify. https://iab-forum.de/online-medien-sind-bei-der-personalsuche-auf-dem-vormarsch/"/>
    <hyperlink ref="G161" r:id="rId75" display="Three text messages at ~€0.075 each (seven.io price list, 2016 rates) plus email, rounded up to €0.30. https://www.seven.io/en/prices/"/>
    <hyperlink ref="G162" r:id="rId76" display="Most firms pay €501–1,000 per successful referral (Radancy survey, 335 firms worldwide). https://www.personalwirtschaft.de/?p=166393"/>
    <hyperlink ref="G163" r:id="rId77" display="Referred and known candidates pass and accept a little more often (+15%). https://www.metaview.ai/resources/blog/do-referred-candidates-interview-better"/>
    <hyperlink ref="G164" r:id="rId78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6" r:id="rId79" display="Own estimate: TalentBait's example ad shows ~€84 per application for trades; its measured averages are €52 per raw application and €104 per qualified one. https://www.talentbait.de/social-media-recruiting"/>
    <hyperlink ref="G169" r:id="rId80" display="Copywriter (~11 hours at €65) plus a quiz tool for 3 months. https://www.freelancermap.de/freelancer/texterstellung"/>
    <hyperlink ref="G170" r:id="rId81" display="Pracuj.pl ad price divided by expected applications, blended with OLX and Meta. https://dlafirm.pracuj.pl/cennik-uslug/pakiety-ogloszen"/>
    <hyperlink ref="G171" r:id="rId82" display="Eurostat AES 2022, Poland, ages 25–64, vocational upper-secondary: 58.7% know a foreign language (edat_aes_l23: 100 − 41.3%) × 23.6% of them good or proficient (edat_aes_l33) ≈ 14%. https://ec.europa.eu/eurostat/databrowser/view/edat_aes_l23/default/table https://ec.europa.eu/eurostat/databrowser/view/edat_aes_l33/default/table"/>
    <hyperlink ref="G174" r:id="rId83" display="Phone screens take 15–30 minutes (Indeed); a checklist call takes 15. https://www.indeed.com/hire/c/info/what-is-a-phone-screen"/>
    <hyperlink ref="G175" r:id="rId84" display="Polish freelance recruiters charge ~€14–19 an hour. https://rocketjobs.pl/oferta-pracy/intent-tech-recruiter-freelance--warszawa-hr-recruitment-9e0cdcee"/>
    <hyperlink ref="G176" r:id="rId85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427</v>
      </c>
    </row>
    <row r="2" customFormat="false" ht="15" hidden="false" customHeight="false" outlineLevel="0" collapsed="false">
      <c r="A2" s="2" t="s">
        <v>428</v>
      </c>
    </row>
    <row r="4" customFormat="false" ht="48" hidden="false" customHeight="true" outlineLevel="0" collapsed="false">
      <c r="A4" s="12" t="s">
        <v>312</v>
      </c>
      <c r="B4" s="12" t="s">
        <v>47</v>
      </c>
      <c r="C4" s="12" t="s">
        <v>429</v>
      </c>
      <c r="D4" s="12" t="s">
        <v>430</v>
      </c>
      <c r="E4" s="12" t="s">
        <v>431</v>
      </c>
      <c r="F4" s="12" t="s">
        <v>432</v>
      </c>
      <c r="G4" s="12" t="s">
        <v>433</v>
      </c>
      <c r="H4" s="12" t="s">
        <v>434</v>
      </c>
      <c r="I4" s="12" t="s">
        <v>435</v>
      </c>
      <c r="J4" s="12" t="s">
        <v>436</v>
      </c>
      <c r="K4" s="12" t="s">
        <v>437</v>
      </c>
      <c r="L4" s="12" t="s">
        <v>438</v>
      </c>
      <c r="M4" s="12" t="s">
        <v>439</v>
      </c>
      <c r="N4" s="12" t="s">
        <v>440</v>
      </c>
      <c r="O4" s="12" t="s">
        <v>441</v>
      </c>
      <c r="P4" s="12" t="s">
        <v>442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443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444</v>
      </c>
    </row>
    <row r="12" customFormat="false" ht="15" hidden="false" customHeight="false" outlineLevel="0" collapsed="false">
      <c r="A12" s="28" t="s">
        <v>445</v>
      </c>
    </row>
    <row r="13" customFormat="false" ht="15" hidden="false" customHeight="false" outlineLevel="0" collapsed="false">
      <c r="A13" s="2" t="s">
        <v>446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453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454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455</v>
      </c>
      <c r="B26" s="38" t="n">
        <f aca="false">B22*B25</f>
        <v>102.049737036446</v>
      </c>
      <c r="C26" s="2" t="s">
        <v>456</v>
      </c>
    </row>
    <row r="28" customFormat="false" ht="15" hidden="false" customHeight="false" outlineLevel="0" collapsed="false">
      <c r="A28" s="28" t="s">
        <v>457</v>
      </c>
    </row>
    <row r="29" customFormat="false" ht="60" hidden="false" customHeight="true" outlineLevel="0" collapsed="false">
      <c r="A29" s="12" t="s">
        <v>312</v>
      </c>
      <c r="B29" s="12" t="s">
        <v>47</v>
      </c>
      <c r="C29" s="12" t="s">
        <v>458</v>
      </c>
      <c r="D29" s="12" t="s">
        <v>459</v>
      </c>
      <c r="E29" s="12" t="s">
        <v>460</v>
      </c>
      <c r="F29" s="12" t="s">
        <v>461</v>
      </c>
      <c r="G29" s="12" t="s">
        <v>462</v>
      </c>
      <c r="H29" s="12" t="s">
        <v>463</v>
      </c>
      <c r="I29" s="12" t="s">
        <v>464</v>
      </c>
      <c r="J29" s="12" t="s">
        <v>465</v>
      </c>
      <c r="K29" s="12" t="s">
        <v>466</v>
      </c>
      <c r="L29" s="12" t="s">
        <v>467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468</v>
      </c>
      <c r="J30" s="2" t="s">
        <v>469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470</v>
      </c>
      <c r="J31" s="2" t="s">
        <v>471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468</v>
      </c>
      <c r="J32" s="2" t="s">
        <v>471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468</v>
      </c>
      <c r="J33" s="2" t="s">
        <v>471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472</v>
      </c>
    </row>
    <row r="40" customFormat="false" ht="15" hidden="false" customHeight="false" outlineLevel="0" collapsed="false">
      <c r="A40" s="2" t="s">
        <v>473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474</v>
      </c>
      <c r="B41" s="12" t="s">
        <v>475</v>
      </c>
      <c r="C41" s="12" t="s">
        <v>10</v>
      </c>
      <c r="D41" s="12" t="s">
        <v>476</v>
      </c>
      <c r="E41" s="12" t="s">
        <v>477</v>
      </c>
      <c r="F41" s="12" t="s">
        <v>478</v>
      </c>
      <c r="G41" s="12" t="s">
        <v>479</v>
      </c>
      <c r="H41" s="12" t="s">
        <v>480</v>
      </c>
    </row>
    <row r="42" customFormat="false" ht="30" hidden="false" customHeight="true" outlineLevel="0" collapsed="false">
      <c r="A42" s="13" t="s">
        <v>481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482</v>
      </c>
    </row>
    <row r="43" customFormat="false" ht="30" hidden="false" customHeight="true" outlineLevel="0" collapsed="false">
      <c r="A43" s="13" t="s">
        <v>483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484</v>
      </c>
    </row>
    <row r="44" customFormat="false" ht="30" hidden="false" customHeight="true" outlineLevel="0" collapsed="false">
      <c r="A44" s="13" t="s">
        <v>485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486</v>
      </c>
    </row>
    <row r="45" customFormat="false" ht="30" hidden="false" customHeight="true" outlineLevel="0" collapsed="false">
      <c r="A45" s="13" t="s">
        <v>487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488</v>
      </c>
    </row>
    <row r="46" customFormat="false" ht="30" hidden="false" customHeight="true" outlineLevel="0" collapsed="false">
      <c r="A46" s="13" t="s">
        <v>489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490</v>
      </c>
    </row>
    <row r="47" customFormat="false" ht="30" hidden="false" customHeight="true" outlineLevel="0" collapsed="false">
      <c r="A47" s="13" t="s">
        <v>491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492</v>
      </c>
    </row>
    <row r="49" customFormat="false" ht="15" hidden="false" customHeight="false" outlineLevel="0" collapsed="false">
      <c r="A49" s="28" t="s">
        <v>493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494</v>
      </c>
    </row>
    <row r="57" customFormat="false" ht="45" hidden="false" customHeight="true" outlineLevel="0" collapsed="false">
      <c r="A57" s="12" t="s">
        <v>312</v>
      </c>
      <c r="B57" s="12" t="s">
        <v>495</v>
      </c>
      <c r="C57" s="12" t="s">
        <v>496</v>
      </c>
      <c r="D57" s="12" t="s">
        <v>497</v>
      </c>
      <c r="E57" s="12" t="s">
        <v>498</v>
      </c>
      <c r="F57" s="12" t="s">
        <v>499</v>
      </c>
      <c r="G57" s="12" t="s">
        <v>500</v>
      </c>
      <c r="H57" s="12" t="s">
        <v>501</v>
      </c>
      <c r="I57" s="12" t="s">
        <v>502</v>
      </c>
      <c r="J57" s="12" t="s">
        <v>503</v>
      </c>
      <c r="K57" s="12" t="s">
        <v>504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505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2" t="s">
        <v>507</v>
      </c>
    </row>
    <row r="3" customFormat="false" ht="15" hidden="false" customHeight="false" outlineLevel="0" collapsed="false">
      <c r="A3" s="28" t="s">
        <v>508</v>
      </c>
    </row>
    <row r="4" customFormat="false" ht="15" hidden="false" customHeight="false" outlineLevel="0" collapsed="false">
      <c r="A4" s="12" t="s">
        <v>509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443</v>
      </c>
    </row>
    <row r="5" customFormat="false" ht="15" hidden="false" customHeight="false" outlineLevel="0" collapsed="false">
      <c r="A5" s="2" t="s">
        <v>510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511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512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513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514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515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516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518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519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520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521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523</v>
      </c>
    </row>
    <row r="18" customFormat="false" ht="15" hidden="false" customHeight="false" outlineLevel="0" collapsed="false">
      <c r="A18" s="2" t="s">
        <v>524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525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526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527</v>
      </c>
    </row>
    <row r="24" customFormat="false" ht="15" hidden="false" customHeight="false" outlineLevel="0" collapsed="false">
      <c r="A24" s="2" t="s">
        <v>528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529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530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531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532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533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534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535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536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537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539</v>
      </c>
    </row>
    <row r="38" customFormat="false" ht="15" hidden="false" customHeight="false" outlineLevel="0" collapsed="false">
      <c r="A38" s="2" t="s">
        <v>540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541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530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542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543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544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545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546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547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549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plan needs "&amp;TEXT(B47,"0")&amp;" applications ("&amp;TEXT(B47*B39,"0")&amp;" qualified). ~1,700 Polish workers in machine, metal and building trades already commute to Brandenburg (IAB-Regional 1/2020, https://doku.iab.de/regional/BB/2020/regional_bb_0120.pdf); the ads also reach border-town workers who do not commute yet. Test bar below decides by 9 Nov; if it fails, the budget rises to the no-corridor case (see deck slide 7)."</f>
        <v>Polish supply check: the plan needs 346 applications (48 qualified). ~1,700 Polish workers in machine, metal and building trades already commute to Brandenburg (IAB-Regional 1/2020, https://doku.iab.de/regional/BB/2020/regional_bb_0120.pdf); the ads also reach border-town workers who do not commute yet. Test bar below decides by 9 Nov; if it fails, the budget rises to the no-corridor case (see deck 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550</v>
      </c>
    </row>
    <row r="52" customFormat="false" ht="60" hidden="false" customHeight="true" outlineLevel="0" collapsed="false">
      <c r="A52" s="12" t="s">
        <v>551</v>
      </c>
      <c r="B52" s="12" t="s">
        <v>552</v>
      </c>
      <c r="C52" s="12" t="s">
        <v>553</v>
      </c>
      <c r="D52" s="12" t="s">
        <v>554</v>
      </c>
      <c r="E52" s="12" t="s">
        <v>555</v>
      </c>
      <c r="F52" s="12" t="s">
        <v>556</v>
      </c>
      <c r="G52" s="12" t="s">
        <v>557</v>
      </c>
      <c r="H52" s="12" t="s">
        <v>558</v>
      </c>
      <c r="I52" s="12" t="s">
        <v>559</v>
      </c>
      <c r="J52" s="12" t="s">
        <v>560</v>
      </c>
      <c r="K52" s="12" t="s">
        <v>561</v>
      </c>
    </row>
    <row r="53" customFormat="false" ht="48" hidden="false" customHeight="true" outlineLevel="0" collapsed="false">
      <c r="A53" s="28" t="s">
        <v>562</v>
      </c>
      <c r="B53" s="13" t="s">
        <v>563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22.9989</v>
      </c>
      <c r="F53" s="2" t="s">
        <v>564</v>
      </c>
      <c r="G53" s="29" t="n">
        <f aca="false">MAX(1,ROUNDDOWN(E53*Assumptions!$D$89,0))</f>
        <v>13</v>
      </c>
      <c r="H53" s="2" t="s">
        <v>565</v>
      </c>
      <c r="I53" s="29" t="n">
        <f aca="false">MIN(G53,MAX(1,ROUNDUP(E53*Assumptions!$D$91,0)))</f>
        <v>7</v>
      </c>
      <c r="J53" s="2" t="s">
        <v>565</v>
      </c>
      <c r="K53" s="13" t="s">
        <v>566</v>
      </c>
    </row>
    <row r="54" customFormat="false" ht="48" hidden="false" customHeight="true" outlineLevel="0" collapsed="false">
      <c r="A54" s="28" t="s">
        <v>567</v>
      </c>
      <c r="B54" s="13" t="s">
        <v>568</v>
      </c>
      <c r="C54" s="30" t="n">
        <f aca="false">(Weekly!$D$4*4/7+Weekly!$D$5+Weekly!$D$6*3/7)</f>
        <v>0.365</v>
      </c>
      <c r="D54" s="41" t="n">
        <f aca="false">B33+SUMIFS(Channels!$X:$X,Channels!$A:$A,"I2-E")*C54</f>
        <v>4817.88</v>
      </c>
      <c r="E54" s="32" t="n">
        <f aca="false">SUMIFS(Channels!$V:$V,Channels!$A:$A,"I2-E")*C54</f>
        <v>10.7675</v>
      </c>
      <c r="F54" s="41" t="n">
        <f aca="false">IF(B28&gt;0,B27/B28,0)</f>
        <v>336</v>
      </c>
      <c r="G54" s="29" t="n">
        <f aca="false">MAX(1,ROUNDDOWN(E54*Assumptions!$D$89,0))</f>
        <v>6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569</v>
      </c>
    </row>
    <row r="55" customFormat="false" ht="48" hidden="false" customHeight="true" outlineLevel="0" collapsed="false">
      <c r="A55" s="28" t="s">
        <v>570</v>
      </c>
      <c r="B55" s="13" t="s">
        <v>571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572</v>
      </c>
    </row>
    <row r="57" customFormat="false" ht="26.85" hidden="false" customHeight="false" outlineLevel="0" collapsed="false">
      <c r="A57" s="13" t="s">
        <v>573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574</v>
      </c>
    </row>
    <row r="2" customFormat="false" ht="369.4" hidden="false" customHeight="false" outlineLevel="0" collapsed="false">
      <c r="A2" s="13" t="s">
        <v>575</v>
      </c>
    </row>
    <row r="3" customFormat="false" ht="318.65" hidden="false" customHeight="false" outlineLevel="0" collapsed="false">
      <c r="A3" s="13" t="s">
        <v>576</v>
      </c>
    </row>
    <row r="4" customFormat="false" ht="60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577</v>
      </c>
      <c r="E4" s="12" t="s">
        <v>313</v>
      </c>
      <c r="F4" s="12" t="s">
        <v>578</v>
      </c>
      <c r="G4" s="12" t="s">
        <v>579</v>
      </c>
      <c r="H4" s="12" t="s">
        <v>531</v>
      </c>
      <c r="I4" s="12" t="s">
        <v>316</v>
      </c>
      <c r="J4" s="12" t="s">
        <v>530</v>
      </c>
      <c r="K4" s="12" t="s">
        <v>580</v>
      </c>
      <c r="L4" s="12" t="s">
        <v>433</v>
      </c>
      <c r="M4" s="12" t="s">
        <v>581</v>
      </c>
      <c r="N4" s="12" t="s">
        <v>582</v>
      </c>
      <c r="O4" s="12" t="s">
        <v>583</v>
      </c>
      <c r="P4" s="12" t="s">
        <v>584</v>
      </c>
      <c r="Q4" s="12" t="s">
        <v>585</v>
      </c>
      <c r="R4" s="12" t="s">
        <v>586</v>
      </c>
      <c r="S4" s="12" t="s">
        <v>587</v>
      </c>
      <c r="T4" s="12" t="s">
        <v>588</v>
      </c>
      <c r="U4" s="12" t="s">
        <v>589</v>
      </c>
      <c r="V4" s="12" t="s">
        <v>590</v>
      </c>
      <c r="W4" s="12" t="s">
        <v>591</v>
      </c>
      <c r="X4" s="12" t="s">
        <v>592</v>
      </c>
      <c r="Y4" s="12" t="s">
        <v>593</v>
      </c>
      <c r="Z4" s="12" t="s">
        <v>594</v>
      </c>
      <c r="AA4" s="12" t="s">
        <v>595</v>
      </c>
      <c r="AB4" s="12" t="s">
        <v>596</v>
      </c>
      <c r="AC4" s="12" t="s">
        <v>597</v>
      </c>
      <c r="AD4" s="12" t="s">
        <v>598</v>
      </c>
      <c r="AE4" s="12" t="s">
        <v>599</v>
      </c>
      <c r="AF4" s="12" t="s">
        <v>600</v>
      </c>
      <c r="AG4" s="12" t="s">
        <v>601</v>
      </c>
      <c r="AH4" s="12" t="s">
        <v>602</v>
      </c>
      <c r="AI4" s="12" t="s">
        <v>603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311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311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311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311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0.161</v>
      </c>
      <c r="J8" s="29" t="n">
        <f aca="false">IF(AND(OR(E8="CPC",E8="Slot"),NOT(N(G8)&gt;0)),0,IF(E8="Slot",Assumptions!H130*G8,Assumptions!H130))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311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311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311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311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311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311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311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311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311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311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311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0.1025</v>
      </c>
      <c r="J19" s="29" t="n">
        <f aca="false">IF(AND(OR(E19="CPC",E19="Slot"),NOT(N(G19)&gt;0)),0,IF(E19="Slot",Assumptions!H141*G19,Assumptions!H141))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IF(N19&gt;0,(N19/L19/I19*H19+Assumptions!J141)/N19,0)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311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0.1025</v>
      </c>
      <c r="J20" s="29" t="n">
        <f aca="false">IF(AND(OR(E20="CPC",E20="Slot"),NOT(N(G20)&gt;0)),0,IF(E20="Slot",Assumptions!H142*G20,Assumptions!H142))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IF(N20&gt;0,(N20/L20/I20*H20+Assumptions!J142)/N20,0)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311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IF(N21&gt;0,(N21/L21/I21*H21+Assumptions!J143)/N21,0)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311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0.175</v>
      </c>
      <c r="J22" s="29" t="n">
        <f aca="false">IF(AND(OR(E22="CPC",E22="Slot"),NOT(N(G22)&gt;0)),0,IF(E22="Slot",Assumptions!H144*G22,Assumptions!H144))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IF(N22&gt;0,(N22/L22/I22*H22+Assumptions!J144)/N22,0)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311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IF(N23&gt;0,(N23/L23/I23*H23+Assumptions!J145)/N23,0)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311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0.161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IF(N24&gt;0,(N24/L24/I24*H24+Assumptions!J146)/N24,0)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604</v>
      </c>
      <c r="B25" s="2" t="s">
        <v>605</v>
      </c>
      <c r="C25" s="2" t="s">
        <v>48</v>
      </c>
      <c r="D25" s="2" t="s">
        <v>551</v>
      </c>
      <c r="E25" s="2" t="s">
        <v>329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606</v>
      </c>
      <c r="B26" s="2" t="s">
        <v>605</v>
      </c>
      <c r="C26" s="2" t="s">
        <v>43</v>
      </c>
      <c r="D26" s="2" t="s">
        <v>551</v>
      </c>
      <c r="E26" s="2" t="s">
        <v>329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607</v>
      </c>
      <c r="B27" s="2" t="s">
        <v>605</v>
      </c>
      <c r="C27" s="2" t="s">
        <v>52</v>
      </c>
      <c r="D27" s="2" t="s">
        <v>551</v>
      </c>
      <c r="E27" s="2" t="s">
        <v>329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608</v>
      </c>
      <c r="B28" s="2" t="s">
        <v>605</v>
      </c>
      <c r="C28" s="2" t="s">
        <v>54</v>
      </c>
      <c r="D28" s="2" t="s">
        <v>551</v>
      </c>
      <c r="E28" s="2" t="s">
        <v>329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609</v>
      </c>
      <c r="B29" s="2" t="s">
        <v>610</v>
      </c>
      <c r="C29" s="2" t="s">
        <v>48</v>
      </c>
      <c r="D29" s="2" t="s">
        <v>551</v>
      </c>
      <c r="E29" s="2" t="s">
        <v>329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611</v>
      </c>
      <c r="B30" s="2" t="s">
        <v>610</v>
      </c>
      <c r="C30" s="2" t="s">
        <v>43</v>
      </c>
      <c r="D30" s="2" t="s">
        <v>551</v>
      </c>
      <c r="E30" s="2" t="s">
        <v>329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612</v>
      </c>
      <c r="B31" s="2" t="s">
        <v>610</v>
      </c>
      <c r="C31" s="2" t="s">
        <v>52</v>
      </c>
      <c r="D31" s="2" t="s">
        <v>551</v>
      </c>
      <c r="E31" s="2" t="s">
        <v>329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613</v>
      </c>
      <c r="B32" s="2" t="s">
        <v>610</v>
      </c>
      <c r="C32" s="2" t="s">
        <v>54</v>
      </c>
      <c r="D32" s="2" t="s">
        <v>551</v>
      </c>
      <c r="E32" s="2" t="s">
        <v>329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614</v>
      </c>
      <c r="B33" s="2" t="s">
        <v>615</v>
      </c>
      <c r="C33" s="2" t="s">
        <v>48</v>
      </c>
      <c r="D33" s="2" t="s">
        <v>551</v>
      </c>
      <c r="E33" s="2" t="s">
        <v>329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616</v>
      </c>
      <c r="B34" s="2" t="s">
        <v>617</v>
      </c>
      <c r="C34" s="2" t="s">
        <v>43</v>
      </c>
      <c r="D34" s="2" t="s">
        <v>551</v>
      </c>
      <c r="E34" s="2" t="s">
        <v>329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443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618</v>
      </c>
    </row>
    <row r="38" customFormat="false" ht="64.9" hidden="false" customHeight="false" outlineLevel="0" collapsed="false">
      <c r="A38" s="12"/>
      <c r="B38" s="12" t="s">
        <v>312</v>
      </c>
      <c r="C38" s="12" t="s">
        <v>47</v>
      </c>
      <c r="D38" s="12" t="s">
        <v>619</v>
      </c>
      <c r="E38" s="12" t="s">
        <v>620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622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623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624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625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626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627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628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629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630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631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632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633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634</v>
      </c>
      <c r="C16" s="30" t="n">
        <f aca="false">IF(C12&gt;0,Weekly!N5/C12,0)</f>
        <v>0.385951267678667</v>
      </c>
    </row>
    <row r="19" customFormat="false" ht="15" hidden="false" customHeight="false" outlineLevel="0" collapsed="false">
      <c r="B19" s="28" t="s">
        <v>635</v>
      </c>
    </row>
    <row r="20" customFormat="false" ht="26.85" hidden="false" customHeight="false" outlineLevel="0" collapsed="false">
      <c r="A20" s="12"/>
      <c r="B20" s="12" t="s">
        <v>312</v>
      </c>
      <c r="C20" s="12" t="s">
        <v>636</v>
      </c>
      <c r="D20" s="12" t="s">
        <v>593</v>
      </c>
      <c r="E20" s="12" t="s">
        <v>637</v>
      </c>
      <c r="F20" s="12" t="s">
        <v>595</v>
      </c>
      <c r="G20" s="12" t="s">
        <v>638</v>
      </c>
      <c r="H20" s="12" t="s">
        <v>639</v>
      </c>
      <c r="I20" s="12" t="s">
        <v>640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443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641</v>
      </c>
    </row>
    <row r="28" customFormat="false" ht="26.85" hidden="false" customHeight="false" outlineLevel="0" collapsed="false">
      <c r="A28" s="12"/>
      <c r="B28" s="12" t="s">
        <v>311</v>
      </c>
      <c r="C28" s="12" t="s">
        <v>595</v>
      </c>
      <c r="D28" s="12" t="s">
        <v>638</v>
      </c>
      <c r="E28" s="12" t="s">
        <v>639</v>
      </c>
      <c r="F28" s="12" t="s">
        <v>642</v>
      </c>
    </row>
    <row r="29" customFormat="false" ht="15" hidden="false" customHeight="false" outlineLevel="0" collapsed="false">
      <c r="B29" s="2" t="s">
        <v>321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328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335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342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346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350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605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610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615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617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443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643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644</v>
      </c>
      <c r="C44" s="12" t="s">
        <v>645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646</v>
      </c>
      <c r="I44" s="12" t="s">
        <v>639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647</v>
      </c>
    </row>
    <row r="50" customFormat="false" ht="15" hidden="false" customHeight="false" outlineLevel="0" collapsed="false">
      <c r="A50" s="2" t="s">
        <v>648</v>
      </c>
    </row>
    <row r="51" customFormat="false" ht="15" hidden="false" customHeight="false" outlineLevel="0" collapsed="false">
      <c r="E51" s="28" t="s">
        <v>649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645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650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651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652</v>
      </c>
      <c r="B55" s="12" t="s">
        <v>312</v>
      </c>
      <c r="C55" s="12" t="s">
        <v>653</v>
      </c>
      <c r="D55" s="12" t="s">
        <v>654</v>
      </c>
      <c r="E55" s="12" t="s">
        <v>638</v>
      </c>
      <c r="F55" s="12" t="s">
        <v>655</v>
      </c>
      <c r="G55" s="12" t="s">
        <v>656</v>
      </c>
      <c r="H55" s="12"/>
      <c r="I55" s="12"/>
      <c r="J55" s="12" t="s">
        <v>657</v>
      </c>
      <c r="K55" s="12" t="s">
        <v>658</v>
      </c>
      <c r="L55" s="12"/>
      <c r="M55" s="12"/>
      <c r="N55" s="12" t="s">
        <v>636</v>
      </c>
      <c r="O55" s="12" t="s">
        <v>659</v>
      </c>
      <c r="P55" s="12" t="s">
        <v>660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661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443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639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662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663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665</v>
      </c>
    </row>
    <row r="2" customFormat="false" ht="344" hidden="false" customHeight="false" outlineLevel="0" collapsed="false">
      <c r="A2" s="13" t="s">
        <v>666</v>
      </c>
    </row>
    <row r="3" customFormat="false" ht="45" hidden="false" customHeight="true" outlineLevel="0" collapsed="false">
      <c r="A3" s="12" t="s">
        <v>667</v>
      </c>
      <c r="B3" s="12" t="s">
        <v>668</v>
      </c>
      <c r="C3" s="12" t="s">
        <v>669</v>
      </c>
      <c r="D3" s="12" t="s">
        <v>670</v>
      </c>
      <c r="E3" s="12" t="s">
        <v>671</v>
      </c>
      <c r="F3" s="12" t="s">
        <v>672</v>
      </c>
      <c r="G3" s="12" t="s">
        <v>673</v>
      </c>
      <c r="H3" s="12" t="s">
        <v>674</v>
      </c>
      <c r="I3" s="12" t="s">
        <v>675</v>
      </c>
      <c r="J3" s="12" t="s">
        <v>676</v>
      </c>
      <c r="K3" s="12" t="s">
        <v>677</v>
      </c>
      <c r="L3" s="12" t="s">
        <v>678</v>
      </c>
      <c r="M3" s="12" t="s">
        <v>679</v>
      </c>
      <c r="N3" s="12" t="s">
        <v>680</v>
      </c>
      <c r="O3" s="12" t="s">
        <v>681</v>
      </c>
      <c r="P3" s="12" t="s">
        <v>682</v>
      </c>
      <c r="Q3" s="12" t="s">
        <v>683</v>
      </c>
      <c r="R3" s="12" t="s">
        <v>684</v>
      </c>
      <c r="S3" s="12" t="s">
        <v>685</v>
      </c>
      <c r="T3" s="12" t="s">
        <v>686</v>
      </c>
      <c r="U3" s="12" t="s">
        <v>687</v>
      </c>
      <c r="V3" s="12" t="s">
        <v>688</v>
      </c>
      <c r="W3" s="12" t="s">
        <v>689</v>
      </c>
      <c r="X3" s="12" t="s">
        <v>690</v>
      </c>
      <c r="Y3" s="12" t="s">
        <v>691</v>
      </c>
      <c r="Z3" s="49" t="s">
        <v>692</v>
      </c>
      <c r="AA3" s="49" t="s">
        <v>693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0.25</v>
      </c>
      <c r="E4" s="30" t="n">
        <f aca="false">IF(SUM($AA$4:$AA$14)&gt;0,AA4/SUM($AA$4:$AA$14),0)</f>
        <v>0.31616982836495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19548.5453738207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30544.5453738207</v>
      </c>
      <c r="N4" s="41" t="n">
        <f aca="false">SUM($M$4:M4)</f>
        <v>30544.5453738207</v>
      </c>
      <c r="O4" s="29" t="n">
        <f aca="false">(Funnel!$M$5+Funnel!$M$6+Funnel!$M$7-$F$27-$F$34)*D4+(Funnel!$M$8-$F$28-$F$35)*E4+($F$27+$F$28)*X4+($F$34+$F$35)*Y4</f>
        <v>404.142980954988</v>
      </c>
      <c r="P4" s="29" t="n">
        <f aca="false">(Funnel!$O$5+Funnel!$O$6+Funnel!$O$7-$F$25-$F$32)*D4+(Funnel!$O$8-$F$26-$F$33)*E4+($F$25+$F$26)*X4+($F$32+$F$33)*Y4</f>
        <v>85.6310133800371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0.990772055636793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0.25</v>
      </c>
      <c r="AA4" s="30" t="n">
        <f aca="false">D4*IF(MAX(0,MIN(C4,Funnel!$B$19)-B4+1)&gt;0,MAX(0,MIN(C4,Funnel!$B$20)-B4+1)/MAX(0,MIN(C4,Funnel!$B$19)-B4+1),0)</f>
        <v>0.25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IF(SUM($AA$4:$AA$14)&gt;0,AA5/SUM($AA$4:$AA$14),0)</f>
        <v>0.183378500451671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11334.484916816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16734.484916816</v>
      </c>
      <c r="N5" s="47" t="n">
        <f aca="false">SUM($M$4:M5)</f>
        <v>47279.0302906367</v>
      </c>
      <c r="O5" s="29" t="n">
        <f aca="false">(Funnel!$M$5+Funnel!$M$6+Funnel!$M$7-$F$27-$F$34)*D5+(Funnel!$M$8-$F$28-$F$35)*E5+($F$27+$F$28)*X5+($F$34+$F$35)*Y5</f>
        <v>258.280538147827</v>
      </c>
      <c r="P5" s="29" t="n">
        <f aca="false">(Funnel!$O$5+Funnel!$O$6+Funnel!$O$7-$F$25-$F$32)*D5+(Funnel!$O$8-$F$26-$F$33)*E5+($F$25+$F$26)*X5+($F$32+$F$33)*Y5</f>
        <v>53.4170222057527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0.97121858555914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  <c r="AA5" s="30" t="n">
        <f aca="false">D5*IF(MAX(0,MIN(C5,Funnel!$B$19)-B5+1)&gt;0,MAX(0,MIN(C5,Funnel!$B$20)-B5+1)/MAX(0,MIN(C5,Funnel!$B$19)-B5+1),0)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IF(SUM($AA$4:$AA$14)&gt;0,AA6/SUM($AA$4:$AA$14),0)</f>
        <v>0.227642276422764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14054.5700691509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14054.5700691509</v>
      </c>
      <c r="N6" s="41" t="n">
        <f aca="false">SUM($M$4:M6)</f>
        <v>61333.6003597877</v>
      </c>
      <c r="O6" s="29" t="n">
        <f aca="false">(Funnel!$M$5+Funnel!$M$6+Funnel!$M$7-$F$27-$F$34)*D6+(Funnel!$M$8-$F$28-$F$35)*E6+($F$27+$F$28)*X6+($F$34+$F$35)*Y6</f>
        <v>262.993773874947</v>
      </c>
      <c r="P6" s="29" t="n">
        <f aca="false">(Funnel!$O$5+Funnel!$O$6+Funnel!$O$7-$F$25-$F$32)*D6+(Funnel!$O$8-$F$26-$F$33)*E6+($F$25+$F$26)*X6+($F$32+$F$33)*Y6</f>
        <v>54.0675635459762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0.98304660992684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</v>
      </c>
      <c r="AA6" s="30" t="n">
        <f aca="false">D6*IF(MAX(0,MIN(C6,Funnel!$B$19)-B6+1)&gt;0,MAX(0,MIN(C6,Funnel!$B$20)-B6+1)/MAX(0,MIN(C6,Funnel!$B$19)-B6+1),0)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0.185</v>
      </c>
      <c r="E7" s="30" t="n">
        <f aca="false">IF(SUM($AA$4:$AA$14)&gt;0,AA7/SUM($AA$4:$AA$14),0)</f>
        <v>0.233965672990063</v>
      </c>
      <c r="F7" s="30" t="n">
        <f aca="false">IF(A7-ROUNDUP(Funnel!$B$15/7,0)&gt;=1,INDEX($D$4:$D$14,A7-ROUNDUP(Funnel!$B$15/7,0)),0)</f>
        <v>0.25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14437.8183766273</v>
      </c>
      <c r="I7" s="41" t="n">
        <f aca="false">IF(A7=1,$F$21,0)</f>
        <v>0</v>
      </c>
      <c r="J7" s="41" t="n">
        <f aca="false">$F$22*F7+$F$23*G7</f>
        <v>2467.310625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16905.1290016273</v>
      </c>
      <c r="N7" s="41" t="n">
        <f aca="false">SUM($M$4:M7)</f>
        <v>78238.729361415</v>
      </c>
      <c r="O7" s="29" t="n">
        <f aca="false">(Funnel!$M$5+Funnel!$M$6+Funnel!$M$7-$F$27-$F$34)*D7+(Funnel!$M$8-$F$28-$F$35)*E7+($F$27+$F$28)*X7+($F$34+$F$35)*Y7</f>
        <v>267.436589815917</v>
      </c>
      <c r="P7" s="29" t="n">
        <f aca="false">(Funnel!$O$5+Funnel!$O$6+Funnel!$O$7-$F$25-$F$32)*D7+(Funnel!$O$8-$F$26-$F$33)*E7+($F$25+$F$26)*X7+($F$32+$F$33)*Y7</f>
        <v>54.1381569778089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0.984330126869253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24.3641121536279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24.3641121536279</v>
      </c>
      <c r="W7" s="32" t="n">
        <f aca="false">SUM($V$4:V7)</f>
        <v>24.3641121536279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0.185</v>
      </c>
      <c r="AA7" s="30" t="n">
        <f aca="false">D7*IF(MAX(0,MIN(C7,Funnel!$B$19)-B7+1)&gt;0,MAX(0,MIN(C7,Funnel!$B$20)-B7+1)/MAX(0,MIN(C7,Funnel!$B$19)-B7+1),0)</f>
        <v>0.185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0.215</v>
      </c>
      <c r="E8" s="30" t="n">
        <f aca="false">IF(SUM($AA$4:$AA$14)&gt;0,AA8/SUM($AA$4:$AA$14),0)</f>
        <v>0.038843721770551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0.31616982836495</v>
      </c>
      <c r="H8" s="41" t="n">
        <f aca="false">$F$19*D8+$F$20*E8+$F$31*Y8</f>
        <v>13940.6975137465</v>
      </c>
      <c r="I8" s="41" t="n">
        <f aca="false">IF(A8=1,$F$21,0)</f>
        <v>0</v>
      </c>
      <c r="J8" s="41" t="n">
        <f aca="false">$F$22*F8+$F$23*G8</f>
        <v>1781.50967469512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15722.2071884416</v>
      </c>
      <c r="N8" s="41" t="n">
        <f aca="false">SUM($M$4:M8)</f>
        <v>93960.9365498566</v>
      </c>
      <c r="O8" s="29" t="n">
        <f aca="false">(Funnel!$M$5+Funnel!$M$6+Funnel!$M$7-$F$27-$F$34)*D8+(Funnel!$M$8-$F$28-$F$35)*E8+($F$27+$F$28)*X8+($F$34+$F$35)*Y8</f>
        <v>270.983393875365</v>
      </c>
      <c r="P8" s="29" t="n">
        <f aca="false">(Funnel!$O$5+Funnel!$O$6+Funnel!$O$7-$F$25-$F$32)*D8+(Funnel!$O$8-$F$26-$F$33)*E8+($F$25+$F$26)*X8+($F$32+$F$33)*Y8</f>
        <v>54.5398332456552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0.991633331739186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14.9434387826712</v>
      </c>
      <c r="U8" s="32" t="n">
        <f aca="false">$F$38*(G8*(Budget!$G$24-$F$30-$F$37)+IF(A8-ROUNDUP(Funnel!$B$16/7,0)&gt;=1,INDEX($X$4:$X$14,A8-ROUNDUP(Funnel!$B$16/7,0))*$F$30+INDEX($Y$4:$Y$14,A8-ROUNDUP(Funnel!$B$16/7,0))*$F$37,0))</f>
        <v>3.37581560318138</v>
      </c>
      <c r="V8" s="32" t="n">
        <f aca="false">T8+U8</f>
        <v>18.3192543858526</v>
      </c>
      <c r="W8" s="32" t="n">
        <f aca="false">SUM($V$4:V8)</f>
        <v>42.6833665394805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0.215</v>
      </c>
      <c r="AA8" s="30" t="n">
        <f aca="false">D8*IF(MAX(0,MIN(C8,Funnel!$B$19)-B8+1)&gt;0,MAX(0,MIN(C8,Funnel!$B$20)-B8+1)/MAX(0,MIN(C8,Funnel!$B$19)-B8+1),0)</f>
        <v>0.0307142857142857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0.025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0.183378500451671</v>
      </c>
      <c r="H9" s="41" t="n">
        <f aca="false">$F$19*D9+$F$20*E9+$F$31*Y9</f>
        <v>1566.003805712</v>
      </c>
      <c r="I9" s="41" t="n">
        <f aca="false">IF(A9=1,$F$21,0)</f>
        <v>0</v>
      </c>
      <c r="J9" s="41" t="n">
        <f aca="false">$F$22*F9+$F$23*G9</f>
        <v>1979.73596707317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3545.73977278518</v>
      </c>
      <c r="N9" s="41" t="n">
        <f aca="false">SUM($M$4:M9)</f>
        <v>97506.6763226418</v>
      </c>
      <c r="O9" s="29" t="n">
        <f aca="false">(Funnel!$M$5+Funnel!$M$6+Funnel!$M$7-$F$27-$F$34)*D9+(Funnel!$M$8-$F$28-$F$35)*E9+($F$27+$F$28)*X9+($F$34+$F$35)*Y9</f>
        <v>30.7379665051514</v>
      </c>
      <c r="P9" s="29" t="n">
        <f aca="false">(Funnel!$O$5+Funnel!$O$6+Funnel!$O$7-$F$25-$F$32)*D9+(Funnel!$O$8-$F$26-$F$33)*E9+($F$25+$F$26)*X9+($F$32+$F$33)*Y9</f>
        <v>6.17948672772832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0.786480128983605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/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15.3990968656466</v>
      </c>
      <c r="U9" s="32" t="n">
        <f aca="false">$F$38*(G9*(Budget!$G$24-$F$30-$F$37)+IF(A9-ROUNDUP(Funnel!$B$16/7,0)&gt;=1,INDEX($X$4:$X$14,A9-ROUNDUP(Funnel!$B$16/7,0))*$F$30+INDEX($Y$4:$Y$14,A9-ROUNDUP(Funnel!$B$16/7,0))*$F$37,0))</f>
        <v>2.2126720706385</v>
      </c>
      <c r="V9" s="32" t="n">
        <f aca="false">T9+U9</f>
        <v>17.6117689362851</v>
      </c>
      <c r="W9" s="32" t="n">
        <f aca="false">SUM($V$4:V9)</f>
        <v>60.2951354757655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0.025</v>
      </c>
      <c r="AA9" s="30" t="n">
        <f aca="false">D9*IF(MAX(0,MIN(C9,Funnel!$B$19)-B9+1)&gt;0,MAX(0,MIN(C9,Funnel!$B$20)-B9+1)/MAX(0,MIN(C9,Funnel!$B$19)-B9+1),0)</f>
        <v>0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0.185</v>
      </c>
      <c r="G10" s="30" t="n">
        <f aca="false">IF(A10-ROUNDUP(Funnel!$B$16/7,0)&gt;=1,INDEX($E$4:$E$14,A10-ROUNDUP(Funnel!$B$16/7,0)),0)</f>
        <v>0.227642276422764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2078.14791128049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2078.14791128049</v>
      </c>
      <c r="N10" s="41" t="n">
        <f aca="false">SUM($M$4:M10)</f>
        <v>99584.8242339222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15.362988603859</v>
      </c>
      <c r="U10" s="32" t="n">
        <f aca="false">$F$38*(G10*(Budget!$G$24-$F$30-$F$37)+IF(A10-ROUNDUP(Funnel!$B$16/7,0)&gt;=1,INDEX($X$4:$X$14,A10-ROUNDUP(Funnel!$B$16/7,0))*$F$30+INDEX($Y$4:$Y$14,A10-ROUNDUP(Funnel!$B$16/7,0))*$F$37,0))</f>
        <v>2.03819196584367</v>
      </c>
      <c r="V10" s="32" t="n">
        <f aca="false">T10+U10</f>
        <v>17.4011805697026</v>
      </c>
      <c r="W10" s="32" t="n">
        <f aca="false">SUM($V$4:V10)</f>
        <v>77.6963160454681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0.215</v>
      </c>
      <c r="G11" s="30" t="n">
        <f aca="false">IF(A11-ROUNDUP(Funnel!$B$16/7,0)&gt;=1,INDEX($E$4:$E$14,A11-ROUNDUP(Funnel!$B$16/7,0)),0)</f>
        <v>0.233965672990063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2381.23457652439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2381.23457652439</v>
      </c>
      <c r="N11" s="41" t="n">
        <f aca="false">SUM($M$4:M11)</f>
        <v>101966.058810447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17.8542840531334</v>
      </c>
      <c r="U11" s="32" t="n">
        <f aca="false">$F$38*(G11*(Budget!$G$24-$F$30-$F$37)+IF(A11-ROUNDUP(Funnel!$B$16/7,0)&gt;=1,INDEX($X$4:$X$14,A11-ROUNDUP(Funnel!$B$16/7,0))*$F$30+INDEX($Y$4:$Y$14,A11-ROUNDUP(Funnel!$B$16/7,0))*$F$37,0))</f>
        <v>2.03539726267266</v>
      </c>
      <c r="V11" s="32" t="n">
        <f aca="false">T11+U11</f>
        <v>19.889681315806</v>
      </c>
      <c r="W11" s="32" t="n">
        <f aca="false">SUM($V$4:V11)</f>
        <v>97.5859973612742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0.025</v>
      </c>
      <c r="G12" s="30" t="n">
        <f aca="false">IF(A12-ROUNDUP(Funnel!$B$16/7,0)&gt;=1,INDEX($E$4:$E$14,A12-ROUNDUP(Funnel!$B$16/7,0)),0)</f>
        <v>0.038843721770551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289.788745426829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289.788745426829</v>
      </c>
      <c r="N12" s="41" t="n">
        <f aca="false">SUM($M$4:M12)</f>
        <v>102255.847555873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2.07607954106202</v>
      </c>
      <c r="U12" s="32" t="n">
        <f aca="false">$F$38*(G12*(Budget!$G$24-$F$30-$F$37)+IF(A12-ROUNDUP(Funnel!$B$16/7,0)&gt;=1,INDEX($X$4:$X$14,A12-ROUNDUP(Funnel!$B$16/7,0))*$F$30+INDEX($Y$4:$Y$14,A12-ROUNDUP(Funnel!$B$16/7,0))*$F$37,0))</f>
        <v>0.3379230976638</v>
      </c>
      <c r="V12" s="32" t="n">
        <f aca="false">T12+U12</f>
        <v>2.41400263872582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</row>
    <row r="15" customFormat="false" ht="15" hidden="false" customHeight="false" outlineLevel="0" collapsed="false">
      <c r="A15" s="28" t="s">
        <v>443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694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695</v>
      </c>
    </row>
    <row r="19" customFormat="false" ht="15" hidden="false" customHeight="false" outlineLevel="0" collapsed="false">
      <c r="B19" s="2" t="s">
        <v>696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</row>
    <row r="20" customFormat="false" ht="15" hidden="false" customHeight="false" outlineLevel="0" collapsed="false">
      <c r="B20" s="2" t="s">
        <v>697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</row>
    <row r="21" customFormat="false" ht="15" hidden="false" customHeight="false" outlineLevel="0" collapsed="false">
      <c r="B21" s="2" t="s">
        <v>698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699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700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701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702</v>
      </c>
      <c r="F25" s="32" t="n">
        <f aca="false">SUMIFS(Channels!$AF$5:$AF$34,Channels!$C$5:$C$34,"&lt;&gt;Supervisors")</f>
        <v>8.9323002511364</v>
      </c>
    </row>
    <row r="26" customFormat="false" ht="15" hidden="false" customHeight="false" outlineLevel="0" collapsed="false">
      <c r="B26" s="2" t="s">
        <v>703</v>
      </c>
      <c r="F26" s="32" t="n">
        <f aca="false">SUMIFS(Channels!$AF$5:$AF$34,Channels!$C$5:$C$34,"Supervisors")</f>
        <v>3.25605421987231</v>
      </c>
    </row>
    <row r="27" customFormat="false" ht="15" hidden="false" customHeight="false" outlineLevel="0" collapsed="false">
      <c r="B27" s="2" t="s">
        <v>704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705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706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707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708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709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710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711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712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713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714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715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716</v>
      </c>
    </row>
    <row r="43" customFormat="false" ht="30" hidden="false" customHeight="true" outlineLevel="0" collapsed="false">
      <c r="A43" s="12"/>
      <c r="B43" s="12" t="s">
        <v>311</v>
      </c>
      <c r="C43" s="12" t="s">
        <v>717</v>
      </c>
      <c r="D43" s="12" t="s">
        <v>718</v>
      </c>
      <c r="E43" s="12" t="s">
        <v>719</v>
      </c>
      <c r="F43" s="12" t="s">
        <v>720</v>
      </c>
      <c r="G43" s="12" t="s">
        <v>721</v>
      </c>
      <c r="H43" s="12" t="s">
        <v>722</v>
      </c>
      <c r="I43" s="12" t="s">
        <v>723</v>
      </c>
      <c r="J43" s="12" t="s">
        <v>724</v>
      </c>
      <c r="K43" s="12" t="s">
        <v>725</v>
      </c>
      <c r="L43" s="12" t="s">
        <v>726</v>
      </c>
      <c r="M43" s="12" t="s">
        <v>727</v>
      </c>
      <c r="N43" s="12" t="s">
        <v>443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9368.64932274326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6537.81660719109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5881.42751237515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6044.80049883001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7025.0384175592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816.864932274326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7840.53942770084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5099.51286806649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5213.1883879446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5357.99917649862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3388.47520008336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339.001211100016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2467.310625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1781.50967469512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1979.73596707317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2078.14791128049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2381.23457652439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289.788745426829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3678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1833.72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2131.08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247.8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2023.37662337662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1201.2987012987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1396.1038961039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162.337662337662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443</v>
      </c>
      <c r="C54" s="42" t="n">
        <f aca="false">SUM(C44:C53)</f>
        <v>30544.5453738207</v>
      </c>
      <c r="D54" s="42" t="n">
        <f aca="false">SUM(D44:D53)</f>
        <v>16734.484916816</v>
      </c>
      <c r="E54" s="42" t="n">
        <f aca="false">SUM(E44:E53)</f>
        <v>14054.5700691509</v>
      </c>
      <c r="F54" s="42" t="n">
        <f aca="false">SUM(F44:F53)</f>
        <v>16905.1290016273</v>
      </c>
      <c r="G54" s="42" t="n">
        <f aca="false">SUM(G44:G53)</f>
        <v>15722.2071884416</v>
      </c>
      <c r="H54" s="42" t="n">
        <f aca="false">SUM(H44:H53)</f>
        <v>3545.73977278518</v>
      </c>
      <c r="I54" s="42" t="n">
        <f aca="false">SUM(I44:I53)</f>
        <v>2078.14791128049</v>
      </c>
      <c r="J54" s="42" t="n">
        <f aca="false">SUM(J44:J53)</f>
        <v>2381.23457652439</v>
      </c>
      <c r="K54" s="42" t="n">
        <f aca="false">SUM(K44:K53)</f>
        <v>289.788745426829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728</v>
      </c>
    </row>
    <row r="2" customFormat="false" ht="15" hidden="false" customHeight="false" outlineLevel="0" collapsed="false">
      <c r="A2" s="2" t="s">
        <v>729</v>
      </c>
    </row>
    <row r="4" customFormat="false" ht="45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730</v>
      </c>
      <c r="E4" s="12" t="s">
        <v>731</v>
      </c>
      <c r="F4" s="12" t="s">
        <v>732</v>
      </c>
      <c r="G4" s="12" t="s">
        <v>733</v>
      </c>
      <c r="H4" s="12" t="s">
        <v>734</v>
      </c>
      <c r="I4" s="12" t="s">
        <v>735</v>
      </c>
      <c r="J4" s="12" t="s">
        <v>736</v>
      </c>
      <c r="K4" s="12" t="s">
        <v>737</v>
      </c>
      <c r="L4" s="12" t="s">
        <v>738</v>
      </c>
      <c r="M4" s="12" t="s">
        <v>739</v>
      </c>
      <c r="N4" s="12" t="s">
        <v>740</v>
      </c>
      <c r="O4" s="12" t="s">
        <v>741</v>
      </c>
      <c r="P4" s="12" t="s">
        <v>742</v>
      </c>
      <c r="Q4" s="12" t="s">
        <v>743</v>
      </c>
      <c r="R4" s="12" t="s">
        <v>744</v>
      </c>
      <c r="S4" s="12" t="s">
        <v>745</v>
      </c>
      <c r="T4" s="12" t="s">
        <v>746</v>
      </c>
      <c r="U4" s="12" t="s">
        <v>747</v>
      </c>
      <c r="V4" s="12" t="s">
        <v>748</v>
      </c>
      <c r="W4" s="12" t="s">
        <v>749</v>
      </c>
      <c r="X4" s="12" t="s">
        <v>750</v>
      </c>
      <c r="Y4" s="12" t="s">
        <v>751</v>
      </c>
      <c r="Z4" s="12" t="s">
        <v>752</v>
      </c>
      <c r="AA4" s="12" t="s">
        <v>753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443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754</v>
      </c>
    </row>
    <row r="39" customFormat="false" ht="45" hidden="false" customHeight="true" outlineLevel="0" collapsed="false">
      <c r="A39" s="12"/>
      <c r="B39" s="12" t="s">
        <v>312</v>
      </c>
      <c r="C39" s="12" t="s">
        <v>755</v>
      </c>
      <c r="D39" s="12" t="s">
        <v>756</v>
      </c>
      <c r="E39" s="12" t="s">
        <v>757</v>
      </c>
      <c r="F39" s="12" t="s">
        <v>758</v>
      </c>
      <c r="G39" s="12" t="s">
        <v>759</v>
      </c>
      <c r="H39" s="12" t="s">
        <v>760</v>
      </c>
      <c r="I39" s="12" t="s">
        <v>761</v>
      </c>
      <c r="J39" s="12" t="s">
        <v>762</v>
      </c>
      <c r="K39" s="12" t="s">
        <v>763</v>
      </c>
      <c r="L39" s="12" t="s">
        <v>764</v>
      </c>
      <c r="M39" s="12" t="s">
        <v>765</v>
      </c>
      <c r="N39" s="12" t="s">
        <v>766</v>
      </c>
      <c r="O39" s="12" t="s">
        <v>47</v>
      </c>
      <c r="P39" s="12" t="s">
        <v>767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443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768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2026-10-09T15:14:02Z</dcterms:created>
  <dc:creator/>
  <dc:description/>
  <dc:language>en-US</dc:language>
  <cp:lastModifiedBy/>
  <dcterms:modified xsi:type="dcterms:W3CDTF">2026-10-09T15:14:02Z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