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<sst xmlns="http://schemas.openxmlformats.org/spreadsheetml/2006/main" count="1512" uniqueCount="800">
  <si>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</si>
  <si>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</si>
  <si>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</si>
  <si>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</si>
  <si>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</si>
  <si>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</si>
  <si>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</si>
  <si>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</si>
  <si>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</si>
  <si>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</si>
  <si>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</si>
  <si>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</si>
  <si>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</si>
  <si>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(dearest last hire we must buy; reasons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</si>
  <si>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</si>
  <si>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</si>
  <si>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</si>
  <si>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</si>
  <si>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</si>
  <si>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</si>
  <si>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Labels: Given = from the brief; Researched = read from, or calculated by stated arithmetic from, the linked source; Own estimate = my judgement, with the reason (and the benchmark it starts from, where there is one).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</si>
  <si>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</si>
  <si>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</si>
  <si>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</si>
  <si>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</si>
  <si>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</si>
  <si>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</si>
  <si>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</si>
  <si>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</si>
  <si>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</si>
  <si>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</si>
  <si>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</si>
  <si>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</si>
  <si>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</si>
  <si>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</si>
  <si>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</si>
  <si>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</si>
  <si>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</si>
  <si>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</si>
  <si>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</si>
  <si>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</si>
  <si>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</si>
  <si>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</si>
  <si>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</si>
  <si>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</si>
  <si>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</si>
  <si>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</si>
  <si>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</si>
  <si>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</si>
  <si>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</si>
  <si>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</si>
  <si>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</si>
  <si>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</si>
  <si>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</si>
  <si>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</si>
  <si>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</si>
  <si>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</si>
  <si>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</si>
  <si>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</si>
  <si>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</si>
  <si>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</si>
  <si>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</si>
  <si>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</si>
  <si>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</si>
  <si>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Own estimate, not sourced: at launch there is no queue, so the first applicants and re-applicants are assessed within 2 days (SmartRecruiters' 6-day median review, T2, applies once a queue exists and sets the cut-off). If first assessments slip to 26 Oct, hires fall to ~92 (model run); 100 would then need 60 a week.</t>
  </si>
  <si>
    <t xml:space="preserve">T1</t>
  </si>
  <si>
    <t xml:space="preserve">Last realistic contract-signing date</t>
  </si>
  <si>
    <t xml:space="preserve">My choice: the last Friday before Christmas. Indeed job searches fall to 45% below the 1–15 Dec average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</si>
  <si>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</si>
  <si>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</si>
  <si>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Researched</t>
  </si>
  <si>
    <t xml:space="preserve">Global median: 6 days to review an application (SmartRecruiters 2025, Germany edition; German processes run longer, so this assumes the client keeps pace).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</si>
  <si>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</si>
  <si>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</si>
  <si>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Global median: 14 days from application to interview, minus the 6 above (SmartRecruiters 2025, Germany edition).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</si>
  <si>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</si>
  <si>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</si>
  <si>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</si>
  <si>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</si>
  <si>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</si>
  <si>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</si>
  <si>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</si>
  <si>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</si>
  <si>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</si>
  <si>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</si>
  <si>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</si>
  <si>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</si>
  <si>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</si>
  <si>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</si>
  <si>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</si>
  <si>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</si>
  <si>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</si>
  <si>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</si>
  <si>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2025: ~35% of candidates brought onsite get offers (mostly US tech). Set higher (50%) because only pre-qualified people reach this step. https://lp.gem.com/rs/972-IVV-330/images/2025%20Recruiting%20Benchmarks%20-%20Gem.pdf</t>
  </si>
  <si>
    <t xml:space="preserve">PM</t>
  </si>
  <si>
    <t xml:space="preserve">Gem 2025: ~35% of onsite candidates get offers. Set at 55%: most common trade, the assessment is routine for it. https://lp.gem.com/rs/972-IVV-330/images/2025%20Recruiting%20Benchmarks%20-%20Gem.pdf</t>
  </si>
  <si>
    <t xml:space="preserve">PA</t>
  </si>
  <si>
    <t xml:space="preserve">Gem 2025: ~35% of onsite candidates get offers. Set at 45%: PLC skills are tested hard. https://lp.gem.com/rs/972-IVV-330/images/2025%20Recruiting%20Benchmarks%20-%20Gem.pdf</t>
  </si>
  <si>
    <t xml:space="preserve">PS</t>
  </si>
  <si>
    <t xml:space="preserve">Gem 2025: ~35% of onsite candidates get offers. Set at 40%: leadership is assessed on top of trade skills. https://lp.gem.com/rs/972-IVV-330/images/2025%20Recruiting%20Benchmarks%20-%20Gem.pdf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</si>
  <si>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</si>
  <si>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</si>
  <si>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</si>
  <si>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</si>
  <si>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</si>
  <si>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</si>
  <si>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</si>
  <si>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</si>
  <si>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Königsteiner 2022: 47% accepted vs 14% declined after an offer → ~77% acceptance. I use 70–75%: shift work and competing offers.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</si>
  <si>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</si>
  <si>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</si>
  <si>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</si>
  <si>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</si>
  <si>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</si>
  <si>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</si>
  <si>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</si>
  <si>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</si>
  <si>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</si>
  <si>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</si>
  <si>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</si>
  <si>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</si>
  <si>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</si>
  <si>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</si>
  <si>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</si>
  <si>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</si>
  <si>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</si>
  <si>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</si>
  <si>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</si>
  <si>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</si>
  <si>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</si>
  <si>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</si>
  <si>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</si>
  <si>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each week's qualified applicants fit the slots they can use (assessed 6 days after applying). Week 1 is biggest: it also fills the first assessment days (22–25 Oct). Week 6 is small: only 24 Nov is still useful.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</si>
  <si>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</si>
  <si>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</si>
  <si>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</si>
  <si>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</si>
  <si>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</si>
  <si>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</si>
  <si>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</si>
  <si>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</si>
  <si>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</si>
  <si>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</si>
  <si>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</si>
  <si>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</si>
  <si>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</si>
  <si>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</si>
  <si>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</si>
  <si>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</si>
  <si>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</si>
  <si>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</si>
  <si>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</si>
  <si>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</si>
  <si>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</si>
  <si>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</si>
  <si>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</si>
  <si>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</si>
  <si>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</si>
  <si>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(Berlin + ~60% of Brandenburg)</t>
  </si>
  <si>
    <t xml:space="preserve">people</t>
  </si>
  <si>
    <t xml:space="preserve">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</si>
  <si>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PSM</t>
  </si>
  <si>
    <t xml:space="preserve">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</si>
  <si>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PSA</t>
  </si>
  <si>
    <t xml:space="preserve">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</si>
  <si>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PSS</t>
  </si>
  <si>
    <t xml:space="preserve">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</si>
  <si>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PIE</t>
  </si>
  <si>
    <t xml:space="preserve">Share in-market or persuadable during the 6-week window</t>
  </si>
  <si>
    <t xml:space="preserve">Gallup 2024: active job search is 3% / 10% / 23% for high / low / no engagement; weighted by the 9% / 78% / 13% shares ≈ 11%.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</si>
  <si>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</si>
  <si>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</si>
  <si>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</si>
  <si>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</si>
  <si>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</si>
  <si>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Own sizing: few trades workers move across Germany for a job; national headcount × yearly move rate × share moving to Berlin-Brandenburg.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</si>
  <si>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</si>
  <si>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</si>
  <si>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</si>
  <si>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</si>
  <si>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</si>
  <si>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</si>
  <si>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</si>
  <si>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</si>
  <si>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</si>
  <si>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</si>
  <si>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</si>
  <si>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</si>
  <si>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</si>
  <si>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</si>
  <si>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</si>
  <si>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</si>
  <si>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</si>
  <si>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A common ad rule is 'reduce if cost is 1.2–2× target' (roaspig); I halve at 1.5×. https://roaspig.com/blog/automated-rules-manage-meta-budgets/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</si>
  <si>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</si>
  <si>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</si>
  <si>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</si>
  <si>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</si>
  <si>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and R2 applications brought zero qualified</t>
  </si>
  <si>
    <t xml:space="preserve">Test spent (€750) and 30+ applications with none qualified → off. By chance that happens &lt; 0.1% of the time for job boards (~22–25% qualify: 0.775^30) and ~4% for Meta (~10% qualify: 0.9^30).</t>
  </si>
  <si>
    <t xml:space="preserve">TP1</t>
  </si>
  <si>
    <t xml:space="preserve">Initiative test: PASS needs about this share of planned qualified in the window (rounded down)</t>
  </si>
  <si>
    <t xml:space="preserve">Initiatives</t>
  </si>
  <si>
    <t xml:space="preserve">Two-week test passes at about 60% of the planned qualified applicants (rounded down to a whole person, so 54–58% at the current plan).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</si>
  <si>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</si>
  <si>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</si>
  <si>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</si>
  <si>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</si>
  <si>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</si>
  <si>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about 30% of the planned qualified arrive (rounded up to a whole person).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</si>
  <si>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</si>
  <si>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</si>
  <si>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</si>
  <si>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</si>
  <si>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</si>
  <si>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</si>
  <si>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</si>
  <si>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</si>
  <si>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</si>
  <si>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</si>
  <si>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</si>
  <si>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</si>
  <si>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</si>
  <si>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Between the common +20% and +30% scale-up rules (roaspig).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</si>
  <si>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</si>
  <si>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</si>
  <si>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</si>
  <si>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</si>
  <si>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</si>
  <si>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</si>
  <si>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</si>
  <si>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</si>
  <si>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</si>
  <si>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</si>
  <si>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</si>
  <si>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</si>
  <si>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</si>
  <si>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</si>
  <si>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</si>
  <si>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</si>
  <si>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</si>
  <si>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</si>
  <si>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</si>
  <si>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</si>
  <si>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</si>
  <si>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</si>
  <si>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</si>
  <si>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</si>
  <si>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</si>
  <si>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</si>
  <si>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</si>
  <si>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</si>
  <si>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</si>
  <si>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</si>
  <si>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</si>
  <si>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</si>
  <si>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</si>
  <si>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</si>
  <si>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</si>
  <si>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</si>
  <si>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</t>
  </si>
  <si>
    <t xml:space="preserve">CXS</t>
  </si>
  <si>
    <t xml:space="preserve">Channel quality index: social media (Meta)</t>
  </si>
  <si>
    <t xml:space="preserve">Derived from IAB data (2022): social media was used for 42% of filled jobs but decisive for 1 in 14; (7.1% ÷ 42%) ÷ 0.41 ≈ 0.41. https://ohn.haendlerbund.de/themen/unternehmen-maerkte/139538-social-media-whatsapp-mitarbeitersuche-immer-wichtiger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</si>
  <si>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</si>
  <si>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</si>
  <si>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</si>
  <si>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</si>
  <si>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</si>
  <si>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</si>
  <si>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</si>
  <si>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</si>
  <si>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</si>
  <si>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</si>
  <si>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</si>
  <si>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</si>
  <si>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</si>
  <si>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</si>
  <si>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</si>
  <si>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</si>
  <si>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</si>
  <si>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</si>
  <si>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</si>
  <si>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</si>
  <si>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</si>
  <si>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</si>
  <si>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</si>
  <si>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</si>
  <si>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</si>
  <si>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</si>
  <si>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</si>
  <si>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</si>
  <si>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(11 campaigns). https://redline-grow.de/bewerbungen-pro-stelle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</si>
  <si>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</si>
  <si>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</si>
  <si>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</si>
  <si>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</si>
  <si>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</si>
  <si>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</si>
  <si>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</si>
  <si>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</si>
  <si>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</si>
  <si>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</si>
  <si>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</si>
  <si>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</si>
  <si>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</si>
  <si>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IAB-Betriebspanel Brandenburg: ~6% of jobs ended in the first half of 2024 → ~12% a year.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</si>
  <si>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</si>
  <si>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</si>
  <si>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</si>
  <si>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PLI</t>
  </si>
  <si>
    <t xml:space="preserve">Industry workers (NACE B–E) in the Polish border regions Lubuskie + Zachodniopomorskie, 2025</t>
  </si>
  <si>
    <t xml:space="preserve">I3</t>
  </si>
  <si>
    <t xml:space="preserve">Eurostat lfst_r_lfe2en2, 2025: Lubuskie (PL43) 97.0k + Zachodniopomorskie (PL42) 140.5k employed in industry B–E (https://ec.europa.eu/eurostat/databrowser/view/lfst_r_lfe2en2/default/table).</t>
  </si>
  <si>
    <t xml:space="preserve">PLC</t>
  </si>
  <si>
    <t xml:space="preserve">Polish cross-border commuters working in Brandenburg (all jobs)</t>
  </si>
  <si>
    <t xml:space="preserve">IAB-Regional Berlin-Brandenburg 1/2020, table 3 (BA data, June 2019): 13,775 commuters from Poland to Brandenburg workplaces (https://doku.iab.de/regional/BB/2020/regional_bb_0120.pdf).</t>
  </si>
  <si>
    <t xml:space="preserve">PLT</t>
  </si>
  <si>
    <t xml:space="preserve">…of which in machine/vehicle, metalworking and building trades</t>
  </si>
  <si>
    <t xml:space="preserve">Same table: machine and vehicle technology 825 + metal 424 + building construction 429 = 1,678 (https://doku.iab.de/regional/BB/2020/regional_bb_0120.pdf).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</si>
  <si>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</si>
  <si>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</si>
  <si>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</si>
  <si>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</si>
  <si>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</si>
  <si>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</si>
  <si>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</si>
  <si>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</si>
  <si>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</si>
  <si>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</si>
  <si>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</si>
  <si>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</si>
  <si>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</si>
  <si>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</si>
  <si>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</si>
  <si>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</si>
  <si>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</si>
  <si>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</si>
  <si>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</si>
  <si>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</si>
  <si>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Indeed's CPA median is €161 in TalentBait's DACH 2024–26 dataset (2,549 channel-campaigns across all channels), used as the programmatic proxy.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</si>
  <si>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</si>
  <si>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</si>
  <si>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</si>
  <si>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</si>
  <si>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</si>
  <si>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</si>
  <si>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</si>
  <si>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</si>
  <si>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</si>
  <si>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</si>
  <si>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</si>
  <si>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</si>
  <si>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</si>
  <si>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</si>
  <si>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</si>
  <si>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</si>
  <si>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Own estimate: TalentBait's example ad shows ~€84 per application for trades (its measured averages: €52 raw, €104 per qualified);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</si>
  <si>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</si>
  <si>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</si>
  <si>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</si>
  <si>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</si>
  <si>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</si>
  <si>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</si>
  <si>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</si>
  <si>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</si>
  <si>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</si>
  <si>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12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</si>
  <si>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</si>
  <si>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</si>
  <si>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</si>
  <si>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</si>
  <si>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</si>
  <si>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</si>
  <si>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</si>
  <si>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Cold outreach gets ~5% replies (Pin 2026); past applicants already know the employer, so I assume 12%.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</si>
  <si>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</si>
  <si>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</si>
  <si>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</si>
  <si>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</si>
  <si>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</si>
  <si>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</si>
  <si>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</si>
  <si>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</si>
  <si>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</si>
  <si>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</si>
  <si>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</si>
  <si>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</si>
  <si>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</si>
  <si>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</si>
  <si>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~€0.075 each (seven.io price list, 2016 rates) plus email, rounded up to €0.30. https://www.seven.io/en/prices/</t>
  </si>
  <si>
    <t xml:space="preserve">I1B</t>
  </si>
  <si>
    <t xml:space="preserve">I1: referral bonus per signed referred hire (paid from this budget)</t>
  </si>
  <si>
    <t xml:space="preserve">Most firms pay €501–1,000 per successful referral (Radancy survey, 335 firms worldwide).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</si>
  <si>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</si>
  <si>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</si>
  <si>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</si>
  <si>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</si>
  <si>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</si>
  <si>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</si>
  <si>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</si>
  <si>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</si>
  <si>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</si>
  <si>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</si>
  <si>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</si>
  <si>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Own estimate: TalentBait's example ad shows ~€84 per application for trades; its measured averages are €52 per raw application and €104 per qualified one.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</si>
  <si>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</si>
  <si>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</si>
  <si>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</si>
  <si>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</si>
  <si>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</si>
  <si>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</si>
  <si>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</si>
  <si>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</si>
  <si>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</si>
  <si>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</si>
  <si>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</si>
  <si>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</si>
  <si>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</si>
  <si>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</si>
  <si>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</si>
  <si>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</si>
  <si>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</si>
  <si>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</si>
  <si>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</si>
  <si>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</si>
  <si>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</si>
  <si>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</si>
  <si>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</si>
  <si>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</si>
  <si>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</si>
  <si>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</si>
  <si>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</si>
  <si>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</si>
  <si>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</si>
  <si>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</si>
  <si>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</si>
  <si>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I2L</t>
  </si>
  <si>
    <t xml:space="preserve">I2: days from campaign start to go-live (ads, quiz, German copy)</t>
  </si>
  <si>
    <t xml:space="preserve">Setup plan: copy and quiz written in 2 days, client profile sign-off, live Fri 23 Oct.</t>
  </si>
  <si>
    <t xml:space="preserve">I3L</t>
  </si>
  <si>
    <t xml:space="preserve">I3: days from campaign start to go-live (translation, freelancer hired)</t>
  </si>
  <si>
    <t xml:space="preserve">Setup plan: Polish translation and hiring the freelancer take a week, live Tue 27 Oct.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</si>
  <si>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</si>
  <si>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</si>
  <si>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</si>
  <si>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</si>
  <si>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</si>
  <si>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</si>
  <si>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</si>
  <si>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</si>
  <si>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</si>
  <si>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</si>
  <si>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</si>
  <si>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</si>
  <si>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</si>
  <si>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</si>
  <si>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</si>
  <si>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</si>
  <si>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</si>
  <si>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</si>
  <si>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</si>
  <si>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</si>
  <si>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</si>
  <si>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</si>
  <si>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</si>
  <si>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</si>
  <si>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</si>
  <si>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</si>
  <si>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</si>
  <si>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</si>
  <si>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</si>
  <si>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</si>
  <si>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</si>
  <si>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</si>
  <si>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</si>
  <si>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</si>
  <si>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</si>
  <si>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</si>
  <si>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</si>
  <si>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</si>
  <si>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</si>
  <si>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</si>
  <si>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</si>
  <si>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</si>
  <si>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</si>
  <si>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</si>
  <si>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</si>
  <si>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</si>
  <si>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</si>
  <si>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</si>
  <si>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</si>
  <si>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</si>
  <si>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</si>
  <si>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lower bound: same channels, caps ignored)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</si>
  <si>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</si>
  <si>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</si>
  <si>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</si>
  <si>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</si>
  <si>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</si>
  <si>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</si>
  <si>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</si>
  <si>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</si>
  <si>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</si>
  <si>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</si>
  <si>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</si>
  <si>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</si>
  <si>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</si>
  <si>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</si>
  <si>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</si>
  <si>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</si>
  <si>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</si>
  <si>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</si>
  <si>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</si>
  <si>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</si>
  <si>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</si>
  <si>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</si>
  <si>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</si>
  <si>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</si>
  <si>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</si>
  <si>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</si>
  <si>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</si>
  <si>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</si>
  <si>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</si>
  <si>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</si>
  <si>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</si>
  <si>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</si>
  <si>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</si>
  <si>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</si>
  <si>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</si>
  <si>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</si>
  <si>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</si>
  <si>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</si>
  <si>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</si>
  <si>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</si>
  <si>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</si>
  <si>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</si>
  <si>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</si>
  <si>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</si>
  <si>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</si>
  <si>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</si>
  <si>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</si>
  <si>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</si>
  <si>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</si>
  <si>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</si>
  <si>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</si>
  <si>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</si>
  <si>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</si>
  <si>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</si>
  <si>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</si>
  <si>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rate × I2A adjustment)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</si>
  <si>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</si>
  <si>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</si>
  <si>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</si>
  <si>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</si>
  <si>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</si>
  <si>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</si>
  <si>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</si>
  <si>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rate × I3A adjustment)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</si>
  <si>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</si>
  <si>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</si>
  <si>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</si>
  <si>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</si>
  <si>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</si>
  <si>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</si>
  <si>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</si>
  <si>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</si>
  <si>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</si>
  <si>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</si>
  <si>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</si>
  <si>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</si>
  <si>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</si>
  <si>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</si>
  <si>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</si>
  <si>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</si>
  <si>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</si>
  <si>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</si>
  <si>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</si>
  <si>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</si>
  <si>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</si>
  <si>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</si>
  <si>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</si>
  <si>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</si>
  <si>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</si>
  <si>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</si>
  <si>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</si>
  <si>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</si>
  <si>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</si>
  <si>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</si>
  <si>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</si>
  <si>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</si>
  <si>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</si>
  <si>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</si>
  <si>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</si>
  <si>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</si>
  <si>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</si>
  <si>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</si>
  <si>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</si>
  <si>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</si>
  <si>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</si>
  <si>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</si>
  <si>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</si>
  <si>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</si>
  <si>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</si>
  <si>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</si>
  <si>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</si>
  <si>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</si>
  <si>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</si>
  <si>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</si>
  <si>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</si>
  <si>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</si>
  <si>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</si>
  <si>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</si>
  <si>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</si>
  <si>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</si>
  <si>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</si>
  <si>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</si>
  <si>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</si>
  <si>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</si>
  <si>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</si>
  <si>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</si>
  <si>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</si>
  <si>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</si>
  <si>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</si>
  <si>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</si>
  <si>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</si>
  <si>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</si>
  <si>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</si>
  <si>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</si>
  <si>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</si>
  <si>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</si>
  <si>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</si>
  <si>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</si>
  <si>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</si>
  <si>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</si>
  <si>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</si>
  <si>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</si>
  <si>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</si>
  <si>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</si>
  <si>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</si>
  <si>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</si>
  <si>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</si>
  <si>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</si>
  <si>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</si>
  <si>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</si>
  <si>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</si>
  <si>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</si>
  <si>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</si>
  <si>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</si>
  <si>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</si>
  <si>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</si>
  <si>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</si>
  <si>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</si>
  <si>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</si>
  <si>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</si>
  <si>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</si>
  <si>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</si>
  <si>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</si>
  <si>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</si>
  <si>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</si>
  <si>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</si>
  <si>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</si>
  <si>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</si>
  <si>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</si>
  <si>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</si>
  <si>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</si>
  <si>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</si>
  <si>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</si>
  <si>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</si>
  <si>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</si>
  <si>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</si>
  <si>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</si>
  <si>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</si>
  <si>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</si>
  <si>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</si>
  <si>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</si>
  <si>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</si>
  <si>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</si>
  <si>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</si>
  <si>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</si>
  <si>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</si>
  <si>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</si>
  <si>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</si>
  <si>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</si>
  <si>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</si>
  <si>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</si>
  <si>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</si>
  <si>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</si>
  <si>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</si>
  <si>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</si>
  <si>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</si>
  <si>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</si>
  <si>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</si>
  <si>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</si>
  <si>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</si>
  <si>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</si>
  <si>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</si>
  <si>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</si>
  <si>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</si>
  <si>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</si>
  <si>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</si>
  <si>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</si>
  <si>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</si>
  <si>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</si>
  <si>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</si>
  <si>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</si>
  <si>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</si>
  <si>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</si>
  <si>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</si>
  <si>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Supervisor share before re-scaling (useful days only)</t>
  </si>
  <si>
    <t xml:space="preserve">I2 share (from go-live)</t>
  </si>
  <si>
    <t xml:space="preserve">I3 share (from go-live)</t>
  </si>
  <si>
    <t xml:space="preserve">I2 share before re-scaling</t>
  </si>
  <si>
    <t xml:space="preserve">I3 share before re-scaling</t>
  </si>
  <si>
    <t xml:space="preserve">I2 live days (fallback)</t>
  </si>
  <si>
    <t xml:space="preserve">I3 live days (fallback)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</si>
  <si>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</si>
  <si>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</si>
  <si>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Late launches (paced from their go-live dates, cols AB–AE)</t>
  </si>
  <si>
    <t xml:space="preserve">Spreadable media E/M/A (after tests, excl. rediscovery)</t>
  </si>
  <si>
    <t xml:space="preserve">I2 media €</t>
  </si>
  <si>
    <t xml:space="preserve">Spreadable media Supervisors (after tests, excl. rediscovery)</t>
  </si>
  <si>
    <t xml:space="preserve">I2 applications</t>
  </si>
  <si>
    <t xml:space="preserve">StepStone ads (all roles)</t>
  </si>
  <si>
    <t xml:space="preserve">I2 qualified</t>
  </si>
  <si>
    <t xml:space="preserve">Referral bonuses E/M/A</t>
  </si>
  <si>
    <t xml:space="preserve">I2 hires</t>
  </si>
  <si>
    <t xml:space="preserve">Referral bonuses Supervisors</t>
  </si>
  <si>
    <t xml:space="preserve">I3 media €</t>
  </si>
  <si>
    <t xml:space="preserve">Test tranches (all roles)</t>
  </si>
  <si>
    <t xml:space="preserve">I3 applications</t>
  </si>
  <si>
    <t xml:space="preserve">Test qualified E/M/A</t>
  </si>
  <si>
    <t xml:space="preserve">I3 qualified</t>
  </si>
  <si>
    <t xml:space="preserve">Test qualified Supervisors</t>
  </si>
  <si>
    <t xml:space="preserve">I3 hires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</si>
  <si>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</si>
  <si>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</si>
  <si>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</si>
  <si>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</si>
  <si>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</si>
  <si>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</si>
  <si>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</si>
  <si>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</si>
  <si>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</si>
  <si>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</si>
  <si>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</si>
  <si>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</si>
  <si>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</si>
  <si>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</si>
  <si>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</si>
  <si>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</si>
  <si>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</si>
  <si>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</si>
  <si>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</si>
  <si>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</si>
  <si>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</si>
  <si>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</si>
  <si>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</si>
  <si>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</si>
  <si>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</si>
  <si>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</si>
  <si>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</si>
  <si>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</si>
  <si>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</si>
  <si>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</si>
  <si>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</si>
  <si>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</si>
  <si>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</si>
  <si>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</si>
  <si>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</si>
  <si>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</si>
  <si>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</si>
  <si>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</si>
  <si>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</si>
  <si>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</si>
  <si>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</si>
  <si>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</si>
  <si>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</si>
  <si>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</si>
  <si>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</si>
  <si>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</si>
  <si>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</si>
  <si>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Signed to date (ATS source tag)</t>
  </si>
  <si>
    <t xml:space="preserve">Cost per hire to date</t>
  </si>
  <si>
    <t xml:space="preserve">Plan hires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</si>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</sst>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roaspig.com/blog/automated-rules-manage-meta-budgets/" TargetMode="External"/><Relationship Id="rId29" Type="http://schemas.openxmlformats.org/officeDocument/2006/relationships/hyperlink" Target="https://roaspig.com/blog/automated-rules-manage-meta-budgets/" TargetMode="External"/><Relationship Id="rId30" Type="http://schemas.openxmlformats.org/officeDocument/2006/relationships/hyperlink" Target="https://www.pin.com/blog/recruiting-outreach-benchmark-report/" TargetMode="External"/><Relationship Id="rId31" Type="http://schemas.openxmlformats.org/officeDocument/2006/relationships/hyperlink" Target="https://www.pin.com/blog/recruiting-outreach-benchmark-report/" TargetMode="External"/><Relationship Id="rId32" Type="http://schemas.openxmlformats.org/officeDocument/2006/relationships/hyperlink" Target="https://www.pin.com/blog/recruiting-outreach-benchmark-report/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pubmed.ncbi.nlm.nih.gov/10406748/" TargetMode="External"/><Relationship Id="rId35" Type="http://schemas.openxmlformats.org/officeDocument/2006/relationships/hyperlink" Target="https://pubmed.ncbi.nlm.nih.gov/10406748/" TargetMode="External"/><Relationship Id="rId36" Type="http://schemas.openxmlformats.org/officeDocument/2006/relationships/hyperlink" Target="https://iab-forum.de/online-medien-sind-bei-der-personalsuche-auf-dem-vormarsch/" TargetMode="External"/><Relationship Id="rId37" Type="http://schemas.openxmlformats.org/officeDocument/2006/relationships/hyperlink" Target="https://iab-forum.de/online-medien-sind-bei-der-personalsuche-auf-dem-vormarsch/" TargetMode="External"/><Relationship Id="rId38" Type="http://schemas.openxmlformats.org/officeDocument/2006/relationships/hyperlink" Target="https://ohn.haendlerbund.de/themen/unternehmen-maerkte/139538-social-media-whatsapp-mitarbeitersuche-immer-wichtiger" TargetMode="External"/><Relationship Id="rId39" Type="http://schemas.openxmlformats.org/officeDocument/2006/relationships/hyperlink" Target="https://www.personalwirtschaft.de/?p=157882" TargetMode="External"/><Relationship Id="rId40" Type="http://schemas.openxmlformats.org/officeDocument/2006/relationships/hyperlink" Target="https://www.personalwirtschaft.de/?p=157882" TargetMode="External"/><Relationship Id="rId41" Type="http://schemas.openxmlformats.org/officeDocument/2006/relationships/hyperlink" Target="https://www.personalwirtschaft.de/news/recruiting/jeder-zehnte-nutzt-google-zur-jobsuche-97400/" TargetMode="External"/><Relationship Id="rId42" Type="http://schemas.openxmlformats.org/officeDocument/2006/relationships/hyperlink" Target="https://iab-forum.de/iab-stellenerhebung-2-2026-fast-drei-von-vier-bewerbungen-sind-aus-betrieblicher-sicht-ungeeignet/" TargetMode="External"/><Relationship Id="rId43" Type="http://schemas.openxmlformats.org/officeDocument/2006/relationships/hyperlink" Target="https://www.careerplug.com/wp-content/uploads/2025/04/Recruiting-Metrics-Report.pdf" TargetMode="External"/><Relationship Id="rId44" Type="http://schemas.openxmlformats.org/officeDocument/2006/relationships/hyperlink" Target="https://redline-grow.de/bewerbungen-pro-stelle" TargetMode="External"/><Relationship Id="rId45" Type="http://schemas.openxmlformats.org/officeDocument/2006/relationships/hyperlink" Target="https://redline-grow.de/bewerbungen-pro-stelle" TargetMode="External"/><Relationship Id="rId46" Type="http://schemas.openxmlformats.org/officeDocument/2006/relationships/hyperlink" Target="https://redline-grow.de/bewerbungen-pro-stelle" TargetMode="External"/><Relationship Id="rId47" Type="http://schemas.openxmlformats.org/officeDocument/2006/relationships/hyperlink" Target="https://www.stepstone.de/e-recruiting/stellenanzeige-aufgeben/" TargetMode="External"/><Relationship Id="rId48" Type="http://schemas.openxmlformats.org/officeDocument/2006/relationships/hyperlink" Target="https://electrek.co/2026/03/04/tesla-giga-berlin-ig-metall-union-vote-collapse/" TargetMode="External"/><Relationship Id="rId4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0" Type="http://schemas.openxmlformats.org/officeDocument/2006/relationships/hyperlink" Target="https://mweke.brandenburg.de/media/bb1.a.3814.de/Betriebspanel%20Brandenburg%202024%20-%20final.pdf" TargetMode="External"/><Relationship Id="rId51" Type="http://schemas.openxmlformats.org/officeDocument/2006/relationships/hyperlink" Target="https://www.careerplug.com/wp-content/uploads/2025/04/Recruiting-Metrics-Report.pdf" TargetMode="External"/><Relationship Id="rId52" Type="http://schemas.openxmlformats.org/officeDocument/2006/relationships/hyperlink" Target="https://ec.europa.eu/eurostat/databrowser/view/lfst_r_lfe2en2/default/table" TargetMode="External"/><Relationship Id="rId53" Type="http://schemas.openxmlformats.org/officeDocument/2006/relationships/hyperlink" Target="https://doku.iab.de/regional/BB/2020/regional_bb_0120.pdf" TargetMode="External"/><Relationship Id="rId54" Type="http://schemas.openxmlformats.org/officeDocument/2006/relationships/hyperlink" Target="https://doku.iab.de/regional/BB/2020/regional_bb_0120.pdf" TargetMode="External"/><Relationship Id="rId55" Type="http://schemas.openxmlformats.org/officeDocument/2006/relationships/hyperlink" Target="https://www.arbeitsagentur.de/faktor-a/mitarbeiter-finden/so-funktioniert-deutschlands-groesste-jobboerse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stepstone.de/e-recruiting/stellenanzeige-aufgeben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talentbait.de/recruiting-kanaele-uebersicht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social-media-recruiting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recruiting-kanaele-uebersicht/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pin.com/blog/recruiting-outreach-benchmark-report/" TargetMode="External"/><Relationship Id="rId76" Type="http://schemas.openxmlformats.org/officeDocument/2006/relationships/hyperlink" Target="https://www.shrm.org/mena/topics-tools/news/technology/talent-rediscovery-tools-help-address-labor-shortages" TargetMode="External"/><Relationship Id="rId77" Type="http://schemas.openxmlformats.org/officeDocument/2006/relationships/hyperlink" Target="https://iab-forum.de/online-medien-sind-bei-der-personalsuche-auf-dem-vormarsch/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personalwirtschaft.de/?p=166393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1-0-202512-xlsx.xlsx?__blob=publicationFile" TargetMode="External"/><Relationship Id="rId82" Type="http://schemas.openxmlformats.org/officeDocument/2006/relationships/hyperlink" Target="https://www.talentbait.de/social-media-recruiting" TargetMode="External"/><Relationship Id="rId83" Type="http://schemas.openxmlformats.org/officeDocument/2006/relationships/hyperlink" Target="https://www.freelancermap.de/freelancer/texterstellung" TargetMode="External"/><Relationship Id="rId84" Type="http://schemas.openxmlformats.org/officeDocument/2006/relationships/hyperlink" Target="https://dlafirm.pracuj.pl/cennik-uslug/pakiety-ogloszen" TargetMode="External"/><Relationship Id="rId85" Type="http://schemas.openxmlformats.org/officeDocument/2006/relationships/hyperlink" Target="https://ec.europa.eu/eurostat/databrowser/view/edat_aes_l23/default/table" TargetMode="External"/><Relationship Id="rId86" Type="http://schemas.openxmlformats.org/officeDocument/2006/relationships/hyperlink" Target="https://www.indeed.com/hire/c/info/what-is-a-phone-screen" TargetMode="External"/><Relationship Id="rId87" Type="http://schemas.openxmlformats.org/officeDocument/2006/relationships/hyperlink" Target="https://rocketjobs.pl/oferta-pracy/intent-tech-recruiter-freelance--warszawa-hr-recruitment-9e0cdcee" TargetMode="External"/><Relationship Id="rId88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122500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102255.847555873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20244.1524441265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1022.55847555873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IF(MAX(Funnel!H30:H33)&lt;=0,"–",INDEX(Funnel!A30:A33,MATCH(MAX(Funnel!H30:H33),Funnel!H30:H33,0))&amp;" (last hire costs €"&amp;TEXT(MAX(Funnel!H30:H33),"#,##0")&amp;")")</f>
        <v>Electricians (last hire costs €2,272)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87.0578063312124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$157&lt;0)+(Assumptions!$D$157&gt;1)+(Assumptions!$D$158&lt;0)+(Assumptions!$D$158&gt;1)+(Assumptions!$D$163&lt;0)+(Assumptions!$D$163&gt;1)+(Assumptions!$D$168&lt;0)+(Assumptions!$D$168&gt;1)+(Assumptions!$D$170&lt;0)+(Assumptions!$D$170&gt;1)+(Assumptions!$D$174&lt;0)+(Assumptions!$D$174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$124&lt;0)+(Assumptions!$D$125&lt;0)+(Assumptions!$D$126&lt;0)+(Assumptions!$D$153&lt;0)+(Assumptions!$D$154&lt;0)+(Assumptions!$D$155&lt;0)+(Assumptions!$D$156&lt;0)+(Assumptions!$D$159&lt;0)+(Assumptions!$D$160&lt;0)+(Assumptions!$D$161&lt;0)+(Assumptions!$D$162&lt;0)+(Assumptions!$D$164&lt;0)+(Assumptions!$D$165&lt;0)+(Assumptions!$D$166&lt;0)+(Assumptions!$D$167&lt;0)+(Assumptions!$D$169&lt;0)+(Assumptions!$D$171&lt;0)+(Assumptions!$D$172&lt;0)+(Assumptions!$D$173&lt;0)+(Assumptions!$D$175&lt;0)+(Assumptions!$D$176&lt;0)+(Assumptions!$D$177&lt;0)+(Assumptions!$D$178&lt;0)+(Assumptions!$D$179&lt;0)+(Assumptions!$D$180&lt;0)+(Assumptions!$D$181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$130:$E$149&lt;0)+(Assumptions!$G$130:$G$149&lt;0)+(Assumptions!$G$130:$G$149&gt;1)+(Assumptions!$H$130:$H$149&lt;0)+(Assumptions!$I$130:$I$149&lt;0)+(Assumptions!$J$130:$J$149&lt;0)+(Assumptions!$F$130:$F$149&lt;0)+((Assumptions!$D$130:$D$149="CPC")*(Assumptions!$F$130:$F$149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52.2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63</v>
      </c>
      <c r="G20" s="17" t="s">
        <v>67</v>
      </c>
    </row>
    <row r="21" customFormat="false" ht="26.85" hidden="false" customHeight="false" outlineLevel="0" collapsed="false">
      <c r="A21" s="2" t="s">
        <v>68</v>
      </c>
      <c r="B21" s="13" t="s">
        <v>69</v>
      </c>
      <c r="C21" s="2" t="s">
        <v>31</v>
      </c>
      <c r="D21" s="15" t="n">
        <v>6</v>
      </c>
      <c r="E21" s="2" t="s">
        <v>62</v>
      </c>
      <c r="F21" s="2" t="s">
        <v>70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70</v>
      </c>
      <c r="G22" s="17" t="s">
        <v>74</v>
      </c>
    </row>
    <row r="23" customFormat="false" ht="15" hidden="false" customHeight="false" outlineLevel="0" collapsed="false">
      <c r="A23" s="2" t="s">
        <v>75</v>
      </c>
      <c r="B23" s="13" t="s">
        <v>76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77</v>
      </c>
    </row>
    <row r="24" customFormat="false" ht="15" hidden="false" customHeight="false" outlineLevel="0" collapsed="false">
      <c r="A24" s="2" t="s">
        <v>78</v>
      </c>
      <c r="B24" s="13" t="s">
        <v>79</v>
      </c>
      <c r="C24" s="2" t="s">
        <v>31</v>
      </c>
      <c r="D24" s="15" t="n">
        <v>7</v>
      </c>
      <c r="E24" s="2" t="s">
        <v>62</v>
      </c>
      <c r="F24" s="2" t="s">
        <v>63</v>
      </c>
      <c r="G24" s="17" t="s">
        <v>80</v>
      </c>
    </row>
    <row r="25" customFormat="false" ht="26.85" hidden="false" customHeight="false" outlineLevel="0" collapsed="false">
      <c r="A25" s="2" t="s">
        <v>81</v>
      </c>
      <c r="B25" s="13" t="s">
        <v>82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83</v>
      </c>
    </row>
    <row r="27" customFormat="false" ht="15" hidden="false" customHeight="false" outlineLevel="0" collapsed="false">
      <c r="A27" s="10" t="s">
        <v>84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85</v>
      </c>
      <c r="B29" s="13" t="s">
        <v>86</v>
      </c>
      <c r="C29" s="2" t="s">
        <v>48</v>
      </c>
      <c r="D29" s="16" t="n">
        <v>0.25</v>
      </c>
      <c r="E29" s="2" t="s">
        <v>44</v>
      </c>
      <c r="F29" s="2" t="s">
        <v>70</v>
      </c>
      <c r="G29" s="17" t="s">
        <v>87</v>
      </c>
    </row>
    <row r="30" customFormat="false" ht="15" hidden="false" customHeight="false" outlineLevel="0" collapsed="false">
      <c r="A30" s="2" t="s">
        <v>88</v>
      </c>
      <c r="B30" s="13" t="s">
        <v>86</v>
      </c>
      <c r="C30" s="2" t="s">
        <v>43</v>
      </c>
      <c r="D30" s="16" t="n">
        <v>0.25</v>
      </c>
      <c r="E30" s="2" t="s">
        <v>44</v>
      </c>
      <c r="F30" s="2" t="s">
        <v>70</v>
      </c>
      <c r="G30" s="17" t="s">
        <v>87</v>
      </c>
    </row>
    <row r="31" customFormat="false" ht="15" hidden="false" customHeight="false" outlineLevel="0" collapsed="false">
      <c r="A31" s="2" t="s">
        <v>89</v>
      </c>
      <c r="B31" s="13" t="s">
        <v>86</v>
      </c>
      <c r="C31" s="2" t="s">
        <v>52</v>
      </c>
      <c r="D31" s="16" t="n">
        <v>0.25</v>
      </c>
      <c r="E31" s="2" t="s">
        <v>44</v>
      </c>
      <c r="F31" s="2" t="s">
        <v>70</v>
      </c>
      <c r="G31" s="17" t="s">
        <v>87</v>
      </c>
    </row>
    <row r="32" customFormat="false" ht="15" hidden="false" customHeight="false" outlineLevel="0" collapsed="false">
      <c r="A32" s="2" t="s">
        <v>90</v>
      </c>
      <c r="B32" s="13" t="s">
        <v>86</v>
      </c>
      <c r="C32" s="2" t="s">
        <v>54</v>
      </c>
      <c r="D32" s="16" t="n">
        <v>0.23</v>
      </c>
      <c r="E32" s="2" t="s">
        <v>44</v>
      </c>
      <c r="F32" s="2" t="s">
        <v>70</v>
      </c>
      <c r="G32" s="17" t="s">
        <v>87</v>
      </c>
    </row>
    <row r="33" customFormat="false" ht="15" hidden="false" customHeight="false" outlineLevel="0" collapsed="false">
      <c r="A33" s="2" t="s">
        <v>91</v>
      </c>
      <c r="B33" s="13" t="s">
        <v>92</v>
      </c>
      <c r="C33" s="2" t="s">
        <v>48</v>
      </c>
      <c r="D33" s="16" t="n">
        <v>0.5</v>
      </c>
      <c r="E33" s="2" t="s">
        <v>44</v>
      </c>
      <c r="F33" s="2" t="s">
        <v>63</v>
      </c>
      <c r="G33" s="17" t="s">
        <v>93</v>
      </c>
    </row>
    <row r="34" customFormat="false" ht="15" hidden="false" customHeight="false" outlineLevel="0" collapsed="false">
      <c r="A34" s="2" t="s">
        <v>94</v>
      </c>
      <c r="B34" s="13" t="s">
        <v>92</v>
      </c>
      <c r="C34" s="2" t="s">
        <v>43</v>
      </c>
      <c r="D34" s="16" t="n">
        <v>0.55</v>
      </c>
      <c r="E34" s="2" t="s">
        <v>44</v>
      </c>
      <c r="F34" s="2" t="s">
        <v>63</v>
      </c>
      <c r="G34" s="17" t="s">
        <v>95</v>
      </c>
    </row>
    <row r="35" customFormat="false" ht="15" hidden="false" customHeight="false" outlineLevel="0" collapsed="false">
      <c r="A35" s="2" t="s">
        <v>96</v>
      </c>
      <c r="B35" s="13" t="s">
        <v>92</v>
      </c>
      <c r="C35" s="2" t="s">
        <v>52</v>
      </c>
      <c r="D35" s="16" t="n">
        <v>0.45</v>
      </c>
      <c r="E35" s="2" t="s">
        <v>44</v>
      </c>
      <c r="F35" s="2" t="s">
        <v>63</v>
      </c>
      <c r="G35" s="17" t="s">
        <v>97</v>
      </c>
    </row>
    <row r="36" customFormat="false" ht="15" hidden="false" customHeight="false" outlineLevel="0" collapsed="false">
      <c r="A36" s="2" t="s">
        <v>98</v>
      </c>
      <c r="B36" s="13" t="s">
        <v>92</v>
      </c>
      <c r="C36" s="2" t="s">
        <v>54</v>
      </c>
      <c r="D36" s="16" t="n">
        <v>0.4</v>
      </c>
      <c r="E36" s="2" t="s">
        <v>44</v>
      </c>
      <c r="F36" s="2" t="s">
        <v>63</v>
      </c>
      <c r="G36" s="17" t="s">
        <v>99</v>
      </c>
    </row>
    <row r="37" customFormat="false" ht="26.85" hidden="false" customHeight="false" outlineLevel="0" collapsed="false">
      <c r="A37" s="2" t="s">
        <v>100</v>
      </c>
      <c r="B37" s="13" t="s">
        <v>101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102</v>
      </c>
    </row>
    <row r="38" customFormat="false" ht="26.85" hidden="false" customHeight="false" outlineLevel="0" collapsed="false">
      <c r="A38" s="2" t="s">
        <v>103</v>
      </c>
      <c r="B38" s="13" t="s">
        <v>101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102</v>
      </c>
    </row>
    <row r="39" customFormat="false" ht="26.85" hidden="false" customHeight="false" outlineLevel="0" collapsed="false">
      <c r="A39" s="2" t="s">
        <v>104</v>
      </c>
      <c r="B39" s="13" t="s">
        <v>101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102</v>
      </c>
    </row>
    <row r="40" customFormat="false" ht="26.85" hidden="false" customHeight="false" outlineLevel="0" collapsed="false">
      <c r="A40" s="2" t="s">
        <v>105</v>
      </c>
      <c r="B40" s="13" t="s">
        <v>101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102</v>
      </c>
    </row>
    <row r="41" customFormat="false" ht="15" hidden="false" customHeight="false" outlineLevel="0" collapsed="false">
      <c r="A41" s="2" t="s">
        <v>106</v>
      </c>
      <c r="B41" s="13" t="s">
        <v>107</v>
      </c>
      <c r="C41" s="2" t="s">
        <v>48</v>
      </c>
      <c r="D41" s="16" t="n">
        <v>0.7</v>
      </c>
      <c r="E41" s="2" t="s">
        <v>44</v>
      </c>
      <c r="F41" s="2" t="s">
        <v>63</v>
      </c>
      <c r="G41" s="17" t="s">
        <v>108</v>
      </c>
    </row>
    <row r="42" customFormat="false" ht="15" hidden="false" customHeight="false" outlineLevel="0" collapsed="false">
      <c r="A42" s="2" t="s">
        <v>109</v>
      </c>
      <c r="B42" s="13" t="s">
        <v>107</v>
      </c>
      <c r="C42" s="2" t="s">
        <v>43</v>
      </c>
      <c r="D42" s="16" t="n">
        <v>0.75</v>
      </c>
      <c r="E42" s="2" t="s">
        <v>44</v>
      </c>
      <c r="F42" s="2" t="s">
        <v>63</v>
      </c>
      <c r="G42" s="17" t="s">
        <v>108</v>
      </c>
    </row>
    <row r="43" customFormat="false" ht="15" hidden="false" customHeight="false" outlineLevel="0" collapsed="false">
      <c r="A43" s="2" t="s">
        <v>110</v>
      </c>
      <c r="B43" s="13" t="s">
        <v>107</v>
      </c>
      <c r="C43" s="2" t="s">
        <v>52</v>
      </c>
      <c r="D43" s="16" t="n">
        <v>0.7</v>
      </c>
      <c r="E43" s="2" t="s">
        <v>44</v>
      </c>
      <c r="F43" s="2" t="s">
        <v>63</v>
      </c>
      <c r="G43" s="17" t="s">
        <v>108</v>
      </c>
    </row>
    <row r="44" customFormat="false" ht="15" hidden="false" customHeight="false" outlineLevel="0" collapsed="false">
      <c r="A44" s="2" t="s">
        <v>111</v>
      </c>
      <c r="B44" s="13" t="s">
        <v>107</v>
      </c>
      <c r="C44" s="2" t="s">
        <v>54</v>
      </c>
      <c r="D44" s="16" t="n">
        <v>0.7</v>
      </c>
      <c r="E44" s="2" t="s">
        <v>44</v>
      </c>
      <c r="F44" s="2" t="s">
        <v>63</v>
      </c>
      <c r="G44" s="17" t="s">
        <v>108</v>
      </c>
    </row>
    <row r="46" customFormat="false" ht="15" hidden="false" customHeight="false" outlineLevel="0" collapsed="false">
      <c r="A46" s="10" t="s">
        <v>112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113</v>
      </c>
      <c r="B48" s="13" t="s">
        <v>114</v>
      </c>
      <c r="C48" s="2" t="s">
        <v>31</v>
      </c>
      <c r="D48" s="16" t="n">
        <v>0.15</v>
      </c>
      <c r="E48" s="2" t="s">
        <v>44</v>
      </c>
      <c r="F48" s="2" t="s">
        <v>63</v>
      </c>
      <c r="G48" s="17" t="s">
        <v>115</v>
      </c>
    </row>
    <row r="49" customFormat="false" ht="26.85" hidden="false" customHeight="false" outlineLevel="0" collapsed="false">
      <c r="A49" s="2" t="s">
        <v>116</v>
      </c>
      <c r="B49" s="13" t="s">
        <v>117</v>
      </c>
      <c r="C49" s="2" t="s">
        <v>118</v>
      </c>
      <c r="D49" s="18" t="n">
        <v>750</v>
      </c>
      <c r="E49" s="2" t="s">
        <v>119</v>
      </c>
      <c r="F49" s="2" t="s">
        <v>63</v>
      </c>
      <c r="G49" s="13" t="s">
        <v>120</v>
      </c>
    </row>
    <row r="50" customFormat="false" ht="26.85" hidden="false" customHeight="false" outlineLevel="0" collapsed="false">
      <c r="A50" s="2" t="s">
        <v>121</v>
      </c>
      <c r="B50" s="13" t="s">
        <v>122</v>
      </c>
      <c r="C50" s="2" t="s">
        <v>118</v>
      </c>
      <c r="D50" s="16" t="n">
        <v>0.4</v>
      </c>
      <c r="E50" s="2" t="s">
        <v>44</v>
      </c>
      <c r="F50" s="2" t="s">
        <v>63</v>
      </c>
      <c r="G50" s="13" t="s">
        <v>123</v>
      </c>
    </row>
    <row r="51" customFormat="false" ht="15" hidden="false" customHeight="false" outlineLevel="0" collapsed="false">
      <c r="A51" s="2" t="s">
        <v>124</v>
      </c>
      <c r="B51" s="13" t="s">
        <v>125</v>
      </c>
      <c r="C51" s="2" t="s">
        <v>31</v>
      </c>
      <c r="D51" s="18" t="n">
        <v>2500</v>
      </c>
      <c r="E51" s="2" t="s">
        <v>119</v>
      </c>
      <c r="F51" s="2" t="s">
        <v>63</v>
      </c>
      <c r="G51" s="13" t="s">
        <v>126</v>
      </c>
    </row>
    <row r="52" customFormat="false" ht="15" hidden="false" customHeight="false" outlineLevel="0" collapsed="false">
      <c r="A52" s="2" t="s">
        <v>127</v>
      </c>
      <c r="B52" s="13" t="s">
        <v>128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39.55" hidden="false" customHeight="false" outlineLevel="0" collapsed="false">
      <c r="A53" s="2" t="s">
        <v>129</v>
      </c>
      <c r="B53" s="13" t="s">
        <v>130</v>
      </c>
      <c r="C53" s="2" t="s">
        <v>131</v>
      </c>
      <c r="D53" s="16" t="n">
        <v>0.316</v>
      </c>
      <c r="E53" s="2" t="s">
        <v>44</v>
      </c>
      <c r="F53" s="2" t="s">
        <v>63</v>
      </c>
      <c r="G53" s="13" t="s">
        <v>132</v>
      </c>
    </row>
    <row r="54" customFormat="false" ht="39.55" hidden="false" customHeight="false" outlineLevel="0" collapsed="false">
      <c r="A54" s="2" t="s">
        <v>133</v>
      </c>
      <c r="B54" s="13" t="s">
        <v>134</v>
      </c>
      <c r="C54" s="2" t="s">
        <v>131</v>
      </c>
      <c r="D54" s="16" t="n">
        <v>0.131</v>
      </c>
      <c r="E54" s="2" t="s">
        <v>44</v>
      </c>
      <c r="F54" s="2" t="s">
        <v>63</v>
      </c>
      <c r="G54" s="13" t="s">
        <v>132</v>
      </c>
    </row>
    <row r="55" customFormat="false" ht="39.55" hidden="false" customHeight="false" outlineLevel="0" collapsed="false">
      <c r="A55" s="2" t="s">
        <v>135</v>
      </c>
      <c r="B55" s="13" t="s">
        <v>136</v>
      </c>
      <c r="C55" s="2" t="s">
        <v>131</v>
      </c>
      <c r="D55" s="16" t="n">
        <v>0.161</v>
      </c>
      <c r="E55" s="2" t="s">
        <v>44</v>
      </c>
      <c r="F55" s="2" t="s">
        <v>63</v>
      </c>
      <c r="G55" s="13" t="s">
        <v>132</v>
      </c>
    </row>
    <row r="56" customFormat="false" ht="39.55" hidden="false" customHeight="false" outlineLevel="0" collapsed="false">
      <c r="A56" s="2" t="s">
        <v>137</v>
      </c>
      <c r="B56" s="13" t="s">
        <v>138</v>
      </c>
      <c r="C56" s="2" t="s">
        <v>131</v>
      </c>
      <c r="D56" s="16" t="n">
        <v>0.17</v>
      </c>
      <c r="E56" s="2" t="s">
        <v>44</v>
      </c>
      <c r="F56" s="2" t="s">
        <v>63</v>
      </c>
      <c r="G56" s="13" t="s">
        <v>132</v>
      </c>
    </row>
    <row r="57" customFormat="false" ht="39.55" hidden="false" customHeight="false" outlineLevel="0" collapsed="false">
      <c r="A57" s="2" t="s">
        <v>139</v>
      </c>
      <c r="B57" s="13" t="s">
        <v>140</v>
      </c>
      <c r="C57" s="2" t="s">
        <v>131</v>
      </c>
      <c r="D57" s="16" t="n">
        <v>0.195</v>
      </c>
      <c r="E57" s="2" t="s">
        <v>44</v>
      </c>
      <c r="F57" s="2" t="s">
        <v>63</v>
      </c>
      <c r="G57" s="13" t="s">
        <v>132</v>
      </c>
    </row>
    <row r="58" customFormat="false" ht="39.55" hidden="false" customHeight="false" outlineLevel="0" collapsed="false">
      <c r="A58" s="2" t="s">
        <v>141</v>
      </c>
      <c r="B58" s="13" t="s">
        <v>142</v>
      </c>
      <c r="C58" s="2" t="s">
        <v>131</v>
      </c>
      <c r="D58" s="16" t="n">
        <v>0.027</v>
      </c>
      <c r="E58" s="2" t="s">
        <v>44</v>
      </c>
      <c r="F58" s="2" t="s">
        <v>63</v>
      </c>
      <c r="G58" s="13" t="s">
        <v>132</v>
      </c>
    </row>
    <row r="59" customFormat="false" ht="15" hidden="false" customHeight="false" outlineLevel="0" collapsed="false">
      <c r="A59" s="2" t="s">
        <v>143</v>
      </c>
      <c r="B59" s="13" t="s">
        <v>144</v>
      </c>
      <c r="C59" s="2" t="s">
        <v>131</v>
      </c>
      <c r="D59" s="16" t="n">
        <v>0</v>
      </c>
      <c r="E59" s="2" t="s">
        <v>44</v>
      </c>
      <c r="F59" s="2" t="s">
        <v>63</v>
      </c>
      <c r="G59" s="13" t="s">
        <v>145</v>
      </c>
    </row>
    <row r="60" customFormat="false" ht="15" hidden="false" customHeight="false" outlineLevel="0" collapsed="false">
      <c r="A60" s="2" t="s">
        <v>146</v>
      </c>
      <c r="B60" s="13" t="s">
        <v>147</v>
      </c>
      <c r="C60" s="2" t="s">
        <v>131</v>
      </c>
      <c r="D60" s="16" t="n">
        <v>0</v>
      </c>
      <c r="E60" s="2" t="s">
        <v>44</v>
      </c>
      <c r="F60" s="2" t="s">
        <v>63</v>
      </c>
      <c r="G60" s="13" t="s">
        <v>145</v>
      </c>
    </row>
    <row r="61" customFormat="false" ht="15" hidden="false" customHeight="false" outlineLevel="0" collapsed="false">
      <c r="A61" s="2" t="s">
        <v>148</v>
      </c>
      <c r="B61" s="13" t="s">
        <v>149</v>
      </c>
      <c r="C61" s="2" t="s">
        <v>131</v>
      </c>
      <c r="D61" s="16" t="n">
        <v>0</v>
      </c>
      <c r="E61" s="2" t="s">
        <v>44</v>
      </c>
      <c r="F61" s="2" t="s">
        <v>63</v>
      </c>
      <c r="G61" s="13" t="s">
        <v>145</v>
      </c>
    </row>
    <row r="62" customFormat="false" ht="15" hidden="false" customHeight="false" outlineLevel="0" collapsed="false">
      <c r="A62" s="2" t="s">
        <v>150</v>
      </c>
      <c r="B62" s="13" t="s">
        <v>151</v>
      </c>
      <c r="C62" s="2" t="s">
        <v>131</v>
      </c>
      <c r="D62" s="16" t="n">
        <v>0</v>
      </c>
      <c r="E62" s="2" t="s">
        <v>44</v>
      </c>
      <c r="F62" s="2" t="s">
        <v>63</v>
      </c>
      <c r="G62" s="13" t="s">
        <v>145</v>
      </c>
    </row>
    <row r="63" customFormat="false" ht="15" hidden="false" customHeight="false" outlineLevel="0" collapsed="false">
      <c r="A63" s="2" t="s">
        <v>152</v>
      </c>
      <c r="B63" s="13" t="s">
        <v>153</v>
      </c>
      <c r="C63" s="2" t="s">
        <v>131</v>
      </c>
      <c r="D63" s="16" t="n">
        <v>0</v>
      </c>
      <c r="E63" s="2" t="s">
        <v>44</v>
      </c>
      <c r="F63" s="2" t="s">
        <v>63</v>
      </c>
      <c r="G63" s="13" t="s">
        <v>145</v>
      </c>
    </row>
    <row r="64" customFormat="false" ht="15" hidden="false" customHeight="false" outlineLevel="0" collapsed="false">
      <c r="A64" s="2" t="s">
        <v>154</v>
      </c>
      <c r="B64" s="13" t="s">
        <v>155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156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157</v>
      </c>
      <c r="B68" s="13" t="s">
        <v>158</v>
      </c>
      <c r="C68" s="2" t="s">
        <v>48</v>
      </c>
      <c r="D68" s="15" t="n">
        <v>4800</v>
      </c>
      <c r="E68" s="2" t="s">
        <v>159</v>
      </c>
      <c r="F68" s="2" t="s">
        <v>63</v>
      </c>
      <c r="G68" s="17" t="s">
        <v>160</v>
      </c>
    </row>
    <row r="69" customFormat="false" ht="26.85" hidden="false" customHeight="false" outlineLevel="0" collapsed="false">
      <c r="A69" s="2" t="s">
        <v>161</v>
      </c>
      <c r="B69" s="13" t="s">
        <v>158</v>
      </c>
      <c r="C69" s="2" t="s">
        <v>43</v>
      </c>
      <c r="D69" s="15" t="n">
        <v>26400</v>
      </c>
      <c r="E69" s="2" t="s">
        <v>159</v>
      </c>
      <c r="F69" s="2" t="s">
        <v>63</v>
      </c>
      <c r="G69" s="17" t="s">
        <v>162</v>
      </c>
    </row>
    <row r="70" customFormat="false" ht="26.85" hidden="false" customHeight="false" outlineLevel="0" collapsed="false">
      <c r="A70" s="2" t="s">
        <v>163</v>
      </c>
      <c r="B70" s="13" t="s">
        <v>158</v>
      </c>
      <c r="C70" s="2" t="s">
        <v>52</v>
      </c>
      <c r="D70" s="15" t="n">
        <v>2000</v>
      </c>
      <c r="E70" s="2" t="s">
        <v>159</v>
      </c>
      <c r="F70" s="2" t="s">
        <v>63</v>
      </c>
      <c r="G70" s="17" t="s">
        <v>164</v>
      </c>
    </row>
    <row r="71" customFormat="false" ht="26.85" hidden="false" customHeight="false" outlineLevel="0" collapsed="false">
      <c r="A71" s="2" t="s">
        <v>165</v>
      </c>
      <c r="B71" s="13" t="s">
        <v>158</v>
      </c>
      <c r="C71" s="2" t="s">
        <v>54</v>
      </c>
      <c r="D71" s="15" t="n">
        <v>2200</v>
      </c>
      <c r="E71" s="2" t="s">
        <v>159</v>
      </c>
      <c r="F71" s="2" t="s">
        <v>63</v>
      </c>
      <c r="G71" s="17" t="s">
        <v>166</v>
      </c>
    </row>
    <row r="72" customFormat="false" ht="26.85" hidden="false" customHeight="false" outlineLevel="0" collapsed="false">
      <c r="A72" s="2" t="s">
        <v>167</v>
      </c>
      <c r="B72" s="13" t="s">
        <v>168</v>
      </c>
      <c r="C72" s="2" t="s">
        <v>48</v>
      </c>
      <c r="D72" s="16" t="n">
        <v>0.11</v>
      </c>
      <c r="E72" s="2" t="s">
        <v>44</v>
      </c>
      <c r="F72" s="2" t="s">
        <v>70</v>
      </c>
      <c r="G72" s="17" t="s">
        <v>169</v>
      </c>
    </row>
    <row r="73" customFormat="false" ht="26.85" hidden="false" customHeight="false" outlineLevel="0" collapsed="false">
      <c r="A73" s="2" t="s">
        <v>170</v>
      </c>
      <c r="B73" s="13" t="s">
        <v>168</v>
      </c>
      <c r="C73" s="2" t="s">
        <v>43</v>
      </c>
      <c r="D73" s="16" t="n">
        <v>0.11</v>
      </c>
      <c r="E73" s="2" t="s">
        <v>44</v>
      </c>
      <c r="F73" s="2" t="s">
        <v>70</v>
      </c>
      <c r="G73" s="17" t="s">
        <v>169</v>
      </c>
    </row>
    <row r="74" customFormat="false" ht="26.85" hidden="false" customHeight="false" outlineLevel="0" collapsed="false">
      <c r="A74" s="2" t="s">
        <v>171</v>
      </c>
      <c r="B74" s="13" t="s">
        <v>168</v>
      </c>
      <c r="C74" s="2" t="s">
        <v>52</v>
      </c>
      <c r="D74" s="16" t="n">
        <v>0.11</v>
      </c>
      <c r="E74" s="2" t="s">
        <v>44</v>
      </c>
      <c r="F74" s="2" t="s">
        <v>70</v>
      </c>
      <c r="G74" s="17" t="s">
        <v>169</v>
      </c>
    </row>
    <row r="75" customFormat="false" ht="26.85" hidden="false" customHeight="false" outlineLevel="0" collapsed="false">
      <c r="A75" s="2" t="s">
        <v>172</v>
      </c>
      <c r="B75" s="13" t="s">
        <v>168</v>
      </c>
      <c r="C75" s="2" t="s">
        <v>54</v>
      </c>
      <c r="D75" s="16" t="n">
        <v>0.11</v>
      </c>
      <c r="E75" s="2" t="s">
        <v>44</v>
      </c>
      <c r="F75" s="2" t="s">
        <v>70</v>
      </c>
      <c r="G75" s="17" t="s">
        <v>169</v>
      </c>
    </row>
    <row r="76" customFormat="false" ht="26.85" hidden="false" customHeight="false" outlineLevel="0" collapsed="false">
      <c r="A76" s="2" t="s">
        <v>173</v>
      </c>
      <c r="B76" s="13" t="s">
        <v>174</v>
      </c>
      <c r="C76" s="2" t="s">
        <v>48</v>
      </c>
      <c r="D76" s="15" t="n">
        <v>41</v>
      </c>
      <c r="E76" s="2" t="s">
        <v>159</v>
      </c>
      <c r="F76" s="2" t="s">
        <v>63</v>
      </c>
      <c r="G76" s="13" t="s">
        <v>175</v>
      </c>
    </row>
    <row r="77" customFormat="false" ht="26.85" hidden="false" customHeight="false" outlineLevel="0" collapsed="false">
      <c r="A77" s="2" t="s">
        <v>176</v>
      </c>
      <c r="B77" s="13" t="s">
        <v>174</v>
      </c>
      <c r="C77" s="2" t="s">
        <v>43</v>
      </c>
      <c r="D77" s="15" t="n">
        <v>28</v>
      </c>
      <c r="E77" s="2" t="s">
        <v>159</v>
      </c>
      <c r="F77" s="2" t="s">
        <v>63</v>
      </c>
      <c r="G77" s="13" t="s">
        <v>175</v>
      </c>
    </row>
    <row r="78" customFormat="false" ht="26.85" hidden="false" customHeight="false" outlineLevel="0" collapsed="false">
      <c r="A78" s="2" t="s">
        <v>177</v>
      </c>
      <c r="B78" s="13" t="s">
        <v>174</v>
      </c>
      <c r="C78" s="2" t="s">
        <v>52</v>
      </c>
      <c r="D78" s="15" t="n">
        <v>16</v>
      </c>
      <c r="E78" s="2" t="s">
        <v>159</v>
      </c>
      <c r="F78" s="2" t="s">
        <v>63</v>
      </c>
      <c r="G78" s="13" t="s">
        <v>175</v>
      </c>
    </row>
    <row r="79" customFormat="false" ht="26.85" hidden="false" customHeight="false" outlineLevel="0" collapsed="false">
      <c r="A79" s="2" t="s">
        <v>178</v>
      </c>
      <c r="B79" s="13" t="s">
        <v>174</v>
      </c>
      <c r="C79" s="2" t="s">
        <v>54</v>
      </c>
      <c r="D79" s="15" t="n">
        <v>4</v>
      </c>
      <c r="E79" s="2" t="s">
        <v>159</v>
      </c>
      <c r="F79" s="2" t="s">
        <v>63</v>
      </c>
      <c r="G79" s="13" t="s">
        <v>175</v>
      </c>
    </row>
    <row r="81" customFormat="false" ht="15" hidden="false" customHeight="false" outlineLevel="0" collapsed="false">
      <c r="A81" s="10" t="s">
        <v>179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180</v>
      </c>
      <c r="B83" s="13" t="s">
        <v>181</v>
      </c>
      <c r="C83" s="2" t="s">
        <v>182</v>
      </c>
      <c r="D83" s="18" t="n">
        <v>500</v>
      </c>
      <c r="E83" s="2" t="s">
        <v>119</v>
      </c>
      <c r="F83" s="2" t="s">
        <v>63</v>
      </c>
      <c r="G83" s="13" t="s">
        <v>183</v>
      </c>
    </row>
    <row r="84" customFormat="false" ht="15" hidden="false" customHeight="false" outlineLevel="0" collapsed="false">
      <c r="A84" s="2" t="s">
        <v>184</v>
      </c>
      <c r="B84" s="13" t="s">
        <v>185</v>
      </c>
      <c r="C84" s="2" t="s">
        <v>182</v>
      </c>
      <c r="D84" s="15" t="n">
        <v>30</v>
      </c>
      <c r="E84" s="2" t="s">
        <v>186</v>
      </c>
      <c r="F84" s="2" t="s">
        <v>63</v>
      </c>
      <c r="G84" s="13" t="s">
        <v>183</v>
      </c>
    </row>
    <row r="85" customFormat="false" ht="26.85" hidden="false" customHeight="false" outlineLevel="0" collapsed="false">
      <c r="A85" s="2" t="s">
        <v>187</v>
      </c>
      <c r="B85" s="13" t="s">
        <v>188</v>
      </c>
      <c r="C85" s="2" t="s">
        <v>182</v>
      </c>
      <c r="D85" s="19" t="n">
        <v>0.8</v>
      </c>
      <c r="E85" s="2" t="s">
        <v>189</v>
      </c>
      <c r="F85" s="2" t="s">
        <v>63</v>
      </c>
      <c r="G85" s="13" t="s">
        <v>190</v>
      </c>
    </row>
    <row r="86" customFormat="false" ht="26.85" hidden="false" customHeight="false" outlineLevel="0" collapsed="false">
      <c r="A86" s="2" t="s">
        <v>191</v>
      </c>
      <c r="B86" s="13" t="s">
        <v>192</v>
      </c>
      <c r="C86" s="2" t="s">
        <v>182</v>
      </c>
      <c r="D86" s="19" t="n">
        <v>1.5</v>
      </c>
      <c r="E86" s="2" t="s">
        <v>189</v>
      </c>
      <c r="F86" s="2" t="s">
        <v>63</v>
      </c>
      <c r="G86" s="17" t="s">
        <v>193</v>
      </c>
    </row>
    <row r="87" customFormat="false" ht="15" hidden="false" customHeight="false" outlineLevel="0" collapsed="false">
      <c r="A87" s="2" t="s">
        <v>194</v>
      </c>
      <c r="B87" s="13" t="s">
        <v>195</v>
      </c>
      <c r="C87" s="2" t="s">
        <v>182</v>
      </c>
      <c r="D87" s="19" t="n">
        <v>2</v>
      </c>
      <c r="E87" s="2" t="s">
        <v>189</v>
      </c>
      <c r="F87" s="2" t="s">
        <v>63</v>
      </c>
      <c r="G87" s="17" t="s">
        <v>196</v>
      </c>
    </row>
    <row r="88" customFormat="false" ht="26.85" hidden="false" customHeight="false" outlineLevel="0" collapsed="false">
      <c r="A88" s="2" t="s">
        <v>197</v>
      </c>
      <c r="B88" s="13" t="s">
        <v>198</v>
      </c>
      <c r="C88" s="2" t="s">
        <v>182</v>
      </c>
      <c r="D88" s="18" t="n">
        <v>750</v>
      </c>
      <c r="E88" s="2" t="s">
        <v>119</v>
      </c>
      <c r="F88" s="2" t="s">
        <v>63</v>
      </c>
      <c r="G88" s="13" t="s">
        <v>199</v>
      </c>
    </row>
    <row r="89" customFormat="false" ht="26.85" hidden="false" customHeight="false" outlineLevel="0" collapsed="false">
      <c r="A89" s="2" t="s">
        <v>200</v>
      </c>
      <c r="B89" s="13" t="s">
        <v>201</v>
      </c>
      <c r="C89" s="2" t="s">
        <v>202</v>
      </c>
      <c r="D89" s="16" t="n">
        <v>0.6</v>
      </c>
      <c r="E89" s="2" t="s">
        <v>44</v>
      </c>
      <c r="F89" s="2" t="s">
        <v>63</v>
      </c>
      <c r="G89" s="13" t="s">
        <v>203</v>
      </c>
    </row>
    <row r="90" customFormat="false" ht="26.85" hidden="false" customHeight="false" outlineLevel="0" collapsed="false">
      <c r="A90" s="2" t="s">
        <v>204</v>
      </c>
      <c r="B90" s="13" t="s">
        <v>205</v>
      </c>
      <c r="C90" s="2" t="s">
        <v>202</v>
      </c>
      <c r="D90" s="19" t="n">
        <v>1.5</v>
      </c>
      <c r="E90" s="2" t="s">
        <v>189</v>
      </c>
      <c r="F90" s="2" t="s">
        <v>63</v>
      </c>
      <c r="G90" s="13" t="s">
        <v>206</v>
      </c>
    </row>
    <row r="91" customFormat="false" ht="26.85" hidden="false" customHeight="false" outlineLevel="0" collapsed="false">
      <c r="A91" s="2" t="s">
        <v>207</v>
      </c>
      <c r="B91" s="13" t="s">
        <v>208</v>
      </c>
      <c r="C91" s="2" t="s">
        <v>202</v>
      </c>
      <c r="D91" s="16" t="n">
        <v>0.3</v>
      </c>
      <c r="E91" s="2" t="s">
        <v>44</v>
      </c>
      <c r="F91" s="2" t="s">
        <v>63</v>
      </c>
      <c r="G91" s="13" t="s">
        <v>209</v>
      </c>
    </row>
    <row r="92" customFormat="false" ht="26.85" hidden="false" customHeight="false" outlineLevel="0" collapsed="false">
      <c r="A92" s="2" t="s">
        <v>210</v>
      </c>
      <c r="B92" s="13" t="s">
        <v>211</v>
      </c>
      <c r="C92" s="2" t="s">
        <v>202</v>
      </c>
      <c r="D92" s="19" t="n">
        <v>2</v>
      </c>
      <c r="E92" s="2" t="s">
        <v>189</v>
      </c>
      <c r="F92" s="2" t="s">
        <v>63</v>
      </c>
      <c r="G92" s="13" t="s">
        <v>212</v>
      </c>
    </row>
    <row r="93" customFormat="false" ht="26.85" hidden="false" customHeight="false" outlineLevel="0" collapsed="false">
      <c r="A93" s="2" t="s">
        <v>213</v>
      </c>
      <c r="B93" s="13" t="s">
        <v>214</v>
      </c>
      <c r="C93" s="2" t="s">
        <v>215</v>
      </c>
      <c r="D93" s="16" t="n">
        <v>0.6</v>
      </c>
      <c r="E93" s="2" t="s">
        <v>44</v>
      </c>
      <c r="F93" s="2" t="s">
        <v>63</v>
      </c>
      <c r="G93" s="17" t="s">
        <v>216</v>
      </c>
    </row>
    <row r="94" customFormat="false" ht="15" hidden="false" customHeight="false" outlineLevel="0" collapsed="false">
      <c r="A94" s="2" t="s">
        <v>217</v>
      </c>
      <c r="B94" s="13" t="s">
        <v>218</v>
      </c>
      <c r="C94" s="2" t="s">
        <v>215</v>
      </c>
      <c r="D94" s="16" t="n">
        <v>0.29</v>
      </c>
      <c r="E94" s="2" t="s">
        <v>44</v>
      </c>
      <c r="F94" s="2" t="s">
        <v>63</v>
      </c>
      <c r="G94" s="17" t="s">
        <v>216</v>
      </c>
    </row>
    <row r="95" customFormat="false" ht="15" hidden="false" customHeight="false" outlineLevel="0" collapsed="false">
      <c r="A95" s="2" t="s">
        <v>219</v>
      </c>
      <c r="B95" s="13" t="s">
        <v>220</v>
      </c>
      <c r="C95" s="2" t="s">
        <v>215</v>
      </c>
      <c r="D95" s="16" t="n">
        <v>0.11</v>
      </c>
      <c r="E95" s="2" t="s">
        <v>44</v>
      </c>
      <c r="F95" s="2" t="s">
        <v>63</v>
      </c>
      <c r="G95" s="17" t="s">
        <v>216</v>
      </c>
    </row>
    <row r="96" customFormat="false" ht="15" hidden="false" customHeight="false" outlineLevel="0" collapsed="false">
      <c r="A96" s="2" t="s">
        <v>221</v>
      </c>
      <c r="B96" s="13" t="s">
        <v>222</v>
      </c>
      <c r="C96" s="2" t="s">
        <v>182</v>
      </c>
      <c r="D96" s="16" t="n">
        <v>0.25</v>
      </c>
      <c r="E96" s="2" t="s">
        <v>44</v>
      </c>
      <c r="F96" s="2" t="s">
        <v>63</v>
      </c>
      <c r="G96" s="17" t="s">
        <v>223</v>
      </c>
    </row>
    <row r="97" customFormat="false" ht="26.85" hidden="false" customHeight="false" outlineLevel="0" collapsed="false">
      <c r="A97" s="2" t="s">
        <v>224</v>
      </c>
      <c r="B97" s="13" t="s">
        <v>225</v>
      </c>
      <c r="C97" s="2" t="s">
        <v>226</v>
      </c>
      <c r="D97" s="15" t="n">
        <v>10</v>
      </c>
      <c r="E97" s="2" t="s">
        <v>227</v>
      </c>
      <c r="F97" s="2" t="s">
        <v>63</v>
      </c>
      <c r="G97" s="13" t="s">
        <v>228</v>
      </c>
    </row>
    <row r="98" customFormat="false" ht="26.85" hidden="false" customHeight="false" outlineLevel="0" collapsed="false">
      <c r="A98" s="2" t="s">
        <v>229</v>
      </c>
      <c r="B98" s="13" t="s">
        <v>230</v>
      </c>
      <c r="C98" s="2" t="s">
        <v>226</v>
      </c>
      <c r="D98" s="15" t="n">
        <v>5</v>
      </c>
      <c r="E98" s="2" t="s">
        <v>231</v>
      </c>
      <c r="F98" s="2" t="s">
        <v>63</v>
      </c>
      <c r="G98" s="13" t="s">
        <v>232</v>
      </c>
    </row>
    <row r="99" customFormat="false" ht="26.85" hidden="false" customHeight="false" outlineLevel="0" collapsed="false">
      <c r="A99" s="2" t="s">
        <v>233</v>
      </c>
      <c r="B99" s="13" t="s">
        <v>234</v>
      </c>
      <c r="C99" s="2" t="s">
        <v>235</v>
      </c>
      <c r="D99" s="16" t="n">
        <v>0.25</v>
      </c>
      <c r="E99" s="2" t="s">
        <v>44</v>
      </c>
      <c r="F99" s="2" t="s">
        <v>63</v>
      </c>
      <c r="G99" s="13" t="s">
        <v>236</v>
      </c>
    </row>
    <row r="100" customFormat="false" ht="15" hidden="false" customHeight="false" outlineLevel="0" collapsed="false">
      <c r="A100" s="2" t="s">
        <v>237</v>
      </c>
      <c r="B100" s="13" t="s">
        <v>238</v>
      </c>
      <c r="C100" s="2" t="s">
        <v>235</v>
      </c>
      <c r="D100" s="16" t="n">
        <v>0.12</v>
      </c>
      <c r="E100" s="2" t="s">
        <v>44</v>
      </c>
      <c r="F100" s="2" t="s">
        <v>63</v>
      </c>
      <c r="G100" s="13" t="s">
        <v>239</v>
      </c>
    </row>
    <row r="101" customFormat="false" ht="15" hidden="false" customHeight="false" outlineLevel="0" collapsed="false">
      <c r="A101" s="2" t="s">
        <v>240</v>
      </c>
      <c r="B101" s="13" t="s">
        <v>241</v>
      </c>
      <c r="C101" s="2" t="s">
        <v>242</v>
      </c>
      <c r="D101" s="16" t="n">
        <v>0.85</v>
      </c>
      <c r="E101" s="2" t="s">
        <v>44</v>
      </c>
      <c r="F101" s="2" t="s">
        <v>63</v>
      </c>
      <c r="G101" s="17" t="s">
        <v>243</v>
      </c>
    </row>
    <row r="102" customFormat="false" ht="26.85" hidden="false" customHeight="false" outlineLevel="0" collapsed="false">
      <c r="A102" s="2" t="s">
        <v>244</v>
      </c>
      <c r="B102" s="13" t="s">
        <v>245</v>
      </c>
      <c r="C102" s="2" t="s">
        <v>246</v>
      </c>
      <c r="D102" s="16" t="n">
        <v>0.9</v>
      </c>
      <c r="E102" s="2" t="s">
        <v>44</v>
      </c>
      <c r="F102" s="2" t="s">
        <v>63</v>
      </c>
      <c r="G102" s="17" t="s">
        <v>247</v>
      </c>
    </row>
    <row r="103" customFormat="false" ht="39.55" hidden="false" customHeight="false" outlineLevel="0" collapsed="false">
      <c r="A103" s="2" t="s">
        <v>248</v>
      </c>
      <c r="B103" s="13" t="s">
        <v>249</v>
      </c>
      <c r="C103" s="2" t="s">
        <v>39</v>
      </c>
      <c r="D103" s="15" t="n">
        <v>50</v>
      </c>
      <c r="E103" s="2" t="s">
        <v>250</v>
      </c>
      <c r="F103" s="2" t="s">
        <v>63</v>
      </c>
      <c r="G103" s="13" t="s">
        <v>251</v>
      </c>
    </row>
    <row r="106" customFormat="false" ht="15" hidden="false" customHeight="false" outlineLevel="0" collapsed="false">
      <c r="A106" s="10" t="s">
        <v>252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253</v>
      </c>
      <c r="B108" s="13" t="s">
        <v>254</v>
      </c>
      <c r="C108" s="2" t="s">
        <v>255</v>
      </c>
      <c r="D108" s="20" t="n">
        <v>0.9</v>
      </c>
      <c r="E108" s="2" t="s">
        <v>256</v>
      </c>
      <c r="F108" s="2" t="s">
        <v>70</v>
      </c>
      <c r="G108" s="17" t="s">
        <v>257</v>
      </c>
    </row>
    <row r="109" customFormat="false" ht="26.85" hidden="false" customHeight="false" outlineLevel="0" collapsed="false">
      <c r="A109" s="2" t="s">
        <v>258</v>
      </c>
      <c r="B109" s="13" t="s">
        <v>259</v>
      </c>
      <c r="C109" s="2" t="s">
        <v>255</v>
      </c>
      <c r="D109" s="20" t="n">
        <v>0.7</v>
      </c>
      <c r="E109" s="2" t="s">
        <v>256</v>
      </c>
      <c r="F109" s="2" t="s">
        <v>70</v>
      </c>
      <c r="G109" s="17" t="s">
        <v>260</v>
      </c>
    </row>
    <row r="110" customFormat="false" ht="15" hidden="false" customHeight="false" outlineLevel="0" collapsed="false">
      <c r="A110" s="2" t="s">
        <v>261</v>
      </c>
      <c r="B110" s="13" t="s">
        <v>262</v>
      </c>
      <c r="C110" s="2" t="s">
        <v>255</v>
      </c>
      <c r="D110" s="20" t="n">
        <v>0.41</v>
      </c>
      <c r="E110" s="2" t="s">
        <v>256</v>
      </c>
      <c r="F110" s="2" t="s">
        <v>70</v>
      </c>
      <c r="G110" s="17" t="s">
        <v>263</v>
      </c>
    </row>
    <row r="111" customFormat="false" ht="26.85" hidden="false" customHeight="false" outlineLevel="0" collapsed="false">
      <c r="A111" s="2" t="s">
        <v>264</v>
      </c>
      <c r="B111" s="13" t="s">
        <v>265</v>
      </c>
      <c r="C111" s="2" t="s">
        <v>255</v>
      </c>
      <c r="D111" s="16" t="n">
        <v>0.36</v>
      </c>
      <c r="E111" s="2" t="s">
        <v>44</v>
      </c>
      <c r="F111" s="2" t="s">
        <v>70</v>
      </c>
      <c r="G111" s="17" t="s">
        <v>266</v>
      </c>
    </row>
    <row r="112" customFormat="false" ht="26.85" hidden="false" customHeight="false" outlineLevel="0" collapsed="false">
      <c r="A112" s="2" t="s">
        <v>267</v>
      </c>
      <c r="B112" s="13" t="s">
        <v>268</v>
      </c>
      <c r="C112" s="2" t="s">
        <v>255</v>
      </c>
      <c r="D112" s="16" t="n">
        <v>0.15</v>
      </c>
      <c r="E112" s="2" t="s">
        <v>44</v>
      </c>
      <c r="F112" s="2" t="s">
        <v>70</v>
      </c>
      <c r="G112" s="17" t="s">
        <v>269</v>
      </c>
    </row>
    <row r="113" customFormat="false" ht="26.85" hidden="false" customHeight="false" outlineLevel="0" collapsed="false">
      <c r="A113" s="2" t="s">
        <v>270</v>
      </c>
      <c r="B113" s="13" t="s">
        <v>271</v>
      </c>
      <c r="C113" s="2" t="s">
        <v>255</v>
      </c>
      <c r="D113" s="21" t="n">
        <v>0.105</v>
      </c>
      <c r="E113" s="2" t="s">
        <v>44</v>
      </c>
      <c r="F113" s="2" t="s">
        <v>70</v>
      </c>
      <c r="G113" s="17" t="s">
        <v>272</v>
      </c>
    </row>
    <row r="114" customFormat="false" ht="15" hidden="false" customHeight="false" outlineLevel="0" collapsed="false">
      <c r="A114" s="2" t="s">
        <v>273</v>
      </c>
      <c r="B114" s="13" t="s">
        <v>274</v>
      </c>
      <c r="C114" s="2" t="s">
        <v>275</v>
      </c>
      <c r="D114" s="15" t="n">
        <v>27</v>
      </c>
      <c r="E114" s="2" t="s">
        <v>186</v>
      </c>
      <c r="F114" s="2" t="s">
        <v>70</v>
      </c>
      <c r="G114" s="17" t="s">
        <v>276</v>
      </c>
    </row>
    <row r="115" customFormat="false" ht="26.85" hidden="false" customHeight="false" outlineLevel="0" collapsed="false">
      <c r="A115" s="2" t="s">
        <v>277</v>
      </c>
      <c r="B115" s="13" t="s">
        <v>278</v>
      </c>
      <c r="C115" s="2" t="s">
        <v>275</v>
      </c>
      <c r="D115" s="16" t="n">
        <v>0.13</v>
      </c>
      <c r="E115" s="2" t="s">
        <v>44</v>
      </c>
      <c r="F115" s="2" t="s">
        <v>70</v>
      </c>
      <c r="G115" s="17" t="s">
        <v>279</v>
      </c>
    </row>
    <row r="116" customFormat="false" ht="26.85" hidden="false" customHeight="false" outlineLevel="0" collapsed="false">
      <c r="A116" s="2" t="s">
        <v>280</v>
      </c>
      <c r="B116" s="13" t="s">
        <v>281</v>
      </c>
      <c r="C116" s="2" t="s">
        <v>282</v>
      </c>
      <c r="D116" s="15" t="n">
        <v>20</v>
      </c>
      <c r="E116" s="2" t="s">
        <v>283</v>
      </c>
      <c r="F116" s="2" t="s">
        <v>70</v>
      </c>
      <c r="G116" s="17" t="s">
        <v>284</v>
      </c>
    </row>
    <row r="117" customFormat="false" ht="26.85" hidden="false" customHeight="false" outlineLevel="0" collapsed="false">
      <c r="A117" s="2" t="s">
        <v>285</v>
      </c>
      <c r="B117" s="13" t="s">
        <v>286</v>
      </c>
      <c r="C117" s="2" t="s">
        <v>287</v>
      </c>
      <c r="D117" s="15" t="n">
        <v>23</v>
      </c>
      <c r="E117" s="2" t="s">
        <v>283</v>
      </c>
      <c r="F117" s="2" t="s">
        <v>70</v>
      </c>
      <c r="G117" s="17" t="s">
        <v>288</v>
      </c>
    </row>
    <row r="118" customFormat="false" ht="26.85" hidden="false" customHeight="false" outlineLevel="0" collapsed="false">
      <c r="A118" s="2" t="s">
        <v>289</v>
      </c>
      <c r="B118" s="13" t="s">
        <v>290</v>
      </c>
      <c r="C118" s="2" t="s">
        <v>291</v>
      </c>
      <c r="D118" s="22" t="n">
        <v>29.5</v>
      </c>
      <c r="E118" s="2" t="s">
        <v>283</v>
      </c>
      <c r="F118" s="2" t="s">
        <v>70</v>
      </c>
      <c r="G118" s="17" t="s">
        <v>292</v>
      </c>
    </row>
    <row r="119" customFormat="false" ht="15" hidden="false" customHeight="false" outlineLevel="0" collapsed="false">
      <c r="A119" s="2" t="s">
        <v>293</v>
      </c>
      <c r="B119" s="13" t="s">
        <v>294</v>
      </c>
      <c r="C119" s="2" t="s">
        <v>295</v>
      </c>
      <c r="D119" s="15" t="n">
        <v>30</v>
      </c>
      <c r="E119" s="2" t="s">
        <v>62</v>
      </c>
      <c r="F119" s="2" t="s">
        <v>70</v>
      </c>
      <c r="G119" s="17" t="s">
        <v>296</v>
      </c>
    </row>
    <row r="120" customFormat="false" ht="15" hidden="false" customHeight="false" outlineLevel="0" collapsed="false">
      <c r="A120" s="2" t="s">
        <v>297</v>
      </c>
      <c r="B120" s="13" t="s">
        <v>298</v>
      </c>
      <c r="C120" s="2" t="s">
        <v>299</v>
      </c>
      <c r="D120" s="15" t="n">
        <v>10703</v>
      </c>
      <c r="E120" s="2" t="s">
        <v>159</v>
      </c>
      <c r="F120" s="2" t="s">
        <v>70</v>
      </c>
      <c r="G120" s="17" t="s">
        <v>300</v>
      </c>
    </row>
    <row r="121" customFormat="false" ht="26.85" hidden="false" customHeight="false" outlineLevel="0" collapsed="false">
      <c r="A121" s="2" t="s">
        <v>301</v>
      </c>
      <c r="B121" s="13" t="s">
        <v>302</v>
      </c>
      <c r="C121" s="2" t="s">
        <v>299</v>
      </c>
      <c r="D121" s="21" t="n">
        <v>0.078</v>
      </c>
      <c r="E121" s="2" t="s">
        <v>44</v>
      </c>
      <c r="F121" s="2" t="s">
        <v>70</v>
      </c>
      <c r="G121" s="17" t="s">
        <v>303</v>
      </c>
    </row>
    <row r="122" customFormat="false" ht="15" hidden="false" customHeight="false" outlineLevel="0" collapsed="false">
      <c r="A122" s="2" t="s">
        <v>304</v>
      </c>
      <c r="B122" s="13" t="s">
        <v>305</v>
      </c>
      <c r="C122" s="2" t="s">
        <v>299</v>
      </c>
      <c r="D122" s="16" t="n">
        <v>0.12</v>
      </c>
      <c r="E122" s="2" t="s">
        <v>44</v>
      </c>
      <c r="F122" s="2" t="s">
        <v>70</v>
      </c>
      <c r="G122" s="17" t="s">
        <v>306</v>
      </c>
    </row>
    <row r="123" customFormat="false" ht="15" hidden="false" customHeight="false" outlineLevel="0" collapsed="false">
      <c r="A123" s="2" t="s">
        <v>307</v>
      </c>
      <c r="B123" s="13" t="s">
        <v>308</v>
      </c>
      <c r="C123" s="2" t="s">
        <v>299</v>
      </c>
      <c r="D123" s="16" t="n">
        <v>0.11</v>
      </c>
      <c r="E123" s="2" t="s">
        <v>44</v>
      </c>
      <c r="F123" s="2" t="s">
        <v>70</v>
      </c>
      <c r="G123" s="17" t="s">
        <v>309</v>
      </c>
    </row>
    <row r="124" customFormat="false" ht="39.55" hidden="false" customHeight="false" outlineLevel="0" collapsed="false">
      <c r="A124" s="2" t="s">
        <v>310</v>
      </c>
      <c r="B124" s="13" t="s">
        <v>311</v>
      </c>
      <c r="C124" s="2" t="s">
        <v>312</v>
      </c>
      <c r="D124" s="15" t="n">
        <v>237500</v>
      </c>
      <c r="E124" s="2" t="s">
        <v>159</v>
      </c>
      <c r="F124" s="2" t="s">
        <v>70</v>
      </c>
      <c r="G124" s="17" t="s">
        <v>313</v>
      </c>
    </row>
    <row r="125" customFormat="false" ht="26.85" hidden="false" customHeight="false" outlineLevel="0" collapsed="false">
      <c r="A125" s="2" t="s">
        <v>314</v>
      </c>
      <c r="B125" s="13" t="s">
        <v>315</v>
      </c>
      <c r="C125" s="2" t="s">
        <v>312</v>
      </c>
      <c r="D125" s="15" t="n">
        <v>13775</v>
      </c>
      <c r="E125" s="2" t="s">
        <v>159</v>
      </c>
      <c r="F125" s="2" t="s">
        <v>70</v>
      </c>
      <c r="G125" s="17" t="s">
        <v>316</v>
      </c>
    </row>
    <row r="126" customFormat="false" ht="26.85" hidden="false" customHeight="false" outlineLevel="0" collapsed="false">
      <c r="A126" s="2" t="s">
        <v>317</v>
      </c>
      <c r="B126" s="13" t="s">
        <v>318</v>
      </c>
      <c r="C126" s="2" t="s">
        <v>312</v>
      </c>
      <c r="D126" s="15" t="n">
        <v>1678</v>
      </c>
      <c r="E126" s="2" t="s">
        <v>159</v>
      </c>
      <c r="F126" s="2" t="s">
        <v>70</v>
      </c>
      <c r="G126" s="17" t="s">
        <v>319</v>
      </c>
    </row>
    <row r="128" customFormat="false" ht="15" hidden="false" customHeight="false" outlineLevel="0" collapsed="false">
      <c r="A128" s="10" t="s">
        <v>320</v>
      </c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</row>
    <row r="129" customFormat="false" ht="45" hidden="false" customHeight="true" outlineLevel="0" collapsed="false">
      <c r="A129" s="12" t="s">
        <v>22</v>
      </c>
      <c r="B129" s="12" t="s">
        <v>321</v>
      </c>
      <c r="C129" s="12" t="s">
        <v>322</v>
      </c>
      <c r="D129" s="12" t="s">
        <v>323</v>
      </c>
      <c r="E129" s="12" t="s">
        <v>324</v>
      </c>
      <c r="F129" s="12" t="s">
        <v>325</v>
      </c>
      <c r="G129" s="12" t="s">
        <v>326</v>
      </c>
      <c r="H129" s="12" t="s">
        <v>327</v>
      </c>
      <c r="I129" s="12" t="s">
        <v>328</v>
      </c>
      <c r="J129" s="12" t="s">
        <v>329</v>
      </c>
      <c r="K129" s="12" t="s">
        <v>27</v>
      </c>
      <c r="L129" s="12" t="s">
        <v>28</v>
      </c>
    </row>
    <row r="130" customFormat="false" ht="26.85" hidden="false" customHeight="false" outlineLevel="0" collapsed="false">
      <c r="A130" s="2" t="s">
        <v>330</v>
      </c>
      <c r="B130" s="13" t="s">
        <v>331</v>
      </c>
      <c r="C130" s="2" t="s">
        <v>48</v>
      </c>
      <c r="D130" s="2" t="s">
        <v>332</v>
      </c>
      <c r="E130" s="23" t="n">
        <v>0</v>
      </c>
      <c r="F130" s="24"/>
      <c r="G130" s="25" t="n">
        <f aca="false">Assumptions!$D$29*Assumptions!$D$109</f>
        <v>0.175</v>
      </c>
      <c r="H130" s="26" t="n">
        <f aca="false">ROUND(Assumptions!$D$11*Assumptions!$D$114*Assumptions!$D$115,0)</f>
        <v>105</v>
      </c>
      <c r="I130" s="20" t="n">
        <v>1</v>
      </c>
      <c r="J130" s="18" t="n">
        <v>0</v>
      </c>
      <c r="K130" s="2" t="s">
        <v>70</v>
      </c>
      <c r="L130" s="17" t="s">
        <v>333</v>
      </c>
    </row>
    <row r="131" customFormat="false" ht="26.85" hidden="false" customHeight="false" outlineLevel="0" collapsed="false">
      <c r="A131" s="2" t="s">
        <v>334</v>
      </c>
      <c r="B131" s="13" t="s">
        <v>331</v>
      </c>
      <c r="C131" s="2" t="s">
        <v>43</v>
      </c>
      <c r="D131" s="2" t="s">
        <v>332</v>
      </c>
      <c r="E131" s="23" t="n">
        <v>0</v>
      </c>
      <c r="F131" s="24"/>
      <c r="G131" s="25" t="n">
        <f aca="false">Assumptions!$D$30*Assumptions!$D$109</f>
        <v>0.175</v>
      </c>
      <c r="H131" s="26" t="n">
        <f aca="false">ROUND(Assumptions!$D$12*Assumptions!$D$114*Assumptions!$D$115,0)</f>
        <v>158</v>
      </c>
      <c r="I131" s="20" t="n">
        <v>1</v>
      </c>
      <c r="J131" s="18" t="n">
        <v>0</v>
      </c>
      <c r="K131" s="2" t="s">
        <v>70</v>
      </c>
      <c r="L131" s="17" t="s">
        <v>333</v>
      </c>
    </row>
    <row r="132" customFormat="false" ht="26.85" hidden="false" customHeight="false" outlineLevel="0" collapsed="false">
      <c r="A132" s="2" t="s">
        <v>335</v>
      </c>
      <c r="B132" s="13" t="s">
        <v>331</v>
      </c>
      <c r="C132" s="2" t="s">
        <v>52</v>
      </c>
      <c r="D132" s="2" t="s">
        <v>332</v>
      </c>
      <c r="E132" s="23" t="n">
        <v>0</v>
      </c>
      <c r="F132" s="24"/>
      <c r="G132" s="25" t="n">
        <f aca="false">Assumptions!$D$31*Assumptions!$D$109</f>
        <v>0.175</v>
      </c>
      <c r="H132" s="26" t="n">
        <f aca="false">ROUND(Assumptions!$D$13*Assumptions!$D$114*Assumptions!$D$115,0)</f>
        <v>53</v>
      </c>
      <c r="I132" s="20" t="n">
        <v>1</v>
      </c>
      <c r="J132" s="18" t="n">
        <v>0</v>
      </c>
      <c r="K132" s="2" t="s">
        <v>70</v>
      </c>
      <c r="L132" s="17" t="s">
        <v>333</v>
      </c>
    </row>
    <row r="133" customFormat="false" ht="26.85" hidden="false" customHeight="false" outlineLevel="0" collapsed="false">
      <c r="A133" s="2" t="s">
        <v>336</v>
      </c>
      <c r="B133" s="13" t="s">
        <v>331</v>
      </c>
      <c r="C133" s="2" t="s">
        <v>54</v>
      </c>
      <c r="D133" s="2" t="s">
        <v>332</v>
      </c>
      <c r="E133" s="23" t="n">
        <v>0</v>
      </c>
      <c r="F133" s="24"/>
      <c r="G133" s="25" t="n">
        <f aca="false">Assumptions!$D$32*Assumptions!$D$109</f>
        <v>0.161</v>
      </c>
      <c r="H133" s="26" t="n">
        <f aca="false">ROUND(Assumptions!$D$14*Assumptions!$D$114*Assumptions!$D$115,0)</f>
        <v>35</v>
      </c>
      <c r="I133" s="20" t="n">
        <v>1</v>
      </c>
      <c r="J133" s="18" t="n">
        <v>0</v>
      </c>
      <c r="K133" s="2" t="s">
        <v>70</v>
      </c>
      <c r="L133" s="17" t="s">
        <v>333</v>
      </c>
    </row>
    <row r="134" customFormat="false" ht="26.85" hidden="false" customHeight="false" outlineLevel="0" collapsed="false">
      <c r="A134" s="2" t="s">
        <v>337</v>
      </c>
      <c r="B134" s="13" t="s">
        <v>338</v>
      </c>
      <c r="C134" s="2" t="s">
        <v>48</v>
      </c>
      <c r="D134" s="2" t="s">
        <v>339</v>
      </c>
      <c r="E134" s="23" t="n">
        <v>161</v>
      </c>
      <c r="F134" s="24"/>
      <c r="G134" s="25" t="n">
        <f aca="false">Assumptions!$D$29*Assumptions!$D$108</f>
        <v>0.225</v>
      </c>
      <c r="H134" s="26" t="n">
        <f aca="false">IF(G134&gt;0,ROUND((Assumptions!$D$68*Assumptions!$D$72+Assumptions!$D$76)*Assumptions!$D$111/G134,-1),0)</f>
        <v>910</v>
      </c>
      <c r="I134" s="20" t="n">
        <v>1</v>
      </c>
      <c r="J134" s="18" t="n">
        <v>0</v>
      </c>
      <c r="K134" s="2" t="s">
        <v>70</v>
      </c>
      <c r="L134" s="17" t="s">
        <v>340</v>
      </c>
    </row>
    <row r="135" customFormat="false" ht="26.85" hidden="false" customHeight="false" outlineLevel="0" collapsed="false">
      <c r="A135" s="2" t="s">
        <v>341</v>
      </c>
      <c r="B135" s="13" t="s">
        <v>338</v>
      </c>
      <c r="C135" s="2" t="s">
        <v>43</v>
      </c>
      <c r="D135" s="2" t="s">
        <v>339</v>
      </c>
      <c r="E135" s="23" t="n">
        <v>161</v>
      </c>
      <c r="F135" s="24"/>
      <c r="G135" s="25" t="n">
        <f aca="false">Assumptions!$D$30*Assumptions!$D$108</f>
        <v>0.225</v>
      </c>
      <c r="H135" s="26" t="n">
        <f aca="false">IF(G135&gt;0,ROUND((Assumptions!$D$69*Assumptions!$D$73+Assumptions!$D$77)*Assumptions!$D$111/G135,-1),0)</f>
        <v>4690</v>
      </c>
      <c r="I135" s="20" t="n">
        <v>1</v>
      </c>
      <c r="J135" s="18" t="n">
        <v>0</v>
      </c>
      <c r="K135" s="2" t="s">
        <v>70</v>
      </c>
      <c r="L135" s="17" t="s">
        <v>340</v>
      </c>
    </row>
    <row r="136" customFormat="false" ht="26.85" hidden="false" customHeight="false" outlineLevel="0" collapsed="false">
      <c r="A136" s="2" t="s">
        <v>342</v>
      </c>
      <c r="B136" s="13" t="s">
        <v>338</v>
      </c>
      <c r="C136" s="2" t="s">
        <v>52</v>
      </c>
      <c r="D136" s="2" t="s">
        <v>339</v>
      </c>
      <c r="E136" s="23" t="n">
        <v>161</v>
      </c>
      <c r="F136" s="24"/>
      <c r="G136" s="25" t="n">
        <f aca="false">Assumptions!$D$31*Assumptions!$D$108</f>
        <v>0.225</v>
      </c>
      <c r="H136" s="26" t="n">
        <f aca="false">IF(G136&gt;0,ROUND((Assumptions!$D$70*Assumptions!$D$74+Assumptions!$D$78)*Assumptions!$D$111/G136,-1),0)</f>
        <v>380</v>
      </c>
      <c r="I136" s="20" t="n">
        <v>1</v>
      </c>
      <c r="J136" s="18" t="n">
        <v>0</v>
      </c>
      <c r="K136" s="2" t="s">
        <v>70</v>
      </c>
      <c r="L136" s="17" t="s">
        <v>340</v>
      </c>
    </row>
    <row r="137" customFormat="false" ht="26.85" hidden="false" customHeight="false" outlineLevel="0" collapsed="false">
      <c r="A137" s="2" t="s">
        <v>343</v>
      </c>
      <c r="B137" s="13" t="s">
        <v>338</v>
      </c>
      <c r="C137" s="2" t="s">
        <v>54</v>
      </c>
      <c r="D137" s="2" t="s">
        <v>339</v>
      </c>
      <c r="E137" s="23" t="n">
        <v>161</v>
      </c>
      <c r="F137" s="24"/>
      <c r="G137" s="25" t="n">
        <f aca="false">Assumptions!$D$32*Assumptions!$D$108</f>
        <v>0.207</v>
      </c>
      <c r="H137" s="26" t="n">
        <f aca="false">IF(G137&gt;0,ROUND((Assumptions!$D$71*Assumptions!$D$75+Assumptions!$D$79)*Assumptions!$D$111/G137,-1),0)</f>
        <v>430</v>
      </c>
      <c r="I137" s="20" t="n">
        <v>1</v>
      </c>
      <c r="J137" s="18" t="n">
        <v>0</v>
      </c>
      <c r="K137" s="2" t="s">
        <v>70</v>
      </c>
      <c r="L137" s="17" t="s">
        <v>340</v>
      </c>
    </row>
    <row r="138" customFormat="false" ht="15" hidden="false" customHeight="false" outlineLevel="0" collapsed="false">
      <c r="A138" s="2" t="s">
        <v>344</v>
      </c>
      <c r="B138" s="13" t="s">
        <v>345</v>
      </c>
      <c r="C138" s="2" t="s">
        <v>48</v>
      </c>
      <c r="D138" s="2" t="s">
        <v>346</v>
      </c>
      <c r="E138" s="23" t="n">
        <v>1449</v>
      </c>
      <c r="F138" s="15" t="n">
        <v>12</v>
      </c>
      <c r="G138" s="25" t="n">
        <f aca="false">Assumptions!$D$29*Assumptions!$D$108</f>
        <v>0.225</v>
      </c>
      <c r="H138" s="26" t="n">
        <f aca="false">MAX(0,ROUNDUP((Funnel!$B$19-Assumptions!$D$7+1)/Assumptions!$D$119,0))</f>
        <v>2</v>
      </c>
      <c r="I138" s="20" t="n">
        <v>1</v>
      </c>
      <c r="J138" s="18" t="n">
        <v>0</v>
      </c>
      <c r="K138" s="2" t="s">
        <v>70</v>
      </c>
      <c r="L138" s="17" t="s">
        <v>347</v>
      </c>
    </row>
    <row r="139" customFormat="false" ht="15" hidden="false" customHeight="false" outlineLevel="0" collapsed="false">
      <c r="A139" s="2" t="s">
        <v>348</v>
      </c>
      <c r="B139" s="13" t="s">
        <v>345</v>
      </c>
      <c r="C139" s="2" t="s">
        <v>43</v>
      </c>
      <c r="D139" s="2" t="s">
        <v>346</v>
      </c>
      <c r="E139" s="23" t="n">
        <v>1449</v>
      </c>
      <c r="F139" s="15" t="n">
        <v>12</v>
      </c>
      <c r="G139" s="25" t="n">
        <f aca="false">Assumptions!$D$30*Assumptions!$D$108</f>
        <v>0.225</v>
      </c>
      <c r="H139" s="26" t="n">
        <f aca="false">MAX(0,ROUNDUP((Funnel!$B$19-Assumptions!$D$7+1)/Assumptions!$D$119,0))</f>
        <v>2</v>
      </c>
      <c r="I139" s="20" t="n">
        <v>1</v>
      </c>
      <c r="J139" s="18" t="n">
        <v>0</v>
      </c>
      <c r="K139" s="2" t="s">
        <v>70</v>
      </c>
      <c r="L139" s="17" t="s">
        <v>347</v>
      </c>
    </row>
    <row r="140" customFormat="false" ht="15" hidden="false" customHeight="false" outlineLevel="0" collapsed="false">
      <c r="A140" s="2" t="s">
        <v>349</v>
      </c>
      <c r="B140" s="13" t="s">
        <v>345</v>
      </c>
      <c r="C140" s="2" t="s">
        <v>52</v>
      </c>
      <c r="D140" s="2" t="s">
        <v>346</v>
      </c>
      <c r="E140" s="23" t="n">
        <v>1449</v>
      </c>
      <c r="F140" s="15" t="n">
        <v>12</v>
      </c>
      <c r="G140" s="25" t="n">
        <f aca="false">Assumptions!$D$31*Assumptions!$D$108</f>
        <v>0.225</v>
      </c>
      <c r="H140" s="26" t="n">
        <f aca="false">MAX(0,ROUNDUP((Funnel!$B$19-Assumptions!$D$7+1)/Assumptions!$D$119,0))</f>
        <v>2</v>
      </c>
      <c r="I140" s="20" t="n">
        <v>1</v>
      </c>
      <c r="J140" s="18" t="n">
        <v>0</v>
      </c>
      <c r="K140" s="2" t="s">
        <v>70</v>
      </c>
      <c r="L140" s="17" t="s">
        <v>347</v>
      </c>
    </row>
    <row r="141" customFormat="false" ht="15" hidden="false" customHeight="false" outlineLevel="0" collapsed="false">
      <c r="A141" s="2" t="s">
        <v>350</v>
      </c>
      <c r="B141" s="13" t="s">
        <v>345</v>
      </c>
      <c r="C141" s="2" t="s">
        <v>54</v>
      </c>
      <c r="D141" s="2" t="s">
        <v>346</v>
      </c>
      <c r="E141" s="23" t="n">
        <v>1449</v>
      </c>
      <c r="F141" s="15" t="n">
        <v>12</v>
      </c>
      <c r="G141" s="25" t="n">
        <f aca="false">Assumptions!$D$32*Assumptions!$D$108</f>
        <v>0.207</v>
      </c>
      <c r="H141" s="26" t="n">
        <f aca="false">MAX(0,ROUNDUP((Funnel!$B$20-Assumptions!$D$7+1)/Assumptions!$D$119,0))</f>
        <v>1</v>
      </c>
      <c r="I141" s="20" t="n">
        <v>1</v>
      </c>
      <c r="J141" s="18" t="n">
        <v>0</v>
      </c>
      <c r="K141" s="2" t="s">
        <v>70</v>
      </c>
      <c r="L141" s="17" t="s">
        <v>347</v>
      </c>
    </row>
    <row r="142" customFormat="false" ht="15" hidden="false" customHeight="false" outlineLevel="0" collapsed="false">
      <c r="A142" s="2" t="s">
        <v>351</v>
      </c>
      <c r="B142" s="13" t="s">
        <v>352</v>
      </c>
      <c r="C142" s="2" t="s">
        <v>52</v>
      </c>
      <c r="D142" s="2" t="s">
        <v>339</v>
      </c>
      <c r="E142" s="23" t="n">
        <v>96</v>
      </c>
      <c r="F142" s="24"/>
      <c r="G142" s="25" t="n">
        <f aca="false">Assumptions!$D$31*Assumptions!$D$108</f>
        <v>0.225</v>
      </c>
      <c r="H142" s="26" t="n">
        <f aca="false">IF(G142&gt;0,ROUND((Assumptions!$D$70*Assumptions!$D$74+Assumptions!$D$78)*Assumptions!$D$112/G142,-1),0)</f>
        <v>160</v>
      </c>
      <c r="I142" s="20" t="n">
        <v>1</v>
      </c>
      <c r="J142" s="18" t="n">
        <v>0</v>
      </c>
      <c r="K142" s="2" t="s">
        <v>70</v>
      </c>
      <c r="L142" s="17" t="s">
        <v>353</v>
      </c>
    </row>
    <row r="143" customFormat="false" ht="15" hidden="false" customHeight="false" outlineLevel="0" collapsed="false">
      <c r="A143" s="2" t="s">
        <v>354</v>
      </c>
      <c r="B143" s="13" t="s">
        <v>352</v>
      </c>
      <c r="C143" s="2" t="s">
        <v>54</v>
      </c>
      <c r="D143" s="2" t="s">
        <v>339</v>
      </c>
      <c r="E143" s="23" t="n">
        <v>96</v>
      </c>
      <c r="F143" s="24"/>
      <c r="G143" s="25" t="n">
        <f aca="false">Assumptions!$D$32*Assumptions!$D$108</f>
        <v>0.207</v>
      </c>
      <c r="H143" s="26" t="n">
        <f aca="false">IF(G143&gt;0,ROUND((Assumptions!$D$71*Assumptions!$D$75+Assumptions!$D$79)*Assumptions!$D$112/G143,-1),0)</f>
        <v>180</v>
      </c>
      <c r="I143" s="20" t="n">
        <v>1</v>
      </c>
      <c r="J143" s="18" t="n">
        <v>0</v>
      </c>
      <c r="K143" s="2" t="s">
        <v>70</v>
      </c>
      <c r="L143" s="17" t="s">
        <v>353</v>
      </c>
    </row>
    <row r="144" customFormat="false" ht="15" hidden="false" customHeight="false" outlineLevel="0" collapsed="false">
      <c r="A144" s="2" t="s">
        <v>355</v>
      </c>
      <c r="B144" s="13" t="s">
        <v>356</v>
      </c>
      <c r="C144" s="2" t="s">
        <v>48</v>
      </c>
      <c r="D144" s="2" t="s">
        <v>339</v>
      </c>
      <c r="E144" s="23" t="n">
        <v>84</v>
      </c>
      <c r="F144" s="24"/>
      <c r="G144" s="25" t="n">
        <f aca="false">Assumptions!$D$29*Assumptions!$D$110</f>
        <v>0.1025</v>
      </c>
      <c r="H144" s="26" t="n">
        <f aca="false">IF(G144&gt;0,ROUND(Assumptions!$D$116/G144,-1),0)</f>
        <v>200</v>
      </c>
      <c r="I144" s="20" t="n">
        <v>1</v>
      </c>
      <c r="J144" s="18" t="n">
        <v>0</v>
      </c>
      <c r="K144" s="2" t="s">
        <v>63</v>
      </c>
      <c r="L144" s="17" t="s">
        <v>357</v>
      </c>
    </row>
    <row r="145" customFormat="false" ht="15" hidden="false" customHeight="false" outlineLevel="0" collapsed="false">
      <c r="A145" s="2" t="s">
        <v>358</v>
      </c>
      <c r="B145" s="13" t="s">
        <v>356</v>
      </c>
      <c r="C145" s="2" t="s">
        <v>43</v>
      </c>
      <c r="D145" s="2" t="s">
        <v>339</v>
      </c>
      <c r="E145" s="23" t="n">
        <v>84</v>
      </c>
      <c r="F145" s="24"/>
      <c r="G145" s="25" t="n">
        <f aca="false">Assumptions!$D$30*Assumptions!$D$110</f>
        <v>0.1025</v>
      </c>
      <c r="H145" s="26" t="n">
        <f aca="false">IF(G145&gt;0,ROUND(Assumptions!$D$117/G145,-1),0)</f>
        <v>220</v>
      </c>
      <c r="I145" s="20" t="n">
        <v>1</v>
      </c>
      <c r="J145" s="18" t="n">
        <v>0</v>
      </c>
      <c r="K145" s="2" t="s">
        <v>63</v>
      </c>
      <c r="L145" s="17" t="s">
        <v>357</v>
      </c>
    </row>
    <row r="146" customFormat="false" ht="15" hidden="false" customHeight="false" outlineLevel="0" collapsed="false">
      <c r="A146" s="2" t="s">
        <v>359</v>
      </c>
      <c r="B146" s="13" t="s">
        <v>360</v>
      </c>
      <c r="C146" s="2" t="s">
        <v>48</v>
      </c>
      <c r="D146" s="2" t="s">
        <v>339</v>
      </c>
      <c r="E146" s="23" t="n">
        <v>179</v>
      </c>
      <c r="F146" s="24"/>
      <c r="G146" s="25" t="n">
        <f aca="false">Assumptions!$D$29*Assumptions!$D$109</f>
        <v>0.175</v>
      </c>
      <c r="H146" s="26" t="n">
        <f aca="false">IF(G146&gt;0,ROUND((Assumptions!$D$68*Assumptions!$D$72+Assumptions!$D$76)*Assumptions!$D$113/G146,-1),0)</f>
        <v>340</v>
      </c>
      <c r="I146" s="20" t="n">
        <v>1</v>
      </c>
      <c r="J146" s="18" t="n">
        <v>0</v>
      </c>
      <c r="K146" s="2" t="s">
        <v>70</v>
      </c>
      <c r="L146" s="17" t="s">
        <v>361</v>
      </c>
    </row>
    <row r="147" customFormat="false" ht="15" hidden="false" customHeight="false" outlineLevel="0" collapsed="false">
      <c r="A147" s="2" t="s">
        <v>362</v>
      </c>
      <c r="B147" s="13" t="s">
        <v>360</v>
      </c>
      <c r="C147" s="2" t="s">
        <v>43</v>
      </c>
      <c r="D147" s="2" t="s">
        <v>339</v>
      </c>
      <c r="E147" s="23" t="n">
        <v>179</v>
      </c>
      <c r="F147" s="24"/>
      <c r="G147" s="25" t="n">
        <f aca="false">Assumptions!$D$30*Assumptions!$D$109</f>
        <v>0.175</v>
      </c>
      <c r="H147" s="26" t="n">
        <f aca="false">IF(G147&gt;0,ROUND((Assumptions!$D$69*Assumptions!$D$73+Assumptions!$D$77)*Assumptions!$D$113/G147,-1),0)</f>
        <v>1760</v>
      </c>
      <c r="I147" s="20" t="n">
        <v>1</v>
      </c>
      <c r="J147" s="18" t="n">
        <v>0</v>
      </c>
      <c r="K147" s="2" t="s">
        <v>70</v>
      </c>
      <c r="L147" s="17" t="s">
        <v>361</v>
      </c>
    </row>
    <row r="148" customFormat="false" ht="15" hidden="false" customHeight="false" outlineLevel="0" collapsed="false">
      <c r="A148" s="2" t="s">
        <v>363</v>
      </c>
      <c r="B148" s="13" t="s">
        <v>360</v>
      </c>
      <c r="C148" s="2" t="s">
        <v>52</v>
      </c>
      <c r="D148" s="2" t="s">
        <v>339</v>
      </c>
      <c r="E148" s="23" t="n">
        <v>179</v>
      </c>
      <c r="F148" s="24"/>
      <c r="G148" s="25" t="n">
        <f aca="false">Assumptions!$D$31*Assumptions!$D$109</f>
        <v>0.175</v>
      </c>
      <c r="H148" s="26" t="n">
        <f aca="false">IF(G148&gt;0,ROUND((Assumptions!$D$70*Assumptions!$D$74+Assumptions!$D$78)*Assumptions!$D$113/G148,-1),0)</f>
        <v>140</v>
      </c>
      <c r="I148" s="20" t="n">
        <v>1</v>
      </c>
      <c r="J148" s="18" t="n">
        <v>0</v>
      </c>
      <c r="K148" s="2" t="s">
        <v>70</v>
      </c>
      <c r="L148" s="17" t="s">
        <v>361</v>
      </c>
    </row>
    <row r="149" customFormat="false" ht="15" hidden="false" customHeight="false" outlineLevel="0" collapsed="false">
      <c r="A149" s="2" t="s">
        <v>364</v>
      </c>
      <c r="B149" s="13" t="s">
        <v>360</v>
      </c>
      <c r="C149" s="2" t="s">
        <v>54</v>
      </c>
      <c r="D149" s="2" t="s">
        <v>339</v>
      </c>
      <c r="E149" s="23" t="n">
        <v>179</v>
      </c>
      <c r="F149" s="24"/>
      <c r="G149" s="25" t="n">
        <f aca="false">Assumptions!$D$32*Assumptions!$D$109</f>
        <v>0.161</v>
      </c>
      <c r="H149" s="26" t="n">
        <f aca="false">IF(G149&gt;0,ROUND((Assumptions!$D$71*Assumptions!$D$75+Assumptions!$D$79)*Assumptions!$D$113/G149,-1),0)</f>
        <v>160</v>
      </c>
      <c r="I149" s="20" t="n">
        <v>1</v>
      </c>
      <c r="J149" s="18" t="n">
        <v>0</v>
      </c>
      <c r="K149" s="2" t="s">
        <v>70</v>
      </c>
      <c r="L149" s="17" t="s">
        <v>361</v>
      </c>
    </row>
    <row r="151" customFormat="false" ht="15" hidden="false" customHeight="false" outlineLevel="0" collapsed="false">
      <c r="A151" s="10" t="s">
        <v>365</v>
      </c>
      <c r="B151" s="11"/>
      <c r="C151" s="11"/>
      <c r="D151" s="11"/>
      <c r="E151" s="11"/>
      <c r="F151" s="11"/>
      <c r="G151" s="11"/>
    </row>
    <row r="152" customFormat="false" ht="15" hidden="false" customHeight="false" outlineLevel="0" collapsed="false">
      <c r="A152" s="12" t="s">
        <v>22</v>
      </c>
      <c r="B152" s="12" t="s">
        <v>23</v>
      </c>
      <c r="C152" s="12" t="s">
        <v>24</v>
      </c>
      <c r="D152" s="12" t="s">
        <v>25</v>
      </c>
      <c r="E152" s="12" t="s">
        <v>26</v>
      </c>
      <c r="F152" s="12" t="s">
        <v>27</v>
      </c>
      <c r="G152" s="12" t="s">
        <v>28</v>
      </c>
    </row>
    <row r="153" customFormat="false" ht="26.85" hidden="false" customHeight="false" outlineLevel="0" collapsed="false">
      <c r="A153" s="2" t="s">
        <v>366</v>
      </c>
      <c r="B153" s="13" t="s">
        <v>367</v>
      </c>
      <c r="C153" s="2" t="s">
        <v>48</v>
      </c>
      <c r="D153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3" s="2" t="s">
        <v>368</v>
      </c>
      <c r="F153" s="2" t="s">
        <v>63</v>
      </c>
      <c r="G153" s="13" t="s">
        <v>369</v>
      </c>
    </row>
    <row r="154" customFormat="false" ht="26.85" hidden="false" customHeight="false" outlineLevel="0" collapsed="false">
      <c r="A154" s="2" t="s">
        <v>370</v>
      </c>
      <c r="B154" s="13" t="s">
        <v>367</v>
      </c>
      <c r="C154" s="2" t="s">
        <v>43</v>
      </c>
      <c r="D154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4" s="2" t="s">
        <v>368</v>
      </c>
      <c r="F154" s="2" t="s">
        <v>63</v>
      </c>
      <c r="G154" s="13" t="s">
        <v>369</v>
      </c>
    </row>
    <row r="155" customFormat="false" ht="26.85" hidden="false" customHeight="false" outlineLevel="0" collapsed="false">
      <c r="A155" s="2" t="s">
        <v>371</v>
      </c>
      <c r="B155" s="13" t="s">
        <v>367</v>
      </c>
      <c r="C155" s="2" t="s">
        <v>52</v>
      </c>
      <c r="D155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5" s="2" t="s">
        <v>368</v>
      </c>
      <c r="F155" s="2" t="s">
        <v>63</v>
      </c>
      <c r="G155" s="13" t="s">
        <v>369</v>
      </c>
    </row>
    <row r="156" customFormat="false" ht="26.85" hidden="false" customHeight="false" outlineLevel="0" collapsed="false">
      <c r="A156" s="2" t="s">
        <v>372</v>
      </c>
      <c r="B156" s="13" t="s">
        <v>367</v>
      </c>
      <c r="C156" s="2" t="s">
        <v>54</v>
      </c>
      <c r="D156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6" s="2" t="s">
        <v>368</v>
      </c>
      <c r="F156" s="2" t="s">
        <v>63</v>
      </c>
      <c r="G156" s="13" t="s">
        <v>369</v>
      </c>
    </row>
    <row r="157" customFormat="false" ht="26.85" hidden="false" customHeight="false" outlineLevel="0" collapsed="false">
      <c r="A157" s="2" t="s">
        <v>373</v>
      </c>
      <c r="B157" s="13" t="s">
        <v>374</v>
      </c>
      <c r="C157" s="2" t="s">
        <v>31</v>
      </c>
      <c r="D157" s="16" t="n">
        <v>0.12</v>
      </c>
      <c r="E157" s="2" t="s">
        <v>44</v>
      </c>
      <c r="F157" s="2" t="s">
        <v>63</v>
      </c>
      <c r="G157" s="17" t="s">
        <v>375</v>
      </c>
    </row>
    <row r="158" customFormat="false" ht="15" hidden="false" customHeight="false" outlineLevel="0" collapsed="false">
      <c r="A158" s="2" t="s">
        <v>376</v>
      </c>
      <c r="B158" s="13" t="s">
        <v>377</v>
      </c>
      <c r="C158" s="2" t="s">
        <v>31</v>
      </c>
      <c r="D158" s="16" t="n">
        <v>0.5</v>
      </c>
      <c r="E158" s="2" t="s">
        <v>44</v>
      </c>
      <c r="F158" s="2" t="s">
        <v>63</v>
      </c>
      <c r="G158" s="17" t="s">
        <v>378</v>
      </c>
    </row>
    <row r="159" customFormat="false" ht="26.85" hidden="false" customHeight="false" outlineLevel="0" collapsed="false">
      <c r="A159" s="2" t="s">
        <v>379</v>
      </c>
      <c r="B159" s="13" t="s">
        <v>380</v>
      </c>
      <c r="C159" s="2" t="s">
        <v>48</v>
      </c>
      <c r="D159" s="26" t="n">
        <f aca="false">IF((Assumptions!$D$33*Assumptions!$D$37*Assumptions!$D$41)*Assumptions!$D$163*Assumptions!$D$166&gt;0,ROUND(Assumptions!$D$123*Assumptions!$D$11/(Assumptions!$D$163*(Assumptions!$D$33*Assumptions!$D$37*Assumptions!$D$41)*Assumptions!$D$166),0),0)</f>
        <v>20</v>
      </c>
      <c r="E159" s="2" t="s">
        <v>186</v>
      </c>
      <c r="F159" s="2" t="s">
        <v>63</v>
      </c>
      <c r="G159" s="13" t="s">
        <v>381</v>
      </c>
    </row>
    <row r="160" customFormat="false" ht="26.85" hidden="false" customHeight="false" outlineLevel="0" collapsed="false">
      <c r="A160" s="2" t="s">
        <v>382</v>
      </c>
      <c r="B160" s="13" t="s">
        <v>380</v>
      </c>
      <c r="C160" s="2" t="s">
        <v>43</v>
      </c>
      <c r="D160" s="26" t="n">
        <f aca="false">IF((Assumptions!$D$34*Assumptions!$D$38*Assumptions!$D$42)*Assumptions!$D$163*Assumptions!$D$166&gt;0,ROUND(Assumptions!$D$123*Assumptions!$D$12/(Assumptions!$D$163*(Assumptions!$D$34*Assumptions!$D$38*Assumptions!$D$42)*Assumptions!$D$166),0),0)</f>
        <v>26</v>
      </c>
      <c r="E160" s="2" t="s">
        <v>186</v>
      </c>
      <c r="F160" s="2" t="s">
        <v>63</v>
      </c>
      <c r="G160" s="13" t="s">
        <v>381</v>
      </c>
    </row>
    <row r="161" customFormat="false" ht="26.85" hidden="false" customHeight="false" outlineLevel="0" collapsed="false">
      <c r="A161" s="2" t="s">
        <v>383</v>
      </c>
      <c r="B161" s="13" t="s">
        <v>380</v>
      </c>
      <c r="C161" s="2" t="s">
        <v>52</v>
      </c>
      <c r="D161" s="26" t="n">
        <f aca="false">IF((Assumptions!$D$35*Assumptions!$D$39*Assumptions!$D$43)*Assumptions!$D$163*Assumptions!$D$166&gt;0,ROUND(Assumptions!$D$123*Assumptions!$D$13/(Assumptions!$D$163*(Assumptions!$D$35*Assumptions!$D$39*Assumptions!$D$43)*Assumptions!$D$166),0),0)</f>
        <v>11</v>
      </c>
      <c r="E161" s="2" t="s">
        <v>186</v>
      </c>
      <c r="F161" s="2" t="s">
        <v>63</v>
      </c>
      <c r="G161" s="13" t="s">
        <v>381</v>
      </c>
    </row>
    <row r="162" customFormat="false" ht="26.85" hidden="false" customHeight="false" outlineLevel="0" collapsed="false">
      <c r="A162" s="2" t="s">
        <v>384</v>
      </c>
      <c r="B162" s="13" t="s">
        <v>380</v>
      </c>
      <c r="C162" s="2" t="s">
        <v>54</v>
      </c>
      <c r="D162" s="26" t="n">
        <f aca="false">IF((Assumptions!$D$36*Assumptions!$D$40*Assumptions!$D$44)*Assumptions!$D$163*Assumptions!$D$166&gt;0,ROUND(Assumptions!$D$123*Assumptions!$D$14/(Assumptions!$D$163*(Assumptions!$D$36*Assumptions!$D$40*Assumptions!$D$44)*Assumptions!$D$166),0),0)</f>
        <v>9</v>
      </c>
      <c r="E162" s="2" t="s">
        <v>186</v>
      </c>
      <c r="F162" s="2" t="s">
        <v>63</v>
      </c>
      <c r="G162" s="13" t="s">
        <v>381</v>
      </c>
    </row>
    <row r="163" customFormat="false" ht="15" hidden="false" customHeight="false" outlineLevel="0" collapsed="false">
      <c r="A163" s="2" t="s">
        <v>385</v>
      </c>
      <c r="B163" s="13" t="s">
        <v>386</v>
      </c>
      <c r="C163" s="2" t="s">
        <v>31</v>
      </c>
      <c r="D163" s="16" t="n">
        <v>0.45</v>
      </c>
      <c r="E163" s="2" t="s">
        <v>44</v>
      </c>
      <c r="F163" s="2" t="s">
        <v>63</v>
      </c>
      <c r="G163" s="17" t="s">
        <v>387</v>
      </c>
    </row>
    <row r="164" customFormat="false" ht="26.85" hidden="false" customHeight="false" outlineLevel="0" collapsed="false">
      <c r="A164" s="2" t="s">
        <v>388</v>
      </c>
      <c r="B164" s="13" t="s">
        <v>389</v>
      </c>
      <c r="C164" s="2" t="s">
        <v>31</v>
      </c>
      <c r="D164" s="23" t="n">
        <v>0.3</v>
      </c>
      <c r="E164" s="2" t="s">
        <v>119</v>
      </c>
      <c r="F164" s="2" t="s">
        <v>63</v>
      </c>
      <c r="G164" s="17" t="s">
        <v>390</v>
      </c>
    </row>
    <row r="165" customFormat="false" ht="26.85" hidden="false" customHeight="false" outlineLevel="0" collapsed="false">
      <c r="A165" s="2" t="s">
        <v>391</v>
      </c>
      <c r="B165" s="13" t="s">
        <v>392</v>
      </c>
      <c r="C165" s="2" t="s">
        <v>31</v>
      </c>
      <c r="D165" s="18" t="n">
        <v>1000</v>
      </c>
      <c r="E165" s="2" t="s">
        <v>119</v>
      </c>
      <c r="F165" s="2" t="s">
        <v>70</v>
      </c>
      <c r="G165" s="17" t="s">
        <v>393</v>
      </c>
    </row>
    <row r="166" customFormat="false" ht="26.85" hidden="false" customHeight="false" outlineLevel="0" collapsed="false">
      <c r="A166" s="2" t="s">
        <v>394</v>
      </c>
      <c r="B166" s="13" t="s">
        <v>395</v>
      </c>
      <c r="C166" s="2" t="s">
        <v>31</v>
      </c>
      <c r="D166" s="20" t="n">
        <v>1.15</v>
      </c>
      <c r="E166" s="2" t="s">
        <v>256</v>
      </c>
      <c r="F166" s="2" t="s">
        <v>63</v>
      </c>
      <c r="G166" s="17" t="s">
        <v>396</v>
      </c>
    </row>
    <row r="167" customFormat="false" ht="39.55" hidden="false" customHeight="false" outlineLevel="0" collapsed="false">
      <c r="A167" s="2" t="s">
        <v>397</v>
      </c>
      <c r="B167" s="13" t="s">
        <v>398</v>
      </c>
      <c r="C167" s="2" t="s">
        <v>48</v>
      </c>
      <c r="D167" s="15" t="n">
        <v>10000</v>
      </c>
      <c r="E167" s="2" t="s">
        <v>159</v>
      </c>
      <c r="F167" s="2" t="s">
        <v>63</v>
      </c>
      <c r="G167" s="17" t="s">
        <v>399</v>
      </c>
    </row>
    <row r="168" customFormat="false" ht="26.85" hidden="false" customHeight="false" outlineLevel="0" collapsed="false">
      <c r="A168" s="2" t="s">
        <v>400</v>
      </c>
      <c r="B168" s="13" t="s">
        <v>401</v>
      </c>
      <c r="C168" s="2" t="s">
        <v>48</v>
      </c>
      <c r="D168" s="27" t="n">
        <f aca="false">IF(Assumptions!$D$170*Assumptions!$D$167&gt;0,Assumptions!$D$118/Assumptions!$D$170/Assumptions!$D$167,0)</f>
        <v>0.0118</v>
      </c>
      <c r="E168" s="2" t="s">
        <v>44</v>
      </c>
      <c r="F168" s="2" t="s">
        <v>63</v>
      </c>
      <c r="G168" s="13" t="s">
        <v>402</v>
      </c>
    </row>
    <row r="169" customFormat="false" ht="26.85" hidden="false" customHeight="false" outlineLevel="0" collapsed="false">
      <c r="A169" s="2" t="s">
        <v>403</v>
      </c>
      <c r="B169" s="13" t="s">
        <v>404</v>
      </c>
      <c r="C169" s="2" t="s">
        <v>48</v>
      </c>
      <c r="D169" s="18" t="n">
        <v>84</v>
      </c>
      <c r="E169" s="2" t="s">
        <v>119</v>
      </c>
      <c r="F169" s="2" t="s">
        <v>63</v>
      </c>
      <c r="G169" s="17" t="s">
        <v>405</v>
      </c>
    </row>
    <row r="170" customFormat="false" ht="26.85" hidden="false" customHeight="false" outlineLevel="0" collapsed="false">
      <c r="A170" s="2" t="s">
        <v>406</v>
      </c>
      <c r="B170" s="13" t="s">
        <v>407</v>
      </c>
      <c r="C170" s="2" t="s">
        <v>48</v>
      </c>
      <c r="D170" s="25" t="n">
        <f aca="false">Assumptions!$D$29</f>
        <v>0.25</v>
      </c>
      <c r="E170" s="2" t="s">
        <v>44</v>
      </c>
      <c r="F170" s="2" t="s">
        <v>63</v>
      </c>
      <c r="G170" s="13" t="s">
        <v>408</v>
      </c>
    </row>
    <row r="171" customFormat="false" ht="15" hidden="false" customHeight="false" outlineLevel="0" collapsed="false">
      <c r="A171" s="2" t="s">
        <v>409</v>
      </c>
      <c r="B171" s="13" t="s">
        <v>410</v>
      </c>
      <c r="C171" s="2" t="s">
        <v>48</v>
      </c>
      <c r="D171" s="20" t="n">
        <v>0.9</v>
      </c>
      <c r="E171" s="2" t="s">
        <v>256</v>
      </c>
      <c r="F171" s="2" t="s">
        <v>63</v>
      </c>
      <c r="G171" s="13" t="s">
        <v>411</v>
      </c>
    </row>
    <row r="172" customFormat="false" ht="26.85" hidden="false" customHeight="false" outlineLevel="0" collapsed="false">
      <c r="A172" s="2" t="s">
        <v>412</v>
      </c>
      <c r="B172" s="13" t="s">
        <v>413</v>
      </c>
      <c r="C172" s="2" t="s">
        <v>48</v>
      </c>
      <c r="D172" s="18" t="n">
        <v>1200</v>
      </c>
      <c r="E172" s="2" t="s">
        <v>119</v>
      </c>
      <c r="F172" s="2" t="s">
        <v>63</v>
      </c>
      <c r="G172" s="17" t="s">
        <v>414</v>
      </c>
    </row>
    <row r="173" customFormat="false" ht="26.85" hidden="false" customHeight="false" outlineLevel="0" collapsed="false">
      <c r="A173" s="2" t="s">
        <v>415</v>
      </c>
      <c r="B173" s="13" t="s">
        <v>416</v>
      </c>
      <c r="C173" s="2" t="s">
        <v>43</v>
      </c>
      <c r="D173" s="18" t="n">
        <v>14</v>
      </c>
      <c r="E173" s="2" t="s">
        <v>119</v>
      </c>
      <c r="F173" s="2" t="s">
        <v>63</v>
      </c>
      <c r="G173" s="17" t="s">
        <v>417</v>
      </c>
    </row>
    <row r="174" customFormat="false" ht="26.85" hidden="false" customHeight="false" outlineLevel="0" collapsed="false">
      <c r="A174" s="2" t="s">
        <v>418</v>
      </c>
      <c r="B174" s="13" t="s">
        <v>419</v>
      </c>
      <c r="C174" s="2" t="s">
        <v>43</v>
      </c>
      <c r="D174" s="16" t="n">
        <v>0.14</v>
      </c>
      <c r="E174" s="2" t="s">
        <v>44</v>
      </c>
      <c r="F174" s="2" t="s">
        <v>63</v>
      </c>
      <c r="G174" s="17" t="s">
        <v>420</v>
      </c>
    </row>
    <row r="175" customFormat="false" ht="15" hidden="false" customHeight="false" outlineLevel="0" collapsed="false">
      <c r="A175" s="2" t="s">
        <v>421</v>
      </c>
      <c r="B175" s="13" t="s">
        <v>422</v>
      </c>
      <c r="C175" s="2" t="s">
        <v>43</v>
      </c>
      <c r="D175" s="26" t="n">
        <f aca="false">IF(Assumptions!$D$174*Assumptions!$D$34*Assumptions!$D$38*Assumptions!$D$42*Assumptions!$D$176&gt;0,ROUNDUP(Assumptions!$D$10*Assumptions!$D$12/(Assumptions!$D$174*Assumptions!$D$34*Assumptions!$D$38*Assumptions!$D$42*Assumptions!$D$176),-1),0)</f>
        <v>350</v>
      </c>
      <c r="E175" s="2" t="s">
        <v>186</v>
      </c>
      <c r="F175" s="2" t="s">
        <v>63</v>
      </c>
      <c r="G175" s="13" t="s">
        <v>423</v>
      </c>
    </row>
    <row r="176" customFormat="false" ht="15" hidden="false" customHeight="false" outlineLevel="0" collapsed="false">
      <c r="A176" s="2" t="s">
        <v>424</v>
      </c>
      <c r="B176" s="13" t="s">
        <v>425</v>
      </c>
      <c r="C176" s="2" t="s">
        <v>43</v>
      </c>
      <c r="D176" s="20" t="n">
        <v>1</v>
      </c>
      <c r="E176" s="2" t="s">
        <v>256</v>
      </c>
      <c r="F176" s="2" t="s">
        <v>63</v>
      </c>
      <c r="G176" s="13" t="s">
        <v>426</v>
      </c>
    </row>
    <row r="177" customFormat="false" ht="15" hidden="false" customHeight="false" outlineLevel="0" collapsed="false">
      <c r="A177" s="2" t="s">
        <v>427</v>
      </c>
      <c r="B177" s="13" t="s">
        <v>428</v>
      </c>
      <c r="C177" s="2" t="s">
        <v>43</v>
      </c>
      <c r="D177" s="15" t="n">
        <v>15</v>
      </c>
      <c r="E177" s="2" t="s">
        <v>429</v>
      </c>
      <c r="F177" s="2" t="s">
        <v>70</v>
      </c>
      <c r="G177" s="17" t="s">
        <v>430</v>
      </c>
    </row>
    <row r="178" customFormat="false" ht="15" hidden="false" customHeight="false" outlineLevel="0" collapsed="false">
      <c r="A178" s="2" t="s">
        <v>431</v>
      </c>
      <c r="B178" s="13" t="s">
        <v>432</v>
      </c>
      <c r="C178" s="2" t="s">
        <v>43</v>
      </c>
      <c r="D178" s="18" t="n">
        <v>19</v>
      </c>
      <c r="E178" s="2" t="s">
        <v>119</v>
      </c>
      <c r="F178" s="2" t="s">
        <v>70</v>
      </c>
      <c r="G178" s="17" t="s">
        <v>433</v>
      </c>
    </row>
    <row r="179" customFormat="false" ht="15" hidden="false" customHeight="false" outlineLevel="0" collapsed="false">
      <c r="A179" s="2" t="s">
        <v>434</v>
      </c>
      <c r="B179" s="13" t="s">
        <v>435</v>
      </c>
      <c r="C179" s="2" t="s">
        <v>43</v>
      </c>
      <c r="D179" s="18" t="n">
        <v>400</v>
      </c>
      <c r="E179" s="2" t="s">
        <v>119</v>
      </c>
      <c r="F179" s="2" t="s">
        <v>63</v>
      </c>
      <c r="G179" s="17" t="s">
        <v>436</v>
      </c>
    </row>
    <row r="180" customFormat="false" ht="26.85" hidden="false" customHeight="false" outlineLevel="0" collapsed="false">
      <c r="A180" s="2" t="s">
        <v>437</v>
      </c>
      <c r="B180" s="13" t="s">
        <v>438</v>
      </c>
      <c r="C180" s="2" t="s">
        <v>48</v>
      </c>
      <c r="D180" s="15" t="n">
        <v>3</v>
      </c>
      <c r="E180" s="2" t="s">
        <v>62</v>
      </c>
      <c r="F180" s="2" t="s">
        <v>63</v>
      </c>
      <c r="G180" s="13" t="s">
        <v>439</v>
      </c>
    </row>
    <row r="181" customFormat="false" ht="26.85" hidden="false" customHeight="false" outlineLevel="0" collapsed="false">
      <c r="A181" s="2" t="s">
        <v>440</v>
      </c>
      <c r="B181" s="13" t="s">
        <v>441</v>
      </c>
      <c r="C181" s="2" t="s">
        <v>43</v>
      </c>
      <c r="D181" s="15" t="n">
        <v>7</v>
      </c>
      <c r="E181" s="2" t="s">
        <v>62</v>
      </c>
      <c r="F181" s="2" t="s">
        <v>63</v>
      </c>
      <c r="G181" s="13" t="s">
        <v>442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30:G149 D157:D158 D163 D168 D170 D174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D124:D126 E130:F149 H130:J149 D153:D156 D159:D162 D164:D167 D169 D171:D173 D175:D179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 D180:D181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My choice: the last Friday before Christmas. Indeed job searches fall to 45% below the 1–15 Dec average over the holidays (Indeed Hiring Lab). https://hiringlab.indeed.com/de/blog/2025/02/17/der-stellenmarkt-startet-unausgewogen-in-das-neue-jahr/"/>
    <hyperlink ref="G21" r:id="rId4" display="Global median: 6 days to review an application (SmartRecruiters 2025, Germany edition; German processes run longer, so this assumes the client keeps pace). https://ta.smartrecruiters.com/rs/664-NIC-529/images/Germany%20Recruiting%20Benchmarks%202025%20Report%20DE.pdf"/>
    <hyperlink ref="G22" r:id="rId5" display="Global median: 14 days from application to interview, minus the 6 above (SmartRecruiters 2025, Germany edition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Gem 2025: ~35% of candidates brought onsite get offers (mostly US tech). Set higher (50%) because only pre-qualified people reach this step. https://lp.gem.com/rs/972-IVV-330/images/2025%20Recruiting%20Benchmarks%20-%20Gem.pdf"/>
    <hyperlink ref="G34" r:id="rId12" display="Gem 2025: ~35% of onsite candidates get offers. Set at 55%: most common trade, the assessment is routine for it. https://lp.gem.com/rs/972-IVV-330/images/2025%20Recruiting%20Benchmarks%20-%20Gem.pdf"/>
    <hyperlink ref="G35" r:id="rId13" display="Gem 2025: ~35% of onsite candidates get offers. Set at 45%: PLC skills are tested hard. https://lp.gem.com/rs/972-IVV-330/images/2025%20Recruiting%20Benchmarks%20-%20Gem.pdf"/>
    <hyperlink ref="G36" r:id="rId14" display="Gem 2025: ~35% of onsite candidates get offers. Set at 40%: leadership is assessed on top of trade skills. https://lp.gem.com/rs/972-IVV-330/images/2025%20Recruiting%20Benchmarks%20-%20Gem.pdf"/>
    <hyperlink ref="G41" r:id="rId15" display="Königsteiner 2022: 47% accepted vs 14% declined after an offer → ~77% acceptance. I use 70–75%: shift work and competing offers. https://www.lebensmittelzeitung.net/handel/karriere/rekrutierung-bewerber-sagen-haeufiger-ab-166449"/>
    <hyperlink ref="G42" r:id="rId16" display="Königsteiner 2022: 47% accepted vs 14% declined after an offer → ~77% acceptance. I use 70–75%: shift work and competing offers. https://www.lebensmittelzeitung.net/handel/karriere/rekrutierung-bewerber-sagen-haeufiger-ab-166449"/>
    <hyperlink ref="G43" r:id="rId17" display="Königsteiner 2022: 47% accepted vs 14% declined after an offer → ~77% acceptance. I use 70–75%: shift work and competing offers. https://www.lebensmittelzeitung.net/handel/karriere/rekrutierung-bewerber-sagen-haeufiger-ab-166449"/>
    <hyperlink ref="G44" r:id="rId18" display="Königsteiner 2022: 47% accepted vs 14% declined after an offer → ~77% acceptance. I use 70–75%: shift work and competing offers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, KldB 2625 + 2622: Berlin 2,708 + 60% of Brandenburg 3,417 (own scaling: ~60% of Brandenburg lies within 75 km) ≈ 4,8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69" r:id="rId21" display="BA employment, KldB 2611 + 2510/2511/2513 (skilled level): Berlin 17,490 + 60% of Brandenburg 14,878 (own scaling: ~60% of Brandenburg lies within 75 km) ≈ 26,4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0" r:id="rId22" display="BA employment, KldB 2612: Berlin 1,254 + 60% of Brandenburg 1,206 (own scaling: ~60% of Brandenburg lies within 75 km) ≈ 2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1" r:id="rId23" display="BA employment, supervisor codes 2519 + 2619 + 2629 + 2639: Berlin 1,494 + 60% of Brandenburg 1,209 (own scaling: ~60% of Brandenburg lies within 75 km) ≈ 2,2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72" r:id="rId24" display="Gallup 2024: active job search is 3% / 10% / 23% for high / low / no engagement; weighted by the 9% / 78% / 13% shares ≈ 11%. https://gallup.com/file/de/657716/Engagement-Index-Deutschland-Report-2024.pdf"/>
    <hyperlink ref="G73" r:id="rId25" display="Gallup 2024: active job search is 3% / 10% / 23% for high / low / no engagement; weighted by the 9% / 78% / 13% shares ≈ 11%. https://gallup.com/file/de/657716/Engagement-Index-Deutschland-Report-2024.pdf"/>
    <hyperlink ref="G74" r:id="rId26" display="Gallup 2024: active job search is 3% / 10% / 23% for high / low / no engagement; weighted by the 9% / 78% / 13% shares ≈ 11%. https://gallup.com/file/de/657716/Engagement-Index-Deutschland-Report-2024.pdf"/>
    <hyperlink ref="G75" r:id="rId27" display="Gallup 2024: active job search is 3% / 10% / 23% for high / low / no engagement; weighted by the 9% / 78% / 13% shares ≈ 11%. https://gallup.com/file/de/657716/Engagement-Index-Deutschland-Report-2024.pdf"/>
    <hyperlink ref="G86" r:id="rId28" display="A common ad rule is 'reduce if cost is 1.2–2× target' (roaspig); I halve at 1.5×. https://roaspig.com/blog/automated-rules-manage-meta-budgets/"/>
    <hyperlink ref="G87" r:id="rId29" display="Twice the plan cost → switch off (common ad practice). https://roaspig.com/blog/automated-rules-manage-meta-budgets/"/>
    <hyperlink ref="G93" r:id="rId30" display="Most replies come within a day of each message (Pin 2026), so 60% arrive in week 1. https://www.pin.com/blog/recruiting-outreach-benchmark-report/"/>
    <hyperlink ref="G94" r:id="rId31" display="Most replies come within a day of each message (Pin 2026), so 60% arrive in week 1. https://www.pin.com/blog/recruiting-outreach-benchmark-report/"/>
    <hyperlink ref="G95" r:id="rId32" display="Most replies come within a day of each message (Pin 2026), so 60% arrive in week 1. https://www.pin.com/blog/recruiting-outreach-benchmark-report/"/>
    <hyperlink ref="G96" r:id="rId33" display="Between the common +20% and +30% scale-up rules (roaspig). https://roaspig.com/blog/automated-rules-manage-meta-budgets/"/>
    <hyperlink ref="G101" r:id="rId34" display="Risk rises once capacity is more than 85% used (Bagust et al., BMJ 1999). https://pubmed.ncbi.nlm.nih.gov/10406748/"/>
    <hyperlink ref="G102" r:id="rId35" display="Above 90% use, shortages become regular (same study), so the week counts as full. https://pubmed.ncbi.nlm.nih.gov/10406748/"/>
    <hyperlink ref="G108" r:id="rId36" display="Derived from IAB 2025: decisive ÷ used for job boards (21% ÷ 57% = 0.37) ÷ 0.41 = 0.90. Average = mean of decisive ÷ used over the three channels IAB reports (homepage 20/70, job boards 21/57, personal contacts 27/48) = 0.41. https://iab-forum.de/online-medien-sind-bei-der-personalsuche-auf-dem-vormarsch/"/>
    <hyperlink ref="G109" r:id="rId37" display="Derived from IAB 2025: decisive ÷ used for the employer homepage (20% ÷ 70% = 0.29) ÷ 0.41 = 0.70. Average = mean of decisive ÷ used over the three channels IAB reports (homepage 20/70, job boards 21/57, personal contacts 27/48) = 0.41. https://iab-forum.de/online-medien-sind-bei-der-personalsuche-auf-dem-vormarsch/"/>
    <hyperlink ref="G110" r:id="rId38" display="Derived from IAB data (2022): social media was used for 42% of filled jobs but decisive for 1 in 14; (7.1% ÷ 42%) ÷ 0.41 ≈ 0.41. https://ohn.haendlerbund.de/themen/unternehmen-maerkte/139538-social-media-whatsapp-mitarbeitersuche-immer-wichtiger"/>
    <hyperlink ref="G111" r:id="rId39" display="36% of skilled-worker job seekers use Indeed (Trendence 2023). https://www.personalwirtschaft.de/?p=157882"/>
    <hyperlink ref="G112" r:id="rId40" display="15% of skilled-worker job seekers use LinkedIn (Trendence 2023). https://www.personalwirtschaft.de/?p=157882"/>
    <hyperlink ref="G113" r:id="rId41" display="10.5% of job seekers start their search on Google (softgarden). https://www.personalwirtschaft.de/news/recruiting/jeder-zehnte-nutzt-google-zur-jobsuche-97400/"/>
    <hyperlink ref="G114" r:id="rId42" display="Firms with 250+ staff get ~27 applications per vacancy (IAB 2026). https://iab-forum.de/iab-stellenerhebung-2-2026-fast-drei-von-vier-bewerbungen-sind-aus-betrieblicher-sicht-ungeeignet/"/>
    <hyperlink ref="G115" r:id="rId43" display="13% of applications come through the careers page (CareerPlug 2025). https://www.careerplug.com/wp-content/uploads/2025/04/Recruiting-Metrics-Report.pdf"/>
    <hyperlink ref="G116" r:id="rId44" display="Typical social campaign for electricians brings ~20 qualified applications (Redline, 181 campaigns). https://redline-grow.de/bewerbungen-pro-stelle"/>
    <hyperlink ref="G117" r:id="rId45" display="Typical social campaign for mechatronics brings ~23 qualified applications (Redline). https://redline-grow.de/bewerbungen-pro-stelle"/>
    <hyperlink ref="G118" r:id="rId46" display="Redline 2024–26: mean 29.5 qualified applications per Elektroniker campaign (11 campaigns). https://redline-grow.de/bewerbungen-pro-stelle"/>
    <hyperlink ref="G119" r:id="rId47" display="A StepStone ad runs 30 days. https://www.stepstone.de/e-recruiting/stellenanzeige-aufgeben/"/>
    <hyperlink ref="G120" r:id="rId48" display="Plant headcount (Electrek, March 2026). https://electrek.co/2026/03/04/tesla-giga-berlin-ig-metall-union-vote-collapse/"/>
    <hyperlink ref="G121" r:id="rId49" display="BA employment, Germany: maintenance codes 2513 + 2625 + 2611 + 2612 + supervisors 2519 + 2619 + 2629 (536,520) ÷ production occupations 21–29 (6,850,263) = 7.8%. Also applied to Polish industry for the I3 supply check (my estimate; an upper bound). https://statistik.arbeitsagentur.de/Statistikdaten/Detail/202512/iiia6/beschaeftigung-sozbe-bo-heft/bo-heft-d-0-202512-xlsx.xlsx?__blob=publicationFile"/>
    <hyperlink ref="G122" r:id="rId50" display="IAB-Betriebspanel Brandenburg: ~6% of jobs ended in the first half of 2024 → ~12% a year. https://mweke.brandenburg.de/media/bb1.a.3814.de/Betriebspanel%20Brandenburg%202024%20-%20final.pdf"/>
    <hyperlink ref="G123" r:id="rId51" display="Referrals bring ~11% of hires (CareerPlug 2025). https://www.careerplug.com/wp-content/uploads/2025/04/Recruiting-Metrics-Report.pdf"/>
    <hyperlink ref="G124" r:id="rId52" display="Eurostat lfst_r_lfe2en2, 2025: Lubuskie (PL43) 97.0k + Zachodniopomorskie (PL42) 140.5k employed in industry B–E (https://ec.europa.eu/eurostat/databrowser/view/lfst_r_lfe2en2/default/table)."/>
    <hyperlink ref="G125" r:id="rId53" display="IAB-Regional Berlin-Brandenburg 1/2020, table 3 (BA data, June 2019): 13,775 commuters from Poland to Brandenburg workplaces (https://doku.iab.de/regional/BB/2020/regional_bb_0120.pdf)."/>
    <hyperlink ref="G126" r:id="rId54" display="Same table: machine and vehicle technology 825 + metal 424 + building construction 429 = 1,678 (https://doku.iab.de/regional/BB/2020/regional_bb_0120.pdf)."/>
    <hyperlink ref="L130" r:id="rId55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32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33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4" r:id="rId59" display="Indeed's CPA median is €161 in TalentBait's DACH 2024–26 dataset (2,549 channel-campaigns across all channels), used as the programmatic proxy. Volume capped by Indeed's reach. https://www.talentbait.de/recruiting-kanaele-uebersicht/"/>
    <hyperlink ref="L135" r:id="rId60" display="Indeed's CPA median is €161 in TalentBait's DACH 2024–26 dataset (2,549 channel-campaigns across all channels), used as the programmatic proxy. Volume capped by Indeed's reach. https://www.talentbait.de/recruiting-kanaele-uebersicht/"/>
    <hyperlink ref="L136" r:id="rId61" display="Indeed's CPA median is €161 in TalentBait's DACH 2024–26 dataset (2,549 channel-campaigns across all channels), used as the programmatic proxy. Volume capped by Indeed's reach. https://www.talentbait.de/recruiting-kanaele-uebersicht/"/>
    <hyperlink ref="L137" r:id="rId62" display="Indeed's CPA median is €161 in TalentBait's DACH 2024–26 dataset (2,549 channel-campaigns across all channels), used as the programmatic proxy. Volume capped by Indeed's reach. https://www.talentbait.de/recruiting-kanaele-uebersicht/"/>
    <hyperlink ref="L138" r:id="rId63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39" r:id="rId64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0" r:id="rId65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1" r:id="rId66" display="From €1,449 per 30-day ad (StepStone price list); HR teams get ~12 applications per vacancy on average (StepStone), used as applications per ad. https://www.stepstone.de/e-recruiting/stellenanzeige-aufgeben/ https://www.stepstone.de/e-recruiting/hr-wissen/recruiting/bewerberqualitaet-steigern"/>
    <hyperlink ref="L142" r:id="rId67" display="DACH median €96 per application (TalentBait). Used only for automation and supervisors. https://www.talentbait.de/recruiting-kanaele-uebersicht/"/>
    <hyperlink ref="L143" r:id="rId68" display="DACH median €96 per application (TalentBait). Used only for automation and supervisors. https://www.talentbait.de/recruiting-kanaele-uebersicht/"/>
    <hyperlink ref="L144" r:id="rId69" display="Own estimate: TalentBait's example ad shows ~€84 per application for trades (its measured averages: €52 raw, €104 per qualified); volume from Redline campaign data. https://www.talentbait.de/social-media-recruiting"/>
    <hyperlink ref="L145" r:id="rId70" display="Own estimate: TalentBait's example ad shows ~€84 per application for trades (its measured averages: €52 raw, €104 per qualified); volume from Redline campaign data. https://www.talentbait.de/social-media-recruiting"/>
    <hyperlink ref="L146" r:id="rId71" display="Google Search ads ~€179 per application, low volume (TalentBait). https://www.talentbait.de/recruiting-kanaele-uebersicht/"/>
    <hyperlink ref="L147" r:id="rId72" display="Google Search ads ~€179 per application, low volume (TalentBait). https://www.talentbait.de/recruiting-kanaele-uebersicht/"/>
    <hyperlink ref="L148" r:id="rId73" display="Google Search ads ~€179 per application, low volume (TalentBait). https://www.talentbait.de/recruiting-kanaele-uebersicht/"/>
    <hyperlink ref="L149" r:id="rId74" display="Google Search ads ~€179 per application, low volume (TalentBait). https://www.talentbait.de/recruiting-kanaele-uebersicht/"/>
    <hyperlink ref="G157" r:id="rId75" display="Cold outreach gets ~5% replies (Pin 2026); past applicants already know the employer, so I assume 12%. https://www.pin.com/blog/recruiting-outreach-benchmark-report/"/>
    <hyperlink ref="G158" r:id="rId76" display="They met the requirements once; I assume half still do (Forrester via SHRM: most remain a 70%+ match). https://www.shrm.org/mena/topics-tools/news/technology/talent-rediscovery-tools-help-address-labor-shortages"/>
    <hyperlink ref="G163" r:id="rId77" display="Referred applicants are better pre-filtered (IAB: referrals are the most decisive channel), so 45% qualify. https://iab-forum.de/online-medien-sind-bei-der-personalsuche-auf-dem-vormarsch/"/>
    <hyperlink ref="G164" r:id="rId78" display="Three text messages at ~€0.075 each (seven.io price list, 2016 rates) plus email, rounded up to €0.30. https://www.seven.io/en/prices/"/>
    <hyperlink ref="G165" r:id="rId79" display="Most firms pay €501–1,000 per successful referral (Radancy survey, 335 firms worldwide). https://www.personalwirtschaft.de/?p=166393"/>
    <hyperlink ref="G166" r:id="rId80" display="Referred and known candidates pass and accept a little more often (+15%). https://www.metaview.ai/resources/blog/do-referred-candidates-interview-better"/>
    <hyperlink ref="G167" r:id="rId81" display="BA employment, KldB 2621 Bauelektrik: Berlin 6,204 + 60% of Brandenburg 5,905 (own scaling: ~60% of Brandenburg lies within 75 km) ≈ 10,000. Berlin file: https://statistik.arbeitsagentur.de/Statistikdaten/Detail/202512/iiia6/beschaeftigung-sozbe-bo-heft/bo-heft-11-0-202512-xlsx.xlsx?__blob=publicationFile https://statistik.arbeitsagentur.de/Statistikdaten/Detail/202512/iiia6/beschaeftigung-sozbe-bo-heft/bo-heft-12-0-202512-xlsx.xlsx?__blob=publicationFile"/>
    <hyperlink ref="G169" r:id="rId82" display="Own estimate: TalentBait's example ad shows ~€84 per application for trades; its measured averages are €52 per raw application and €104 per qualified one. https://www.talentbait.de/social-media-recruiting"/>
    <hyperlink ref="G172" r:id="rId83" display="Copywriter (~11 hours at €65) plus a quiz tool for 3 months. https://www.freelancermap.de/freelancer/texterstellung"/>
    <hyperlink ref="G173" r:id="rId84" display="Pracuj.pl ad price divided by expected applications, blended with OLX and Meta. https://dlafirm.pracuj.pl/cennik-uslug/pakiety-ogloszen"/>
    <hyperlink ref="G174" r:id="rId85" display="Own estimate: the Polish ads carry trade knock-out questions (certificate, shifts), so language is the binding filter. Eurostat AES 2022, Poland, ages 25–64, vocational upper-secondary: 58.7% know a foreign language (edat_aes_l23) × 23.6% of them good or proficient (edat_aes_l33) ≈ 14%. https://ec.europa.eu/eurostat/databrowser/view/edat_aes_l23/default/table https://ec.europa.eu/eurostat/databrowser/view/edat_aes_l33/default/table"/>
    <hyperlink ref="G177" r:id="rId86" display="Phone screens take 15–30 minutes (Indeed); a checklist call takes 15. https://www.indeed.com/hire/c/info/what-is-a-phone-screen"/>
    <hyperlink ref="G178" r:id="rId87" display="Polish freelance recruiters charge ~€14–19 an hour. https://rocketjobs.pl/oferta-pracy/intent-tech-recruiter-freelance--warszawa-hr-recruitment-9e0cdcee"/>
    <hyperlink ref="G179" r:id="rId88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443</v>
      </c>
    </row>
    <row r="2" customFormat="false" ht="15" hidden="false" customHeight="false" outlineLevel="0" collapsed="false">
      <c r="A2" s="2" t="s">
        <v>444</v>
      </c>
    </row>
    <row r="4" customFormat="false" ht="48" hidden="false" customHeight="true" outlineLevel="0" collapsed="false">
      <c r="A4" s="12" t="s">
        <v>322</v>
      </c>
      <c r="B4" s="12" t="s">
        <v>47</v>
      </c>
      <c r="C4" s="12" t="s">
        <v>445</v>
      </c>
      <c r="D4" s="12" t="s">
        <v>446</v>
      </c>
      <c r="E4" s="12" t="s">
        <v>447</v>
      </c>
      <c r="F4" s="12" t="s">
        <v>448</v>
      </c>
      <c r="G4" s="12" t="s">
        <v>449</v>
      </c>
      <c r="H4" s="12" t="s">
        <v>450</v>
      </c>
      <c r="I4" s="12" t="s">
        <v>451</v>
      </c>
      <c r="J4" s="12" t="s">
        <v>452</v>
      </c>
      <c r="K4" s="12" t="s">
        <v>453</v>
      </c>
      <c r="L4" s="12" t="s">
        <v>454</v>
      </c>
      <c r="M4" s="12" t="s">
        <v>455</v>
      </c>
      <c r="N4" s="12" t="s">
        <v>456</v>
      </c>
      <c r="O4" s="12" t="s">
        <v>457</v>
      </c>
      <c r="P4" s="12" t="s">
        <v>458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414.272633087996</v>
      </c>
      <c r="N5" s="31" t="n">
        <f aca="false">IF(M5&gt;0,O5/M5,0)</f>
        <v>0.232342393753174</v>
      </c>
      <c r="O5" s="32" t="n">
        <f aca="false">SUMIFS(Channels!$V:$V,Channels!$C:$C,A5)</f>
        <v>96.2530952380952</v>
      </c>
      <c r="P5" s="31" t="n">
        <f aca="false">IF($B$22&gt;0,O5/$B$22,0)</f>
        <v>0.306259848484849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662.469323804687</v>
      </c>
      <c r="N6" s="31" t="n">
        <f aca="false">IF(M6&gt;0,O6/M6,0)</f>
        <v>0.179288484680294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226.471333852253</v>
      </c>
      <c r="N7" s="31" t="n">
        <f aca="false">IF(M7&gt;0,O7/M7,0)</f>
        <v>0.228839350342959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191.361952429259</v>
      </c>
      <c r="N8" s="31" t="n">
        <f aca="false">IF(M8&gt;0,O8/M8,0)</f>
        <v>0.2148875792741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459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1494.57524317419</v>
      </c>
      <c r="N9" s="34" t="n">
        <f aca="false">IF(M9&gt;0,O9/M9,0)</f>
        <v>0.206060603164336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460</v>
      </c>
    </row>
    <row r="12" customFormat="false" ht="15" hidden="false" customHeight="false" outlineLevel="0" collapsed="false">
      <c r="A12" s="28" t="s">
        <v>461</v>
      </c>
    </row>
    <row r="13" customFormat="false" ht="15" hidden="false" customHeight="false" outlineLevel="0" collapsed="false">
      <c r="A13" s="2" t="s">
        <v>462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463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464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465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466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467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468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469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470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471</v>
      </c>
      <c r="B26" s="38" t="n">
        <f aca="false">B22*B25</f>
        <v>102.049737036446</v>
      </c>
      <c r="C26" s="2" t="s">
        <v>472</v>
      </c>
    </row>
    <row r="28" customFormat="false" ht="15" hidden="false" customHeight="false" outlineLevel="0" collapsed="false">
      <c r="A28" s="28" t="s">
        <v>473</v>
      </c>
    </row>
    <row r="29" customFormat="false" ht="60" hidden="false" customHeight="true" outlineLevel="0" collapsed="false">
      <c r="A29" s="12" t="s">
        <v>322</v>
      </c>
      <c r="B29" s="12" t="s">
        <v>47</v>
      </c>
      <c r="C29" s="12" t="s">
        <v>474</v>
      </c>
      <c r="D29" s="12" t="s">
        <v>475</v>
      </c>
      <c r="E29" s="12" t="s">
        <v>476</v>
      </c>
      <c r="F29" s="12" t="s">
        <v>477</v>
      </c>
      <c r="G29" s="12" t="s">
        <v>478</v>
      </c>
      <c r="H29" s="12" t="s">
        <v>479</v>
      </c>
      <c r="I29" s="12" t="s">
        <v>480</v>
      </c>
      <c r="J29" s="12" t="s">
        <v>481</v>
      </c>
      <c r="K29" s="12" t="s">
        <v>482</v>
      </c>
      <c r="L29" s="12" t="s">
        <v>483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110.22165</v>
      </c>
      <c r="E30" s="40" t="n">
        <f aca="false">IF(B30&gt;0,D30/B30,0)</f>
        <v>3.674055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484</v>
      </c>
      <c r="J30" s="2" t="s">
        <v>485</v>
      </c>
      <c r="K30" s="40" t="n">
        <f aca="false">IF(B30&gt;0,(D30-SUMIFS(Channels!$N:$N,Channels!$A:$A,"I2-E",Channels!$C:$C,A30))/B30,0)</f>
        <v>3.39528</v>
      </c>
      <c r="L30" s="40" t="n">
        <f aca="false">IF(B30&gt;0,K30,1000000000)</f>
        <v>3.39528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551.69006625</v>
      </c>
      <c r="E31" s="40" t="n">
        <f aca="false">IF(B31&gt;0,D31/B31,0)</f>
        <v>12.25977925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1927.42237186682</v>
      </c>
      <c r="I31" s="2" t="s">
        <v>486</v>
      </c>
      <c r="J31" s="2" t="s">
        <v>487</v>
      </c>
      <c r="K31" s="40" t="n">
        <f aca="false">IF(B31&gt;0,(D31-SUMIFS(Channels!$N:$N,Channels!$A:$A,"I2-E",Channels!$C:$C,A31))/B31,0)</f>
        <v>12.25977925</v>
      </c>
      <c r="L31" s="40" t="n">
        <f aca="false">IF(B31&gt;0,K31,1000000000)</f>
        <v>12.25977925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47.90852325</v>
      </c>
      <c r="E32" s="40" t="n">
        <f aca="false">IF(B32&gt;0,D32/B32,0)</f>
        <v>3.19390155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484</v>
      </c>
      <c r="J32" s="2" t="s">
        <v>487</v>
      </c>
      <c r="K32" s="40" t="n">
        <f aca="false">IF(B32&gt;0,(D32-SUMIFS(Channels!$N:$N,Channels!$A:$A,"I2-E",Channels!$C:$C,A32))/B32,0)</f>
        <v>3.19390155</v>
      </c>
      <c r="L32" s="40" t="n">
        <f aca="false">IF(B32&gt;0,K32,1000000000)</f>
        <v>3.19390155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39.749451</v>
      </c>
      <c r="E33" s="40" t="n">
        <f aca="false">IF(B33&gt;0,D33/B33,0)</f>
        <v>3.9749451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484</v>
      </c>
      <c r="J33" s="2" t="s">
        <v>487</v>
      </c>
      <c r="K33" s="40" t="n">
        <f aca="false">IF(B33&gt;0,(D33-SUMIFS(Channels!$N:$N,Channels!$A:$A,"I2-E",Channels!$C:$C,A33))/B33,0)</f>
        <v>3.9749451</v>
      </c>
      <c r="L33" s="40" t="n">
        <f aca="false">IF(B33&gt;0,K33,1000000000)</f>
        <v>3.9749451</v>
      </c>
    </row>
    <row r="35" customFormat="false" ht="30" hidden="false" customHeight="true" outlineLevel="0" collapsed="false">
      <c r="A35" s="9" t="str">
        <f aca="false">"Hardest role: "&amp;Summary!C16&amp;",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"&amp;TEXT(G32,"0%")&amp;" of reachable people vs "&amp;TEXT(G30,"0%")&amp;"; column E: "&amp;TEXT(E32,"0.0")&amp;"× vs "&amp;TEXT(E30,"0.0")&amp;"×), but it needs only "&amp;B32&amp;" hires and its last hire is cheaper, so it is watched in the weekly pool check rather than ranked hardest."</f>
        <v>Hardest role: Electricians (last hire costs €2,272), the highest in column H. Why: industrial electricians are the scarcest trade in Brandenburg (KOFA 2026: 85.7% of vacancies have no suitable unemployed candidate vs 41.4% overall, https://www.kofa.de/media/Publikationen/Laendersteckbriefe/Brandenburg.pdf), and they have no Polish or foreign-trained route under the brief. Automation’s pool and channel coverage are tighter (column G: 22% of reachable people vs 12%; column E: 3.2× vs 3.7×), but it needs only 15 hires and its last hire is cheaper, so it is watched in the weekly pool check rather than ranked hardest.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488</v>
      </c>
    </row>
    <row r="40" customFormat="false" ht="15" hidden="false" customHeight="false" outlineLevel="0" collapsed="false">
      <c r="A40" s="2" t="s">
        <v>489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490</v>
      </c>
      <c r="B41" s="12" t="s">
        <v>491</v>
      </c>
      <c r="C41" s="12" t="s">
        <v>10</v>
      </c>
      <c r="D41" s="12" t="s">
        <v>492</v>
      </c>
      <c r="E41" s="12" t="s">
        <v>493</v>
      </c>
      <c r="F41" s="12" t="s">
        <v>494</v>
      </c>
      <c r="G41" s="12" t="s">
        <v>495</v>
      </c>
      <c r="H41" s="12" t="s">
        <v>496</v>
      </c>
    </row>
    <row r="42" customFormat="false" ht="30" hidden="false" customHeight="true" outlineLevel="0" collapsed="false">
      <c r="A42" s="13" t="s">
        <v>497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102255.847555873</v>
      </c>
      <c r="G42" s="30" t="n">
        <f aca="false">IF(Budget!$C$7&gt;0,F42/Budget!$C$7-1,0)</f>
        <v>0</v>
      </c>
      <c r="H42" s="13" t="s">
        <v>498</v>
      </c>
    </row>
    <row r="43" customFormat="false" ht="30" hidden="false" customHeight="true" outlineLevel="0" collapsed="false">
      <c r="A43" s="13" t="s">
        <v>499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146079.782222676</v>
      </c>
      <c r="G43" s="30" t="n">
        <f aca="false">IF(Budget!$C$7&gt;0,F43/Budget!$C$7-1,0)</f>
        <v>0.428571428571429</v>
      </c>
      <c r="H43" s="13" t="s">
        <v>500</v>
      </c>
    </row>
    <row r="44" customFormat="false" ht="30" hidden="false" customHeight="true" outlineLevel="0" collapsed="false">
      <c r="A44" s="13" t="s">
        <v>501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146079.782222676</v>
      </c>
      <c r="G44" s="30" t="n">
        <f aca="false">IF(Budget!$C$7&gt;0,F44/Budget!$C$7-1,0)</f>
        <v>0.428571428571429</v>
      </c>
      <c r="H44" s="13" t="s">
        <v>502</v>
      </c>
    </row>
    <row r="45" customFormat="false" ht="30" hidden="false" customHeight="true" outlineLevel="0" collapsed="false">
      <c r="A45" s="13" t="s">
        <v>503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146079.782222676</v>
      </c>
      <c r="G45" s="30" t="n">
        <f aca="false">IF(Budget!$C$7&gt;0,F45/Budget!$C$7-1,0)</f>
        <v>0.428571428571429</v>
      </c>
      <c r="H45" s="13" t="s">
        <v>504</v>
      </c>
    </row>
    <row r="46" customFormat="false" ht="30" hidden="false" customHeight="true" outlineLevel="0" collapsed="false">
      <c r="A46" s="13" t="s">
        <v>505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132932.601822636</v>
      </c>
      <c r="G46" s="30" t="n">
        <f aca="false">IF(Budget!$C$7&gt;0,F46/Budget!$C$7-1,0)</f>
        <v>0.3</v>
      </c>
      <c r="H46" s="13" t="s">
        <v>506</v>
      </c>
    </row>
    <row r="47" customFormat="false" ht="30" hidden="false" customHeight="true" outlineLevel="0" collapsed="false">
      <c r="A47" s="13" t="s">
        <v>507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102255.847555873</v>
      </c>
      <c r="G47" s="30" t="n">
        <f aca="false">IF(Budget!$C$7&gt;0,F47/Budget!$C$7-1,0)</f>
        <v>0</v>
      </c>
      <c r="H47" s="13" t="s">
        <v>508</v>
      </c>
    </row>
    <row r="49" customFormat="false" ht="15" hidden="false" customHeight="false" outlineLevel="0" collapsed="false">
      <c r="A49" s="28" t="s">
        <v>509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510</v>
      </c>
    </row>
    <row r="57" customFormat="false" ht="45" hidden="false" customHeight="true" outlineLevel="0" collapsed="false">
      <c r="A57" s="12" t="s">
        <v>322</v>
      </c>
      <c r="B57" s="12" t="s">
        <v>511</v>
      </c>
      <c r="C57" s="12" t="s">
        <v>512</v>
      </c>
      <c r="D57" s="12" t="s">
        <v>513</v>
      </c>
      <c r="E57" s="12" t="s">
        <v>514</v>
      </c>
      <c r="F57" s="12" t="s">
        <v>515</v>
      </c>
      <c r="G57" s="12" t="s">
        <v>516</v>
      </c>
      <c r="H57" s="12" t="s">
        <v>517</v>
      </c>
      <c r="I57" s="12" t="s">
        <v>518</v>
      </c>
      <c r="J57" s="12" t="s">
        <v>519</v>
      </c>
      <c r="K57" s="12" t="s">
        <v>520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321.425</v>
      </c>
      <c r="J58" s="30" t="n">
        <f aca="false">IF(F58&gt;0,I58/F58,0)</f>
        <v>0.564894551845343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1484.11</v>
      </c>
      <c r="J59" s="30" t="n">
        <f aca="false">IF(F59&gt;0,I59/F59,0)</f>
        <v>0.506176671214188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167.905</v>
      </c>
      <c r="J60" s="30" t="n">
        <f aca="false">IF(F60&gt;0,I60/F60,0)</f>
        <v>0.71146186440678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166.119</v>
      </c>
      <c r="J61" s="30" t="n">
        <f aca="false">IF(F61&gt;0,I61/F61,0)</f>
        <v>0.675280487804878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521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522</v>
      </c>
    </row>
    <row r="2" customFormat="false" ht="15" hidden="false" customHeight="false" outlineLevel="0" collapsed="false">
      <c r="A2" s="2" t="s">
        <v>523</v>
      </c>
    </row>
    <row r="3" customFormat="false" ht="15" hidden="false" customHeight="false" outlineLevel="0" collapsed="false">
      <c r="A3" s="28" t="s">
        <v>524</v>
      </c>
    </row>
    <row r="4" customFormat="false" ht="15" hidden="false" customHeight="false" outlineLevel="0" collapsed="false">
      <c r="A4" s="12" t="s">
        <v>525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459</v>
      </c>
    </row>
    <row r="5" customFormat="false" ht="15" hidden="false" customHeight="false" outlineLevel="0" collapsed="false">
      <c r="A5" s="2" t="s">
        <v>526</v>
      </c>
      <c r="B5" s="29" t="n">
        <f aca="false">Assumptions!$D$153</f>
        <v>65</v>
      </c>
      <c r="C5" s="29" t="n">
        <f aca="false">Assumptions!$D$154</f>
        <v>76</v>
      </c>
      <c r="D5" s="29" t="n">
        <f aca="false">Assumptions!$D$155</f>
        <v>38</v>
      </c>
      <c r="E5" s="29" t="n">
        <f aca="false">Assumptions!$D$156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527</v>
      </c>
      <c r="B6" s="30" t="n">
        <f aca="false">Assumptions!$D$157</f>
        <v>0.12</v>
      </c>
      <c r="C6" s="30" t="n">
        <f aca="false">Assumptions!$D$157</f>
        <v>0.12</v>
      </c>
      <c r="D6" s="30" t="n">
        <f aca="false">Assumptions!$D$157</f>
        <v>0.12</v>
      </c>
      <c r="E6" s="30" t="n">
        <f aca="false">Assumptions!$D$157</f>
        <v>0.12</v>
      </c>
    </row>
    <row r="7" customFormat="false" ht="15" hidden="false" customHeight="false" outlineLevel="0" collapsed="false">
      <c r="A7" s="2" t="s">
        <v>528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529</v>
      </c>
      <c r="B8" s="30" t="n">
        <f aca="false">Assumptions!$D$158</f>
        <v>0.5</v>
      </c>
      <c r="C8" s="30" t="n">
        <f aca="false">Assumptions!$D$158</f>
        <v>0.5</v>
      </c>
      <c r="D8" s="30" t="n">
        <f aca="false">Assumptions!$D$158</f>
        <v>0.5</v>
      </c>
      <c r="E8" s="30" t="n">
        <f aca="false">Assumptions!$D$158</f>
        <v>0.5</v>
      </c>
    </row>
    <row r="9" customFormat="false" ht="15" hidden="false" customHeight="false" outlineLevel="0" collapsed="false">
      <c r="A9" s="2" t="s">
        <v>530</v>
      </c>
      <c r="B9" s="31" t="n">
        <f aca="false">Funnel!$G$5*Assumptions!$D$166</f>
        <v>0.36225</v>
      </c>
      <c r="C9" s="31" t="n">
        <f aca="false">Funnel!$G$6*Assumptions!$D$166</f>
        <v>0.4269375</v>
      </c>
      <c r="D9" s="31" t="n">
        <f aca="false">Funnel!$G$7*Assumptions!$D$166</f>
        <v>0.326025</v>
      </c>
      <c r="E9" s="31" t="n">
        <f aca="false">Funnel!$G$8*Assumptions!$D$166</f>
        <v>0.2737</v>
      </c>
    </row>
    <row r="10" customFormat="false" ht="15" hidden="false" customHeight="false" outlineLevel="0" collapsed="false">
      <c r="A10" s="2" t="s">
        <v>531</v>
      </c>
      <c r="B10" s="41" t="n">
        <f aca="false">B5*Assumptions!$D$164</f>
        <v>19.5</v>
      </c>
      <c r="C10" s="41" t="n">
        <f aca="false">C5*Assumptions!$D$164</f>
        <v>22.8</v>
      </c>
      <c r="D10" s="41" t="n">
        <f aca="false">D5*Assumptions!$D$164</f>
        <v>11.4</v>
      </c>
      <c r="E10" s="41" t="n">
        <f aca="false">E5*Assumptions!$D$164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532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533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534</v>
      </c>
      <c r="B13" s="32" t="n">
        <f aca="false">Assumptions!$D$159</f>
        <v>20</v>
      </c>
      <c r="C13" s="32" t="n">
        <f aca="false">Assumptions!$D$160</f>
        <v>26</v>
      </c>
      <c r="D13" s="32" t="n">
        <f aca="false">Assumptions!$D$161</f>
        <v>11</v>
      </c>
      <c r="E13" s="32" t="n">
        <f aca="false">Assumptions!$D$162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535</v>
      </c>
      <c r="B14" s="30" t="n">
        <f aca="false">Assumptions!$D$163</f>
        <v>0.45</v>
      </c>
      <c r="C14" s="30" t="n">
        <f aca="false">Assumptions!$D$163</f>
        <v>0.45</v>
      </c>
      <c r="D14" s="30" t="n">
        <f aca="false">Assumptions!$D$163</f>
        <v>0.45</v>
      </c>
      <c r="E14" s="30" t="n">
        <f aca="false">Assumptions!$D$163</f>
        <v>0.45</v>
      </c>
    </row>
    <row r="15" customFormat="false" ht="15" hidden="false" customHeight="false" outlineLevel="0" collapsed="false">
      <c r="A15" s="2" t="s">
        <v>536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537</v>
      </c>
      <c r="B16" s="41" t="n">
        <f aca="false">B15*Assumptions!$D$165</f>
        <v>3260.25</v>
      </c>
      <c r="C16" s="41" t="n">
        <f aca="false">C15*Assumptions!$D$165</f>
        <v>4995.16875</v>
      </c>
      <c r="D16" s="41" t="n">
        <f aca="false">D15*Assumptions!$D$165</f>
        <v>1613.82375</v>
      </c>
      <c r="E16" s="41" t="n">
        <f aca="false">E15*Assumptions!$D$165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538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539</v>
      </c>
    </row>
    <row r="18" customFormat="false" ht="15" hidden="false" customHeight="false" outlineLevel="0" collapsed="false">
      <c r="A18" s="2" t="s">
        <v>540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541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542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543</v>
      </c>
    </row>
    <row r="24" customFormat="false" ht="15" hidden="false" customHeight="false" outlineLevel="0" collapsed="false">
      <c r="A24" s="2" t="s">
        <v>544</v>
      </c>
      <c r="B24" s="29" t="n">
        <f aca="false">Assumptions!$D$167</f>
        <v>10000</v>
      </c>
    </row>
    <row r="25" customFormat="false" ht="15" hidden="false" customHeight="false" outlineLevel="0" collapsed="false">
      <c r="A25" s="2" t="s">
        <v>545</v>
      </c>
      <c r="B25" s="31" t="n">
        <f aca="false">Assumptions!$D$168</f>
        <v>0.0118</v>
      </c>
    </row>
    <row r="26" customFormat="false" ht="15" hidden="false" customHeight="false" outlineLevel="0" collapsed="false">
      <c r="A26" s="2" t="s">
        <v>546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547</v>
      </c>
      <c r="B27" s="41" t="n">
        <f aca="false">Assumptions!$D$169</f>
        <v>84</v>
      </c>
    </row>
    <row r="28" customFormat="false" ht="15" hidden="false" customHeight="false" outlineLevel="0" collapsed="false">
      <c r="A28" s="2" t="s">
        <v>548</v>
      </c>
      <c r="B28" s="30" t="n">
        <f aca="false">Assumptions!$D$170</f>
        <v>0.25</v>
      </c>
    </row>
    <row r="29" customFormat="false" ht="15" hidden="false" customHeight="false" outlineLevel="0" collapsed="false">
      <c r="A29" s="2" t="s">
        <v>549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550</v>
      </c>
      <c r="B30" s="31" t="n">
        <f aca="false">Funnel!$G$5*Assumptions!$D$171</f>
        <v>0.2835</v>
      </c>
    </row>
    <row r="31" customFormat="false" ht="15" hidden="false" customHeight="false" outlineLevel="0" collapsed="false">
      <c r="A31" s="2" t="s">
        <v>551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552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553</v>
      </c>
      <c r="B33" s="41" t="n">
        <f aca="false">Assumptions!$D$172</f>
        <v>1200</v>
      </c>
    </row>
    <row r="34" customFormat="false" ht="15" hidden="false" customHeight="false" outlineLevel="0" collapsed="false">
      <c r="A34" s="2" t="s">
        <v>554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555</v>
      </c>
    </row>
    <row r="38" customFormat="false" ht="15" hidden="false" customHeight="false" outlineLevel="0" collapsed="false">
      <c r="A38" s="2" t="s">
        <v>556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557</v>
      </c>
      <c r="B39" s="30" t="n">
        <f aca="false">Assumptions!$D$174</f>
        <v>0.14</v>
      </c>
    </row>
    <row r="40" customFormat="false" ht="15" hidden="false" customHeight="false" outlineLevel="0" collapsed="false">
      <c r="A40" s="2" t="s">
        <v>546</v>
      </c>
      <c r="B40" s="29" t="n">
        <f aca="false">Assumptions!$D$175</f>
        <v>350</v>
      </c>
    </row>
    <row r="41" customFormat="false" ht="15" hidden="false" customHeight="false" outlineLevel="0" collapsed="false">
      <c r="A41" s="2" t="s">
        <v>558</v>
      </c>
      <c r="B41" s="31" t="n">
        <f aca="false">Funnel!$G$6*Assumptions!$D$176</f>
        <v>0.37125</v>
      </c>
    </row>
    <row r="42" customFormat="false" ht="15" hidden="false" customHeight="false" outlineLevel="0" collapsed="false">
      <c r="A42" s="2" t="s">
        <v>559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560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561</v>
      </c>
      <c r="B44" s="43" t="n">
        <f aca="false">Assumptions!$D$173</f>
        <v>14</v>
      </c>
    </row>
    <row r="45" customFormat="false" ht="15" hidden="false" customHeight="false" outlineLevel="0" collapsed="false">
      <c r="A45" s="2" t="s">
        <v>562</v>
      </c>
      <c r="B45" s="43" t="n">
        <f aca="false">Assumptions!$D$177/60*Assumptions!$D$178</f>
        <v>4.75</v>
      </c>
    </row>
    <row r="46" customFormat="false" ht="15" hidden="false" customHeight="false" outlineLevel="0" collapsed="false">
      <c r="A46" s="2" t="s">
        <v>563</v>
      </c>
      <c r="B46" s="41" t="n">
        <f aca="false">Assumptions!$D$179</f>
        <v>400</v>
      </c>
    </row>
    <row r="47" customFormat="false" ht="15" hidden="false" customHeight="false" outlineLevel="0" collapsed="false">
      <c r="A47" s="2" t="s">
        <v>564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565</v>
      </c>
      <c r="B48" s="41" t="n">
        <f aca="false">IF(B43&gt;0,(B47*B38+B46)/B43,0)</f>
        <v>382.972582972583</v>
      </c>
    </row>
    <row r="49" customFormat="false" ht="15" hidden="false" customHeight="false" outlineLevel="0" collapsed="false">
      <c r="A49" s="9" t="str">
        <f aca="false">"Polish supply check: the border regions have ~"&amp;TEXT(Assumptions!$D$124*Assumptions!$D$121,"#,##0")&amp;" maintenance-type workers (Eurostat 2025: "&amp;TEXT(Assumptions!$D$124,"#,##0")&amp;" industry workers × the German BA maintenance share "&amp;TEXT(Assumptions!$D$121,"0.0%")&amp;", applied to Poland as my estimate; an upper bound, since whole regions and all industry staff are counted). The plan needs "&amp;TEXT(B47,"0")&amp;" applications = "&amp;TEXT(B47/(Assumptions!$D$124*Assumptions!$D$121),"0.0%")&amp;" of them, vs the "&amp;TEXT(Assumptions!$D$168,"0.0%")&amp;" response assumed for construction electricians (I2). So the corridor needs a stronger response (German pay is the pull); at I2’s rate it brings ~"&amp;TEXT(Assumptions!$D$124*Assumptions!$D$121*Assumptions!$D$168,"0")&amp;" applications. The 9 Nov test decides; if it fails, the budget rises (slide 7)."</f>
        <v>Polish supply check: the border regions have ~18,525 maintenance-type workers (Eurostat 2025: 237,500 industry workers × the German BA maintenance share 7.8%, applied to Poland as my estimate; an upper bound, since whole regions and all industry staff are counted). The plan needs 346 applications = 1.9% of them, vs the 1.2% response assumed for construction electricians (I2). So the corridor needs a stronger response (German pay is the pull); at I2’s rate it brings ~219 applications. The 9 Nov test decides; if it fails, the budget rises (slide 7).</v>
      </c>
      <c r="B49" s="9"/>
      <c r="C49" s="9"/>
      <c r="D49" s="9"/>
      <c r="E49" s="9"/>
      <c r="F49" s="9"/>
      <c r="G49" s="9"/>
      <c r="H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28" t="s">
        <v>566</v>
      </c>
    </row>
    <row r="52" customFormat="false" ht="60" hidden="false" customHeight="true" outlineLevel="0" collapsed="false">
      <c r="A52" s="12" t="s">
        <v>567</v>
      </c>
      <c r="B52" s="12" t="s">
        <v>568</v>
      </c>
      <c r="C52" s="12" t="s">
        <v>569</v>
      </c>
      <c r="D52" s="12" t="s">
        <v>570</v>
      </c>
      <c r="E52" s="12" t="s">
        <v>571</v>
      </c>
      <c r="F52" s="12" t="s">
        <v>572</v>
      </c>
      <c r="G52" s="12" t="s">
        <v>573</v>
      </c>
      <c r="H52" s="12" t="s">
        <v>574</v>
      </c>
      <c r="I52" s="12" t="s">
        <v>575</v>
      </c>
      <c r="J52" s="12" t="s">
        <v>576</v>
      </c>
      <c r="K52" s="12" t="s">
        <v>577</v>
      </c>
    </row>
    <row r="53" customFormat="false" ht="48" hidden="false" customHeight="true" outlineLevel="0" collapsed="false">
      <c r="A53" s="28" t="s">
        <v>578</v>
      </c>
      <c r="B53" s="13" t="s">
        <v>579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24.5433</v>
      </c>
      <c r="F53" s="2" t="s">
        <v>580</v>
      </c>
      <c r="G53" s="29" t="n">
        <f aca="false">MAX(1,ROUNDDOWN(E53*Assumptions!$D$89,0))</f>
        <v>14</v>
      </c>
      <c r="H53" s="2" t="s">
        <v>581</v>
      </c>
      <c r="I53" s="29" t="n">
        <f aca="false">MIN(G53,MAX(1,ROUNDUP(E53*Assumptions!$D$91,0)))</f>
        <v>8</v>
      </c>
      <c r="J53" s="2" t="s">
        <v>581</v>
      </c>
      <c r="K53" s="13" t="s">
        <v>582</v>
      </c>
    </row>
    <row r="54" customFormat="false" ht="48" hidden="false" customHeight="true" outlineLevel="0" collapsed="false">
      <c r="A54" s="28" t="s">
        <v>583</v>
      </c>
      <c r="B54" s="13" t="s">
        <v>584</v>
      </c>
      <c r="C54" s="30" t="n">
        <f aca="false">(Weekly!$AB$4+Weekly!$AB$5+Weekly!$AB$6*3/7)</f>
        <v>0.440185062789161</v>
      </c>
      <c r="D54" s="41" t="n">
        <f aca="false">B33+SUMIFS(Channels!$X:$X,Channels!$A:$A,"I2-E")*C54</f>
        <v>5563.11434236616</v>
      </c>
      <c r="E54" s="32" t="n">
        <f aca="false">SUMIFS(Channels!$V:$V,Channels!$A:$A,"I2-E")*C54</f>
        <v>12.9854593522802</v>
      </c>
      <c r="F54" s="41" t="n">
        <f aca="false">IF(B28&gt;0,B27/B28,0)</f>
        <v>336</v>
      </c>
      <c r="G54" s="29" t="n">
        <f aca="false">MAX(1,ROUNDDOWN(E54*Assumptions!$D$89,0))</f>
        <v>7</v>
      </c>
      <c r="H54" s="41" t="n">
        <f aca="false">ROUND(F54*Assumptions!$D$90/10,0)*10</f>
        <v>500</v>
      </c>
      <c r="I54" s="29" t="n">
        <f aca="false">MIN(G54,MAX(1,ROUNDUP(E54*Assumptions!$D$91,0)))</f>
        <v>4</v>
      </c>
      <c r="J54" s="41" t="n">
        <f aca="false">MAX(H54,ROUND(F54*Assumptions!$D$92/10,0)*10)</f>
        <v>670</v>
      </c>
      <c r="K54" s="13" t="s">
        <v>585</v>
      </c>
    </row>
    <row r="55" customFormat="false" ht="48" hidden="false" customHeight="true" outlineLevel="0" collapsed="false">
      <c r="A55" s="28" t="s">
        <v>586</v>
      </c>
      <c r="B55" s="13" t="s">
        <v>587</v>
      </c>
      <c r="C55" s="30" t="n">
        <f aca="false">(Weekly!$AC$5+Weekly!$AC$6)</f>
        <v>0.426900584795322</v>
      </c>
      <c r="D55" s="41" t="n">
        <f aca="false">B46+SUMIFS(Channels!$X:$X,Channels!$A:$A,"I3-M")*C55</f>
        <v>3172.08171945014</v>
      </c>
      <c r="E55" s="32" t="n">
        <f aca="false">SUMIFS(Channels!$V:$V,Channels!$A:$A,"I3-M")*C55</f>
        <v>20.6982101718944</v>
      </c>
      <c r="F55" s="41" t="n">
        <f aca="false">IF(B39&gt;0,B38/B39,0)</f>
        <v>133.928571428571</v>
      </c>
      <c r="G55" s="29" t="n">
        <f aca="false">MAX(1,ROUNDDOWN(E55*Assumptions!$D$89,0))</f>
        <v>12</v>
      </c>
      <c r="H55" s="41" t="n">
        <f aca="false">ROUND(F55*Assumptions!$D$90/10,0)*10</f>
        <v>200</v>
      </c>
      <c r="I55" s="29" t="n">
        <f aca="false">MIN(G55,MAX(1,ROUNDUP(E55*Assumptions!$D$91,0)))</f>
        <v>7</v>
      </c>
      <c r="J55" s="41" t="n">
        <f aca="false">MAX(H55,ROUND(F55*Assumptions!$D$92/10,0)*10)</f>
        <v>270</v>
      </c>
      <c r="K55" s="13" t="s">
        <v>588</v>
      </c>
    </row>
    <row r="57" customFormat="false" ht="26.85" hidden="false" customHeight="false" outlineLevel="0" collapsed="false">
      <c r="A57" s="13" t="s">
        <v>589</v>
      </c>
    </row>
  </sheetData>
  <mergeCells count="1">
    <mergeCell ref="A49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590</v>
      </c>
    </row>
    <row r="2" customFormat="false" ht="369.4" hidden="false" customHeight="false" outlineLevel="0" collapsed="false">
      <c r="A2" s="13" t="s">
        <v>591</v>
      </c>
    </row>
    <row r="3" customFormat="false" ht="318.65" hidden="false" customHeight="false" outlineLevel="0" collapsed="false">
      <c r="A3" s="13" t="s">
        <v>592</v>
      </c>
    </row>
    <row r="4" customFormat="false" ht="60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593</v>
      </c>
      <c r="E4" s="12" t="s">
        <v>323</v>
      </c>
      <c r="F4" s="12" t="s">
        <v>594</v>
      </c>
      <c r="G4" s="12" t="s">
        <v>595</v>
      </c>
      <c r="H4" s="12" t="s">
        <v>547</v>
      </c>
      <c r="I4" s="12" t="s">
        <v>326</v>
      </c>
      <c r="J4" s="12" t="s">
        <v>546</v>
      </c>
      <c r="K4" s="12" t="s">
        <v>596</v>
      </c>
      <c r="L4" s="12" t="s">
        <v>449</v>
      </c>
      <c r="M4" s="12" t="s">
        <v>597</v>
      </c>
      <c r="N4" s="12" t="s">
        <v>598</v>
      </c>
      <c r="O4" s="12" t="s">
        <v>599</v>
      </c>
      <c r="P4" s="12" t="s">
        <v>600</v>
      </c>
      <c r="Q4" s="12" t="s">
        <v>601</v>
      </c>
      <c r="R4" s="12" t="s">
        <v>602</v>
      </c>
      <c r="S4" s="12" t="s">
        <v>603</v>
      </c>
      <c r="T4" s="12" t="s">
        <v>604</v>
      </c>
      <c r="U4" s="12" t="s">
        <v>605</v>
      </c>
      <c r="V4" s="12" t="s">
        <v>606</v>
      </c>
      <c r="W4" s="12" t="s">
        <v>607</v>
      </c>
      <c r="X4" s="12" t="s">
        <v>608</v>
      </c>
      <c r="Y4" s="12" t="s">
        <v>609</v>
      </c>
      <c r="Z4" s="12" t="s">
        <v>610</v>
      </c>
      <c r="AA4" s="12" t="s">
        <v>611</v>
      </c>
      <c r="AB4" s="12" t="s">
        <v>612</v>
      </c>
      <c r="AC4" s="12" t="s">
        <v>613</v>
      </c>
      <c r="AD4" s="12" t="s">
        <v>614</v>
      </c>
      <c r="AE4" s="12" t="s">
        <v>615</v>
      </c>
      <c r="AF4" s="12" t="s">
        <v>616</v>
      </c>
      <c r="AG4" s="12" t="s">
        <v>617</v>
      </c>
      <c r="AH4" s="12" t="s">
        <v>618</v>
      </c>
      <c r="AI4" s="12" t="s">
        <v>619</v>
      </c>
    </row>
    <row r="5" customFormat="false" ht="15" hidden="false" customHeight="false" outlineLevel="0" collapsed="false">
      <c r="A5" s="2" t="str">
        <f aca="false">Assumptions!A130</f>
        <v>C01</v>
      </c>
      <c r="B5" s="2" t="str">
        <f aca="false">Assumptions!B130</f>
        <v>Organic (Tesla careers, BA Jobbörse, Google for Jobs)</v>
      </c>
      <c r="C5" s="2" t="str">
        <f aca="false">Assumptions!C130</f>
        <v>Electricians</v>
      </c>
      <c r="D5" s="2" t="s">
        <v>321</v>
      </c>
      <c r="E5" s="2" t="str">
        <f aca="false">Assumptions!D130</f>
        <v>Free</v>
      </c>
      <c r="F5" s="43" t="n">
        <f aca="false">Assumptions!E130</f>
        <v>0</v>
      </c>
      <c r="G5" s="29" t="str">
        <f aca="false">IF(E5="Free","",Assumptions!F130)</f>
        <v/>
      </c>
      <c r="H5" s="43" t="n">
        <f aca="false">MAX(0,IF(OR(E5="CPC",E5="Slot"),IF(N(G5)&gt;0,F5/G5,0),F5))</f>
        <v>0</v>
      </c>
      <c r="I5" s="30" t="n">
        <f aca="false">Assumptions!G130</f>
        <v>0.175</v>
      </c>
      <c r="J5" s="29" t="n">
        <f aca="false">IF(AND(OR(E5="CPC",E5="Slot"),NOT(N(G5)&gt;0)),0,IF(E5="Slot",Assumptions!H130*G5,Assumptions!H130))</f>
        <v>105</v>
      </c>
      <c r="K5" s="32" t="n">
        <f aca="false">J5*I5</f>
        <v>18.375</v>
      </c>
      <c r="L5" s="31" t="n">
        <f aca="false">INDEX(Funnel!$G$5:$G$8,MATCH(C5,Funnel!$A$5:$A$8,0))*M5</f>
        <v>0.315</v>
      </c>
      <c r="M5" s="44" t="n">
        <f aca="false">Assumptions!I130</f>
        <v>1</v>
      </c>
      <c r="N5" s="32" t="n">
        <f aca="false">K5*L5</f>
        <v>5.788125</v>
      </c>
      <c r="O5" s="41" t="n">
        <f aca="false">IF(I5&gt;0,H5/I5,0)</f>
        <v>0</v>
      </c>
      <c r="P5" s="41" t="n">
        <f aca="false">IF(N5&gt;0,(N5/L5/I5*H5+Assumptions!J130)/N5,0)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29.1505850361307</v>
      </c>
      <c r="U5" s="46" t="n">
        <f aca="false">AG5+AI5</f>
        <v>5.788125</v>
      </c>
      <c r="V5" s="32" t="n">
        <f aca="false">IF(L5&gt;0,U5/L5,0)</f>
        <v>18.375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IF(U5&gt;0,Assumptions!J130,0)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5.788125</v>
      </c>
      <c r="AI5" s="32" t="n">
        <f aca="false">MIN(AH5,MAX(0,T5-S5))</f>
        <v>5.788125</v>
      </c>
    </row>
    <row r="6" customFormat="false" ht="15" hidden="false" customHeight="false" outlineLevel="0" collapsed="false">
      <c r="A6" s="2" t="str">
        <f aca="false">Assumptions!A131</f>
        <v>C02</v>
      </c>
      <c r="B6" s="2" t="str">
        <f aca="false">Assumptions!B131</f>
        <v>Organic (Tesla careers, BA Jobbörse, Google for Jobs)</v>
      </c>
      <c r="C6" s="2" t="str">
        <f aca="false">Assumptions!C131</f>
        <v>Mechatronics</v>
      </c>
      <c r="D6" s="2" t="s">
        <v>321</v>
      </c>
      <c r="E6" s="2" t="str">
        <f aca="false">Assumptions!D131</f>
        <v>Free</v>
      </c>
      <c r="F6" s="43" t="n">
        <f aca="false">Assumptions!E131</f>
        <v>0</v>
      </c>
      <c r="G6" s="29" t="str">
        <f aca="false">IF(E6="Free","",Assumptions!F131)</f>
        <v/>
      </c>
      <c r="H6" s="43" t="n">
        <f aca="false">MAX(0,IF(OR(E6="CPC",E6="Slot"),IF(N(G6)&gt;0,F6/G6,0),F6))</f>
        <v>0</v>
      </c>
      <c r="I6" s="30" t="n">
        <f aca="false">Assumptions!G131</f>
        <v>0.175</v>
      </c>
      <c r="J6" s="29" t="n">
        <f aca="false">IF(AND(OR(E6="CPC",E6="Slot"),NOT(N(G6)&gt;0)),0,IF(E6="Slot",Assumptions!H131*G6,Assumptions!H131))</f>
        <v>158</v>
      </c>
      <c r="K6" s="32" t="n">
        <f aca="false">J6*I6</f>
        <v>27.65</v>
      </c>
      <c r="L6" s="31" t="n">
        <f aca="false">INDEX(Funnel!$G$5:$G$8,MATCH(C6,Funnel!$A$5:$A$8,0))*M6</f>
        <v>0.37125</v>
      </c>
      <c r="M6" s="44" t="n">
        <f aca="false">Assumptions!I131</f>
        <v>1</v>
      </c>
      <c r="N6" s="32" t="n">
        <f aca="false">K6*L6</f>
        <v>10.2650625</v>
      </c>
      <c r="O6" s="41" t="n">
        <f aca="false">IF(I6&gt;0,H6/I6,0)</f>
        <v>0</v>
      </c>
      <c r="P6" s="41" t="n">
        <f aca="false">IF(N6&gt;0,(N6/L6/I6*H6+Assumptions!J131)/N6,0)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43.9989037925826</v>
      </c>
      <c r="U6" s="46" t="n">
        <f aca="false">AG6+AI6</f>
        <v>10.2650625</v>
      </c>
      <c r="V6" s="32" t="n">
        <f aca="false">IF(L6&gt;0,U6/L6,0)</f>
        <v>27.65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IF(U6&gt;0,Assumptions!J131,0)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10.2650625</v>
      </c>
      <c r="AI6" s="32" t="n">
        <f aca="false">MIN(AH6,MAX(0,T6-S6))</f>
        <v>10.2650625</v>
      </c>
    </row>
    <row r="7" customFormat="false" ht="15" hidden="false" customHeight="false" outlineLevel="0" collapsed="false">
      <c r="A7" s="2" t="str">
        <f aca="false">Assumptions!A132</f>
        <v>C03</v>
      </c>
      <c r="B7" s="2" t="str">
        <f aca="false">Assumptions!B132</f>
        <v>Organic (Tesla careers, BA Jobbörse, Google for Jobs)</v>
      </c>
      <c r="C7" s="2" t="str">
        <f aca="false">Assumptions!C132</f>
        <v>Automation</v>
      </c>
      <c r="D7" s="2" t="s">
        <v>321</v>
      </c>
      <c r="E7" s="2" t="str">
        <f aca="false">Assumptions!D132</f>
        <v>Free</v>
      </c>
      <c r="F7" s="43" t="n">
        <f aca="false">Assumptions!E132</f>
        <v>0</v>
      </c>
      <c r="G7" s="29" t="str">
        <f aca="false">IF(E7="Free","",Assumptions!F132)</f>
        <v/>
      </c>
      <c r="H7" s="43" t="n">
        <f aca="false">MAX(0,IF(OR(E7="CPC",E7="Slot"),IF(N(G7)&gt;0,F7/G7,0),F7))</f>
        <v>0</v>
      </c>
      <c r="I7" s="30" t="n">
        <f aca="false">Assumptions!G132</f>
        <v>0.175</v>
      </c>
      <c r="J7" s="29" t="n">
        <f aca="false">IF(AND(OR(E7="CPC",E7="Slot"),NOT(N(G7)&gt;0)),0,IF(E7="Slot",Assumptions!H132*G7,Assumptions!H132))</f>
        <v>53</v>
      </c>
      <c r="K7" s="32" t="n">
        <f aca="false">J7*I7</f>
        <v>9.275</v>
      </c>
      <c r="L7" s="31" t="n">
        <f aca="false">INDEX(Funnel!$G$5:$G$8,MATCH(C7,Funnel!$A$5:$A$8,0))*M7</f>
        <v>0.2835</v>
      </c>
      <c r="M7" s="44" t="n">
        <f aca="false">Assumptions!I132</f>
        <v>1</v>
      </c>
      <c r="N7" s="32" t="n">
        <f aca="false">K7*L7</f>
        <v>2.6294625</v>
      </c>
      <c r="O7" s="41" t="n">
        <f aca="false">IF(I7&gt;0,H7/I7,0)</f>
        <v>0</v>
      </c>
      <c r="P7" s="41" t="n">
        <f aca="false">IF(N7&gt;0,(N7/L7/I7*H7+Assumptions!J132)/N7,0)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13.9966398137676</v>
      </c>
      <c r="U7" s="46" t="n">
        <f aca="false">AG7+AI7</f>
        <v>2.6294625</v>
      </c>
      <c r="V7" s="32" t="n">
        <f aca="false">IF(L7&gt;0,U7/L7,0)</f>
        <v>9.275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IF(U7&gt;0,Assumptions!J132,0)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2.6294625</v>
      </c>
      <c r="AI7" s="32" t="n">
        <f aca="false">MIN(AH7,MAX(0,T7-S7))</f>
        <v>2.6294625</v>
      </c>
    </row>
    <row r="8" customFormat="false" ht="15" hidden="false" customHeight="false" outlineLevel="0" collapsed="false">
      <c r="A8" s="2" t="str">
        <f aca="false">Assumptions!A133</f>
        <v>C04</v>
      </c>
      <c r="B8" s="2" t="str">
        <f aca="false">Assumptions!B133</f>
        <v>Organic (Tesla careers, BA Jobbörse, Google for Jobs)</v>
      </c>
      <c r="C8" s="2" t="str">
        <f aca="false">Assumptions!C133</f>
        <v>Supervisors</v>
      </c>
      <c r="D8" s="2" t="s">
        <v>321</v>
      </c>
      <c r="E8" s="2" t="str">
        <f aca="false">Assumptions!D133</f>
        <v>Free</v>
      </c>
      <c r="F8" s="43" t="n">
        <f aca="false">Assumptions!E133</f>
        <v>0</v>
      </c>
      <c r="G8" s="29" t="str">
        <f aca="false">IF(E8="Free","",Assumptions!F133)</f>
        <v/>
      </c>
      <c r="H8" s="43" t="n">
        <f aca="false">MAX(0,IF(OR(E8="CPC",E8="Slot"),IF(N(G8)&gt;0,F8/G8,0),F8))</f>
        <v>0</v>
      </c>
      <c r="I8" s="30" t="n">
        <f aca="false">Assumptions!G133</f>
        <v>0.161</v>
      </c>
      <c r="J8" s="29" t="n">
        <f aca="false">IF(AND(OR(E8="CPC",E8="Slot"),NOT(N(G8)&gt;0)),0,IF(E8="Slot",Assumptions!H133*G8,Assumptions!H133))</f>
        <v>35</v>
      </c>
      <c r="K8" s="32" t="n">
        <f aca="false">J8*I8</f>
        <v>5.635</v>
      </c>
      <c r="L8" s="31" t="n">
        <f aca="false">INDEX(Funnel!$G$5:$G$8,MATCH(C8,Funnel!$A$5:$A$8,0))*M8</f>
        <v>0.238</v>
      </c>
      <c r="M8" s="44" t="n">
        <f aca="false">Assumptions!I133</f>
        <v>1</v>
      </c>
      <c r="N8" s="32" t="n">
        <f aca="false">K8*L8</f>
        <v>1.34113</v>
      </c>
      <c r="O8" s="41" t="n">
        <f aca="false">IF(I8&gt;0,H8/I8,0)</f>
        <v>0</v>
      </c>
      <c r="P8" s="41" t="n">
        <f aca="false">IF(N8&gt;0,(N8/L8/I8*H8+Assumptions!J133)/N8,0)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9.22505909567039</v>
      </c>
      <c r="U8" s="46" t="n">
        <f aca="false">AG8+AI8</f>
        <v>1.34113</v>
      </c>
      <c r="V8" s="32" t="n">
        <f aca="false">IF(L8&gt;0,U8/L8,0)</f>
        <v>5.635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IF(U8&gt;0,Assumptions!J133,0)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1.34113</v>
      </c>
      <c r="AI8" s="32" t="n">
        <f aca="false">MIN(AH8,MAX(0,T8-S8))</f>
        <v>1.34113</v>
      </c>
    </row>
    <row r="9" customFormat="false" ht="15" hidden="false" customHeight="false" outlineLevel="0" collapsed="false">
      <c r="A9" s="2" t="str">
        <f aca="false">Assumptions!A134</f>
        <v>C05</v>
      </c>
      <c r="B9" s="2" t="str">
        <f aca="false">Assumptions!B134</f>
        <v>Programmatic job ads (Joveo: Indeed, Jooble, Talent.com, Kimeta, meinestadt…)</v>
      </c>
      <c r="C9" s="2" t="str">
        <f aca="false">Assumptions!C134</f>
        <v>Electricians</v>
      </c>
      <c r="D9" s="2" t="s">
        <v>321</v>
      </c>
      <c r="E9" s="2" t="str">
        <f aca="false">Assumptions!D134</f>
        <v>CPA</v>
      </c>
      <c r="F9" s="43" t="n">
        <f aca="false">Assumptions!E134</f>
        <v>161</v>
      </c>
      <c r="G9" s="29" t="n">
        <f aca="false">IF(E9="Free","",Assumptions!F134)</f>
        <v>0</v>
      </c>
      <c r="H9" s="43" t="n">
        <f aca="false">MAX(0,IF(OR(E9="CPC",E9="Slot"),IF(N(G9)&gt;0,F9/G9,0),F9))</f>
        <v>161</v>
      </c>
      <c r="I9" s="30" t="n">
        <f aca="false">Assumptions!G134</f>
        <v>0.225</v>
      </c>
      <c r="J9" s="29" t="n">
        <f aca="false">IF(AND(OR(E9="CPC",E9="Slot"),NOT(N(G9)&gt;0)),0,IF(E9="Slot",Assumptions!H134*G9,Assumptions!H134))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Assumptions!I134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IF(N9&gt;0,(N9/L9/I9*H9+Assumptions!J134)/N9,0)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6</v>
      </c>
      <c r="S9" s="32" t="n">
        <f aca="false">SUMPRODUCT(($C$5:$C$34=C9)*($Q$5:$Q$34&lt;Q9)*$AH$5:$AH$34)</f>
        <v>20.5254</v>
      </c>
      <c r="T9" s="32" t="n">
        <f aca="false">INDEX(Funnel!$B$5:$B$8,MATCH(C9,Funnel!$A$5:$A$8,0))-SUMIFS($AG$5:$AG$34,$C$5:$C$34,C9)</f>
        <v>29.1505850361307</v>
      </c>
      <c r="U9" s="46" t="n">
        <f aca="false">AG9+AI9</f>
        <v>8.95534807960894</v>
      </c>
      <c r="V9" s="32" t="n">
        <f aca="false">IF(L9&gt;0,U9/L9,0)</f>
        <v>28.429676443203</v>
      </c>
      <c r="W9" s="29" t="n">
        <f aca="false">IF(I9&gt;0,V9/I9,0)</f>
        <v>126.354117525347</v>
      </c>
      <c r="X9" s="41" t="n">
        <f aca="false">IF(E9="Slot",IF(N(G9)&gt;0,ROUNDUP(W9/G9,0)*MAX(0,F9),0),W9*H9)</f>
        <v>20343.0129215808</v>
      </c>
      <c r="Y9" s="41" t="n">
        <f aca="false">IF(U9&gt;0,Assumptions!J134,0)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20343.0129215808</v>
      </c>
      <c r="AB9" s="41" t="n">
        <f aca="false">IF(U9&gt;0,(X9+Y9)/U9,"–")</f>
        <v>2271.6049382716</v>
      </c>
      <c r="AC9" s="29" t="n">
        <f aca="false">SUMPRODUCT(--($Q$5:$Q$34&lt;Q9))+1</f>
        <v>22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8.62518503613068</v>
      </c>
    </row>
    <row r="10" customFormat="false" ht="15" hidden="false" customHeight="false" outlineLevel="0" collapsed="false">
      <c r="A10" s="2" t="str">
        <f aca="false">Assumptions!A135</f>
        <v>C06</v>
      </c>
      <c r="B10" s="2" t="str">
        <f aca="false">Assumptions!B135</f>
        <v>Programmatic job ads (Joveo: Indeed, Jooble, Talent.com, Kimeta, meinestadt…)</v>
      </c>
      <c r="C10" s="2" t="str">
        <f aca="false">Assumptions!C135</f>
        <v>Mechatronics</v>
      </c>
      <c r="D10" s="2" t="s">
        <v>321</v>
      </c>
      <c r="E10" s="2" t="str">
        <f aca="false">Assumptions!D135</f>
        <v>CPA</v>
      </c>
      <c r="F10" s="43" t="n">
        <f aca="false">Assumptions!E135</f>
        <v>161</v>
      </c>
      <c r="G10" s="29" t="n">
        <f aca="false">IF(E10="Free","",Assumptions!F135)</f>
        <v>0</v>
      </c>
      <c r="H10" s="43" t="n">
        <f aca="false">MAX(0,IF(OR(E10="CPC",E10="Slot"),IF(N(G10)&gt;0,F10/G10,0),F10))</f>
        <v>161</v>
      </c>
      <c r="I10" s="30" t="n">
        <f aca="false">Assumptions!G135</f>
        <v>0.225</v>
      </c>
      <c r="J10" s="29" t="n">
        <f aca="false">IF(AND(OR(E10="CPC",E10="Slot"),NOT(N(G10)&gt;0)),0,IF(E10="Slot",Assumptions!H135*G10,Assumptions!H135))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Assumptions!I135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IF(N10&gt;0,(N10/L10/I10*H10+Assumptions!J135)/N10,0)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6</v>
      </c>
      <c r="S10" s="32" t="n">
        <f aca="false">SUMPRODUCT(($C$5:$C$34=C10)*($Q$5:$Q$34&lt;Q10)*$AH$5:$AH$34)</f>
        <v>37.21181625</v>
      </c>
      <c r="T10" s="32" t="n">
        <f aca="false">INDEX(Funnel!$B$5:$B$8,MATCH(C10,Funnel!$A$5:$A$8,0))-SUMIFS($AG$5:$AG$34,$C$5:$C$34,C10)</f>
        <v>43.9989037925826</v>
      </c>
      <c r="U10" s="46" t="n">
        <f aca="false">AG10+AI10</f>
        <v>7.17620827239625</v>
      </c>
      <c r="V10" s="32" t="n">
        <f aca="false">IF(L10&gt;0,U10/L10,0)</f>
        <v>19.3298539323805</v>
      </c>
      <c r="W10" s="29" t="n">
        <f aca="false">IF(I10&gt;0,V10/I10,0)</f>
        <v>85.9104619216909</v>
      </c>
      <c r="X10" s="41" t="n">
        <f aca="false">IF(E10="Slot",IF(N(G10)&gt;0,ROUNDUP(W10/G10,0)*MAX(0,F10),0),W10*H10)</f>
        <v>13831.5843693922</v>
      </c>
      <c r="Y10" s="41" t="n">
        <f aca="false">IF(U10&gt;0,Assumptions!J135,0)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13831.5843693922</v>
      </c>
      <c r="AB10" s="41" t="n">
        <f aca="false">IF(U10&gt;0,(X10+Y10)/U10,"–")</f>
        <v>1927.42237186682</v>
      </c>
      <c r="AC10" s="29" t="n">
        <f aca="false">SUMPRODUCT(--($Q$5:$Q$34&lt;Q10))+1</f>
        <v>19</v>
      </c>
      <c r="AD10" s="2" t="str">
        <f aca="false">IF(AND(AH10&gt;0,AI10&gt;=AH10*0.999),"Used to capacity",IF(AI10&gt;0,"Marginal (fills the gap)",IF(Z10&gt;0,"Test only (wk 1–2)","Not used")))</f>
        <v>Marginal (fills the gap)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6.78708754258258</v>
      </c>
    </row>
    <row r="11" customFormat="false" ht="15" hidden="false" customHeight="false" outlineLevel="0" collapsed="false">
      <c r="A11" s="2" t="str">
        <f aca="false">Assumptions!A136</f>
        <v>C07</v>
      </c>
      <c r="B11" s="2" t="str">
        <f aca="false">Assumptions!B136</f>
        <v>Programmatic job ads (Joveo: Indeed, Jooble, Talent.com, Kimeta, meinestadt…)</v>
      </c>
      <c r="C11" s="2" t="str">
        <f aca="false">Assumptions!C136</f>
        <v>Automation</v>
      </c>
      <c r="D11" s="2" t="s">
        <v>321</v>
      </c>
      <c r="E11" s="2" t="str">
        <f aca="false">Assumptions!D136</f>
        <v>CPA</v>
      </c>
      <c r="F11" s="43" t="n">
        <f aca="false">Assumptions!E136</f>
        <v>161</v>
      </c>
      <c r="G11" s="29" t="n">
        <f aca="false">IF(E11="Free","",Assumptions!F136)</f>
        <v>0</v>
      </c>
      <c r="H11" s="43" t="n">
        <f aca="false">MAX(0,IF(OR(E11="CPC",E11="Slot"),IF(N(G11)&gt;0,F11/G11,0),F11))</f>
        <v>161</v>
      </c>
      <c r="I11" s="30" t="n">
        <f aca="false">Assumptions!G136</f>
        <v>0.225</v>
      </c>
      <c r="J11" s="29" t="n">
        <f aca="false">IF(AND(OR(E11="CPC",E11="Slot"),NOT(N(G11)&gt;0)),0,IF(E11="Slot",Assumptions!H136*G11,Assumptions!H136))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Assumptions!I136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IF(N11&gt;0,(N11/L11/I11*H11+Assumptions!J136)/N11,0)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16.22518340625</v>
      </c>
      <c r="T11" s="32" t="n">
        <f aca="false">INDEX(Funnel!$B$5:$B$8,MATCH(C11,Funnel!$A$5:$A$8,0))-SUMIFS($AG$5:$AG$34,$C$5:$C$34,C11)</f>
        <v>13.9966398137676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IF(U11&gt;0,Assumptions!J136,0)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Assumptions!A137</f>
        <v>C08</v>
      </c>
      <c r="B12" s="2" t="str">
        <f aca="false">Assumptions!B137</f>
        <v>Programmatic job ads (Joveo: Indeed, Jooble, Talent.com, Kimeta, meinestadt…)</v>
      </c>
      <c r="C12" s="2" t="str">
        <f aca="false">Assumptions!C137</f>
        <v>Supervisors</v>
      </c>
      <c r="D12" s="2" t="s">
        <v>321</v>
      </c>
      <c r="E12" s="2" t="str">
        <f aca="false">Assumptions!D137</f>
        <v>CPA</v>
      </c>
      <c r="F12" s="43" t="n">
        <f aca="false">Assumptions!E137</f>
        <v>161</v>
      </c>
      <c r="G12" s="29" t="n">
        <f aca="false">IF(E12="Free","",Assumptions!F137)</f>
        <v>0</v>
      </c>
      <c r="H12" s="43" t="n">
        <f aca="false">MAX(0,IF(OR(E12="CPC",E12="Slot"),IF(N(G12)&gt;0,F12/G12,0),F12))</f>
        <v>161</v>
      </c>
      <c r="I12" s="30" t="n">
        <f aca="false">Assumptions!G137</f>
        <v>0.207</v>
      </c>
      <c r="J12" s="29" t="n">
        <f aca="false">IF(AND(OR(E12="CPC",E12="Slot"),NOT(N(G12)&gt;0)),0,IF(E12="Slot",Assumptions!H137*G12,Assumptions!H137))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Assumptions!I137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IF(N12&gt;0,(N12/L12/I12*H12+Assumptions!J137)/N12,0)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12.049300375</v>
      </c>
      <c r="T12" s="32" t="n">
        <f aca="false">INDEX(Funnel!$B$5:$B$8,MATCH(C12,Funnel!$A$5:$A$8,0))-SUMIFS($AG$5:$AG$34,$C$5:$C$34,C12)</f>
        <v>9.22505909567039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IF(U12&gt;0,Assumptions!J137,0)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Assumptions!A138</f>
        <v>C09</v>
      </c>
      <c r="B13" s="2" t="str">
        <f aca="false">Assumptions!B138</f>
        <v>StepStone (30-day single ad)</v>
      </c>
      <c r="C13" s="2" t="str">
        <f aca="false">Assumptions!C138</f>
        <v>Electricians</v>
      </c>
      <c r="D13" s="2" t="s">
        <v>321</v>
      </c>
      <c r="E13" s="2" t="str">
        <f aca="false">Assumptions!D138</f>
        <v>Slot</v>
      </c>
      <c r="F13" s="43" t="n">
        <f aca="false">Assumptions!E138</f>
        <v>1449</v>
      </c>
      <c r="G13" s="29" t="n">
        <f aca="false">IF(E13="Free","",Assumptions!F138)</f>
        <v>12</v>
      </c>
      <c r="H13" s="43" t="n">
        <f aca="false">MAX(0,IF(OR(E13="CPC",E13="Slot"),IF(N(G13)&gt;0,F13/G13,0),F13))</f>
        <v>120.75</v>
      </c>
      <c r="I13" s="30" t="n">
        <f aca="false">Assumptions!G138</f>
        <v>0.225</v>
      </c>
      <c r="J13" s="29" t="n">
        <f aca="false">IF(AND(OR(E13="CPC",E13="Slot"),NOT(N(G13)&gt;0)),0,IF(E13="Slot",Assumptions!H138*G13,Assumptions!H138))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Assumptions!I138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IF(N13&gt;0,(N13/L13/I13*H13+Assumptions!J138)/N13,0)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18.8244</v>
      </c>
      <c r="T13" s="32" t="n">
        <f aca="false">INDEX(Funnel!$B$5:$B$8,MATCH(C13,Funnel!$A$5:$A$8,0))-SUMIFS($AG$5:$AG$34,$C$5:$C$34,C13)</f>
        <v>29.1505850361307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IF(U13&gt;0,Assumptions!J138,0)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Assumptions!A139</f>
        <v>C10</v>
      </c>
      <c r="B14" s="2" t="str">
        <f aca="false">Assumptions!B139</f>
        <v>StepStone (30-day single ad)</v>
      </c>
      <c r="C14" s="2" t="str">
        <f aca="false">Assumptions!C139</f>
        <v>Mechatronics</v>
      </c>
      <c r="D14" s="2" t="s">
        <v>321</v>
      </c>
      <c r="E14" s="2" t="str">
        <f aca="false">Assumptions!D139</f>
        <v>Slot</v>
      </c>
      <c r="F14" s="43" t="n">
        <f aca="false">Assumptions!E139</f>
        <v>1449</v>
      </c>
      <c r="G14" s="29" t="n">
        <f aca="false">IF(E14="Free","",Assumptions!F139)</f>
        <v>12</v>
      </c>
      <c r="H14" s="43" t="n">
        <f aca="false">MAX(0,IF(OR(E14="CPC",E14="Slot"),IF(N(G14)&gt;0,F14/G14,0),F14))</f>
        <v>120.75</v>
      </c>
      <c r="I14" s="30" t="n">
        <f aca="false">Assumptions!G139</f>
        <v>0.225</v>
      </c>
      <c r="J14" s="29" t="n">
        <f aca="false">IF(AND(OR(E14="CPC",E14="Slot"),NOT(N(G14)&gt;0)),0,IF(E14="Slot",Assumptions!H139*G14,Assumptions!H139))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Assumptions!I139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IF(N14&gt;0,(N14/L14/I14*H14+Assumptions!J139)/N14,0)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35.20706625</v>
      </c>
      <c r="T14" s="32" t="n">
        <f aca="false">INDEX(Funnel!$B$5:$B$8,MATCH(C14,Funnel!$A$5:$A$8,0))-SUMIFS($AG$5:$AG$34,$C$5:$C$34,C14)</f>
        <v>43.9989037925826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IF(U14&gt;0,Assumptions!J139,0)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Assumptions!A140</f>
        <v>C11</v>
      </c>
      <c r="B15" s="2" t="str">
        <f aca="false">Assumptions!B140</f>
        <v>StepStone (30-day single ad)</v>
      </c>
      <c r="C15" s="2" t="str">
        <f aca="false">Assumptions!C140</f>
        <v>Automation</v>
      </c>
      <c r="D15" s="2" t="s">
        <v>321</v>
      </c>
      <c r="E15" s="2" t="str">
        <f aca="false">Assumptions!D140</f>
        <v>Slot</v>
      </c>
      <c r="F15" s="43" t="n">
        <f aca="false">Assumptions!E140</f>
        <v>1449</v>
      </c>
      <c r="G15" s="29" t="n">
        <f aca="false">IF(E15="Free","",Assumptions!F140)</f>
        <v>12</v>
      </c>
      <c r="H15" s="43" t="n">
        <f aca="false">MAX(0,IF(OR(E15="CPC",E15="Slot"),IF(N(G15)&gt;0,F15/G15,0),F15))</f>
        <v>120.75</v>
      </c>
      <c r="I15" s="30" t="n">
        <f aca="false">Assumptions!G140</f>
        <v>0.225</v>
      </c>
      <c r="J15" s="29" t="n">
        <f aca="false">IF(AND(OR(E15="CPC",E15="Slot"),NOT(N(G15)&gt;0)),0,IF(E15="Slot",Assumptions!H140*G15,Assumptions!H140))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Assumptions!I140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IF(N15&gt;0,(N15/L15/I15*H15+Assumptions!J140)/N15,0)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14.69428340625</v>
      </c>
      <c r="T15" s="32" t="n">
        <f aca="false">INDEX(Funnel!$B$5:$B$8,MATCH(C15,Funnel!$A$5:$A$8,0))-SUMIFS($AG$5:$AG$34,$C$5:$C$34,C15)</f>
        <v>13.9966398137676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IF(U15&gt;0,Assumptions!J140,0)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18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Assumptions!A141</f>
        <v>C12</v>
      </c>
      <c r="B16" s="2" t="str">
        <f aca="false">Assumptions!B141</f>
        <v>StepStone (30-day single ad)</v>
      </c>
      <c r="C16" s="2" t="str">
        <f aca="false">Assumptions!C141</f>
        <v>Supervisors</v>
      </c>
      <c r="D16" s="2" t="s">
        <v>321</v>
      </c>
      <c r="E16" s="2" t="str">
        <f aca="false">Assumptions!D141</f>
        <v>Slot</v>
      </c>
      <c r="F16" s="43" t="n">
        <f aca="false">Assumptions!E141</f>
        <v>1449</v>
      </c>
      <c r="G16" s="29" t="n">
        <f aca="false">IF(E16="Free","",Assumptions!F141)</f>
        <v>12</v>
      </c>
      <c r="H16" s="43" t="n">
        <f aca="false">MAX(0,IF(OR(E16="CPC",E16="Slot"),IF(N(G16)&gt;0,F16/G16,0),F16))</f>
        <v>120.75</v>
      </c>
      <c r="I16" s="30" t="n">
        <f aca="false">Assumptions!G141</f>
        <v>0.207</v>
      </c>
      <c r="J16" s="29" t="n">
        <f aca="false">IF(AND(OR(E16="CPC",E16="Slot"),NOT(N(G16)&gt;0)),0,IF(E16="Slot",Assumptions!H141*G16,Assumptions!H141))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Assumptions!I141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IF(N16&gt;0,(N16/L16/I16*H16+Assumptions!J141)/N16,0)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11.458108375</v>
      </c>
      <c r="T16" s="32" t="n">
        <f aca="false">INDEX(Funnel!$B$5:$B$8,MATCH(C16,Funnel!$A$5:$A$8,0))-SUMIFS($AG$5:$AG$34,$C$5:$C$34,C16)</f>
        <v>9.22505909567039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IF(U16&gt;0,Assumptions!J141,0)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23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Assumptions!A142</f>
        <v>C13</v>
      </c>
      <c r="B17" s="2" t="str">
        <f aca="false">Assumptions!B142</f>
        <v>LinkedIn (promoted jobs + InMail)</v>
      </c>
      <c r="C17" s="2" t="str">
        <f aca="false">Assumptions!C142</f>
        <v>Automation</v>
      </c>
      <c r="D17" s="2" t="s">
        <v>321</v>
      </c>
      <c r="E17" s="2" t="str">
        <f aca="false">Assumptions!D142</f>
        <v>CPA</v>
      </c>
      <c r="F17" s="43" t="n">
        <f aca="false">Assumptions!E142</f>
        <v>96</v>
      </c>
      <c r="G17" s="29" t="n">
        <f aca="false">IF(E17="Free","",Assumptions!F142)</f>
        <v>0</v>
      </c>
      <c r="H17" s="43" t="n">
        <f aca="false">MAX(0,IF(OR(E17="CPC",E17="Slot"),IF(N(G17)&gt;0,F17/G17,0),F17))</f>
        <v>96</v>
      </c>
      <c r="I17" s="30" t="n">
        <f aca="false">Assumptions!G142</f>
        <v>0.225</v>
      </c>
      <c r="J17" s="29" t="n">
        <f aca="false">IF(AND(OR(E17="CPC",E17="Slot"),NOT(N(G17)&gt;0)),0,IF(E17="Slot",Assumptions!H142*G17,Assumptions!H142))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Assumptions!I142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IF(N17&gt;0,(N17/L17/I17*H17+Assumptions!J142)/N17,0)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4.98662325</v>
      </c>
      <c r="T17" s="32" t="n">
        <f aca="false">INDEX(Funnel!$B$5:$B$8,MATCH(C17,Funnel!$A$5:$A$8,0))-SUMIFS($AG$5:$AG$34,$C$5:$C$34,C17)</f>
        <v>13.9966398137676</v>
      </c>
      <c r="U17" s="46" t="n">
        <f aca="false">AG17+AI17</f>
        <v>9.50835640751761</v>
      </c>
      <c r="V17" s="32" t="n">
        <f aca="false">IF(L17&gt;0,U17/L17,0)</f>
        <v>33.5391760406265</v>
      </c>
      <c r="W17" s="29" t="n">
        <f aca="false">IF(I17&gt;0,V17/I17,0)</f>
        <v>149.063004625007</v>
      </c>
      <c r="X17" s="41" t="n">
        <f aca="false">IF(E17="Slot",IF(N(G17)&gt;0,ROUNDUP(W17/G17,0)*MAX(0,F17),0),W17*H17)</f>
        <v>14310.0484440006</v>
      </c>
      <c r="Y17" s="41" t="n">
        <f aca="false">IF(U17&gt;0,Assumptions!J142,0)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14310.0484440006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9.01001656376761</v>
      </c>
    </row>
    <row r="18" customFormat="false" ht="15" hidden="false" customHeight="false" outlineLevel="0" collapsed="false">
      <c r="A18" s="2" t="str">
        <f aca="false">Assumptions!A143</f>
        <v>C14</v>
      </c>
      <c r="B18" s="2" t="str">
        <f aca="false">Assumptions!B143</f>
        <v>LinkedIn (promoted jobs + InMail)</v>
      </c>
      <c r="C18" s="2" t="str">
        <f aca="false">Assumptions!C143</f>
        <v>Supervisors</v>
      </c>
      <c r="D18" s="2" t="s">
        <v>321</v>
      </c>
      <c r="E18" s="2" t="str">
        <f aca="false">Assumptions!D143</f>
        <v>CPA</v>
      </c>
      <c r="F18" s="43" t="n">
        <f aca="false">Assumptions!E143</f>
        <v>96</v>
      </c>
      <c r="G18" s="29" t="n">
        <f aca="false">IF(E18="Free","",Assumptions!F143)</f>
        <v>0</v>
      </c>
      <c r="H18" s="43" t="n">
        <f aca="false">MAX(0,IF(OR(E18="CPC",E18="Slot"),IF(N(G18)&gt;0,F18/G18,0),F18))</f>
        <v>96</v>
      </c>
      <c r="I18" s="30" t="n">
        <f aca="false">Assumptions!G143</f>
        <v>0.207</v>
      </c>
      <c r="J18" s="29" t="n">
        <f aca="false">IF(AND(OR(E18="CPC",E18="Slot"),NOT(N(G18)&gt;0)),0,IF(E18="Slot",Assumptions!H143*G18,Assumptions!H143))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Assumptions!I143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IF(N18&gt;0,(N18/L18/I18*H18+Assumptions!J143)/N18,0)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2.975119</v>
      </c>
      <c r="T18" s="32" t="n">
        <f aca="false">INDEX(Funnel!$B$5:$B$8,MATCH(C18,Funnel!$A$5:$A$8,0))-SUMIFS($AG$5:$AG$34,$C$5:$C$34,C18)</f>
        <v>9.22505909567039</v>
      </c>
      <c r="U18" s="46" t="n">
        <f aca="false">AG18+AI18</f>
        <v>6.63483072067039</v>
      </c>
      <c r="V18" s="32" t="n">
        <f aca="false">IF(L18&gt;0,U18/L18,0)</f>
        <v>27.8774400028168</v>
      </c>
      <c r="W18" s="29" t="n">
        <f aca="false">IF(I18&gt;0,V18/I18,0)</f>
        <v>134.673623202013</v>
      </c>
      <c r="X18" s="41" t="n">
        <f aca="false">IF(E18="Slot",IF(N(G18)&gt;0,ROUNDUP(W18/G18,0)*MAX(0,F18),0),W18*H18)</f>
        <v>12928.6678273933</v>
      </c>
      <c r="Y18" s="41" t="n">
        <f aca="false">IF(U18&gt;0,Assumptions!J143,0)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12928.6678273933</v>
      </c>
      <c r="AB18" s="41" t="n">
        <f aca="false">IF(U18&gt;0,(X18+Y18)/U18,"–")</f>
        <v>1948.60552916819</v>
      </c>
      <c r="AC18" s="29" t="n">
        <f aca="false">SUMPRODUCT(--($Q$5:$Q$34&lt;Q18))+1</f>
        <v>20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6.24994009567039</v>
      </c>
    </row>
    <row r="19" customFormat="false" ht="15" hidden="false" customHeight="false" outlineLevel="0" collapsed="false">
      <c r="A19" s="2" t="str">
        <f aca="false">Assumptions!A144</f>
        <v>C15</v>
      </c>
      <c r="B19" s="2" t="str">
        <f aca="false">Assumptions!B144</f>
        <v>Meta social (FB/IG lead ads, 75 km geo)</v>
      </c>
      <c r="C19" s="2" t="str">
        <f aca="false">Assumptions!C144</f>
        <v>Electricians</v>
      </c>
      <c r="D19" s="2" t="s">
        <v>321</v>
      </c>
      <c r="E19" s="2" t="str">
        <f aca="false">Assumptions!D144</f>
        <v>CPA</v>
      </c>
      <c r="F19" s="43" t="n">
        <f aca="false">Assumptions!E144</f>
        <v>84</v>
      </c>
      <c r="G19" s="29" t="n">
        <f aca="false">IF(E19="Free","",Assumptions!F144)</f>
        <v>0</v>
      </c>
      <c r="H19" s="43" t="n">
        <f aca="false">MAX(0,IF(OR(E19="CPC",E19="Slot"),IF(N(G19)&gt;0,F19/G19,0),F19))</f>
        <v>84</v>
      </c>
      <c r="I19" s="30" t="n">
        <f aca="false">Assumptions!G144</f>
        <v>0.1025</v>
      </c>
      <c r="J19" s="29" t="n">
        <f aca="false">IF(AND(OR(E19="CPC",E19="Slot"),NOT(N(G19)&gt;0)),0,IF(E19="Slot",Assumptions!H144*G19,Assumptions!H144))</f>
        <v>200</v>
      </c>
      <c r="K19" s="32" t="n">
        <f aca="false">J19*I19</f>
        <v>20.5</v>
      </c>
      <c r="L19" s="31" t="n">
        <f aca="false">INDEX(Funnel!$G$5:$G$8,MATCH(C19,Funnel!$A$5:$A$8,0))*M19</f>
        <v>0.315</v>
      </c>
      <c r="M19" s="44" t="n">
        <f aca="false">Assumptions!I144</f>
        <v>1</v>
      </c>
      <c r="N19" s="32" t="n">
        <f aca="false">K19*L19</f>
        <v>6.4575</v>
      </c>
      <c r="O19" s="41" t="n">
        <f aca="false">IF(I19&gt;0,H19/I19,0)</f>
        <v>819.512195121951</v>
      </c>
      <c r="P19" s="41" t="n">
        <f aca="false">IF(N19&gt;0,(N19/L19/I19*H19+Assumptions!J144)/N19,0)</f>
        <v>2601.62601626016</v>
      </c>
      <c r="Q19" s="45" t="n">
        <f aca="false">P19+ROW()/1000000</f>
        <v>2601.62603526016</v>
      </c>
      <c r="R19" s="29" t="n">
        <f aca="false">SUMPRODUCT(($C$5:$C$34=C19)*($Q$5:$Q$34&lt;Q19))+1</f>
        <v>7</v>
      </c>
      <c r="S19" s="32" t="n">
        <f aca="false">SUMPRODUCT(($C$5:$C$34=C19)*($Q$5:$Q$34&lt;Q19)*$AH$5:$AH$34)</f>
        <v>84.6914869565217</v>
      </c>
      <c r="T19" s="32" t="n">
        <f aca="false">INDEX(Funnel!$B$5:$B$8,MATCH(C19,Funnel!$A$5:$A$8,0))-SUMIFS($AG$5:$AG$34,$C$5:$C$34,C19)</f>
        <v>29.1505850361307</v>
      </c>
      <c r="U19" s="46" t="n">
        <f aca="false">AG19+AI19</f>
        <v>0.28828125</v>
      </c>
      <c r="V19" s="32" t="n">
        <f aca="false">IF(L19&gt;0,U19/L19,0)</f>
        <v>0.915178571428571</v>
      </c>
      <c r="W19" s="29" t="n">
        <f aca="false">IF(I19&gt;0,V19/I19,0)</f>
        <v>8.92857142857143</v>
      </c>
      <c r="X19" s="41" t="n">
        <f aca="false">IF(E19="Slot",IF(N(G19)&gt;0,ROUNDUP(W19/G19,0)*MAX(0,F19),0),W19*H19)</f>
        <v>750</v>
      </c>
      <c r="Y19" s="41" t="n">
        <f aca="false">IF(U19&gt;0,Assumptions!J144,0)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750</v>
      </c>
      <c r="AB19" s="41" t="n">
        <f aca="false">IF(U19&gt;0,(X19+Y19)/U19,"–")</f>
        <v>2601.62601626016</v>
      </c>
      <c r="AC19" s="29" t="n">
        <f aca="false">SUMPRODUCT(--($Q$5:$Q$34&lt;Q19))+1</f>
        <v>25</v>
      </c>
      <c r="AD19" s="2" t="str">
        <f aca="false">IF(AND(AH19&gt;0,AI19&gt;=AH19*0.999),"Used to capacity",IF(AI19&gt;0,"Marginal (fills the gap)",IF(Z19&gt;0,"Test only (wk 1–2)","Not used")))</f>
        <v>Test only (wk 1–2)</v>
      </c>
      <c r="AE19" s="32" t="n">
        <f aca="false">IF(H19&gt;0,Z19/H19,0)</f>
        <v>8.92857142857143</v>
      </c>
      <c r="AF19" s="32" t="n">
        <f aca="false">AE19*I19</f>
        <v>0.915178571428571</v>
      </c>
      <c r="AG19" s="32" t="n">
        <f aca="false">AF19*L19</f>
        <v>0.28828125</v>
      </c>
      <c r="AH19" s="32" t="n">
        <f aca="false">MAX(0,N19-AG19)</f>
        <v>6.16921875</v>
      </c>
      <c r="AI19" s="32" t="n">
        <f aca="false">MIN(AH19,MAX(0,T19-S19))</f>
        <v>0</v>
      </c>
    </row>
    <row r="20" customFormat="false" ht="15" hidden="false" customHeight="false" outlineLevel="0" collapsed="false">
      <c r="A20" s="2" t="str">
        <f aca="false">Assumptions!A145</f>
        <v>C16</v>
      </c>
      <c r="B20" s="2" t="str">
        <f aca="false">Assumptions!B145</f>
        <v>Meta social (FB/IG lead ads, 75 km geo)</v>
      </c>
      <c r="C20" s="2" t="str">
        <f aca="false">Assumptions!C145</f>
        <v>Mechatronics</v>
      </c>
      <c r="D20" s="2" t="s">
        <v>321</v>
      </c>
      <c r="E20" s="2" t="str">
        <f aca="false">Assumptions!D145</f>
        <v>CPA</v>
      </c>
      <c r="F20" s="43" t="n">
        <f aca="false">Assumptions!E145</f>
        <v>84</v>
      </c>
      <c r="G20" s="29" t="n">
        <f aca="false">IF(E20="Free","",Assumptions!F145)</f>
        <v>0</v>
      </c>
      <c r="H20" s="43" t="n">
        <f aca="false">MAX(0,IF(OR(E20="CPC",E20="Slot"),IF(N(G20)&gt;0,F20/G20,0),F20))</f>
        <v>84</v>
      </c>
      <c r="I20" s="30" t="n">
        <f aca="false">Assumptions!G145</f>
        <v>0.1025</v>
      </c>
      <c r="J20" s="29" t="n">
        <f aca="false">IF(AND(OR(E20="CPC",E20="Slot"),NOT(N(G20)&gt;0)),0,IF(E20="Slot",Assumptions!H145*G20,Assumptions!H145))</f>
        <v>220</v>
      </c>
      <c r="K20" s="32" t="n">
        <f aca="false">J20*I20</f>
        <v>22.55</v>
      </c>
      <c r="L20" s="31" t="n">
        <f aca="false">INDEX(Funnel!$G$5:$G$8,MATCH(C20,Funnel!$A$5:$A$8,0))*M20</f>
        <v>0.37125</v>
      </c>
      <c r="M20" s="44" t="n">
        <f aca="false">Assumptions!I145</f>
        <v>1</v>
      </c>
      <c r="N20" s="32" t="n">
        <f aca="false">K20*L20</f>
        <v>8.3716875</v>
      </c>
      <c r="O20" s="41" t="n">
        <f aca="false">IF(I20&gt;0,H20/I20,0)</f>
        <v>819.512195121951</v>
      </c>
      <c r="P20" s="41" t="n">
        <f aca="false">IF(N20&gt;0,(N20/L20/I20*H20+Assumptions!J145)/N20,0)</f>
        <v>2207.44025622074</v>
      </c>
      <c r="Q20" s="45" t="n">
        <f aca="false">P20+ROW()/1000000</f>
        <v>2207.44027622074</v>
      </c>
      <c r="R20" s="29" t="n">
        <f aca="false">SUMPRODUCT(($C$5:$C$34=C20)*($Q$5:$Q$34&lt;Q20))+1</f>
        <v>7</v>
      </c>
      <c r="S20" s="32" t="n">
        <f aca="false">SUMPRODUCT(($C$5:$C$34=C20)*($Q$5:$Q$34&lt;Q20)*$AH$5:$AH$34)</f>
        <v>428.584258020186</v>
      </c>
      <c r="T20" s="32" t="n">
        <f aca="false">INDEX(Funnel!$B$5:$B$8,MATCH(C20,Funnel!$A$5:$A$8,0))-SUMIFS($AG$5:$AG$34,$C$5:$C$34,C20)</f>
        <v>43.9989037925826</v>
      </c>
      <c r="U20" s="46" t="n">
        <f aca="false">AG20+AI20</f>
        <v>0.339760044642857</v>
      </c>
      <c r="V20" s="32" t="n">
        <f aca="false">IF(L20&gt;0,U20/L20,0)</f>
        <v>0.915178571428571</v>
      </c>
      <c r="W20" s="29" t="n">
        <f aca="false">IF(I20&gt;0,V20/I20,0)</f>
        <v>8.92857142857143</v>
      </c>
      <c r="X20" s="41" t="n">
        <f aca="false">IF(E20="Slot",IF(N(G20)&gt;0,ROUNDUP(W20/G20,0)*MAX(0,F20),0),W20*H20)</f>
        <v>750</v>
      </c>
      <c r="Y20" s="41" t="n">
        <f aca="false">IF(U20&gt;0,Assumptions!J145,0)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750</v>
      </c>
      <c r="AB20" s="41" t="n">
        <f aca="false">IF(U20&gt;0,(X20+Y20)/U20,"–")</f>
        <v>2207.44025622074</v>
      </c>
      <c r="AC20" s="29" t="n">
        <f aca="false">SUMPRODUCT(--($Q$5:$Q$34&lt;Q20))+1</f>
        <v>21</v>
      </c>
      <c r="AD20" s="2" t="str">
        <f aca="false">IF(AND(AH20&gt;0,AI20&gt;=AH20*0.999),"Used to capacity",IF(AI20&gt;0,"Marginal (fills the gap)",IF(Z20&gt;0,"Test only (wk 1–2)","Not used")))</f>
        <v>Test only (wk 1–2)</v>
      </c>
      <c r="AE20" s="32" t="n">
        <f aca="false">IF(H20&gt;0,Z20/H20,0)</f>
        <v>8.92857142857143</v>
      </c>
      <c r="AF20" s="32" t="n">
        <f aca="false">AE20*I20</f>
        <v>0.915178571428571</v>
      </c>
      <c r="AG20" s="32" t="n">
        <f aca="false">AF20*L20</f>
        <v>0.339760044642857</v>
      </c>
      <c r="AH20" s="32" t="n">
        <f aca="false">MAX(0,N20-AG20)</f>
        <v>8.03192745535714</v>
      </c>
      <c r="AI20" s="32" t="n">
        <f aca="false">MIN(AH20,MAX(0,T20-S20))</f>
        <v>0</v>
      </c>
    </row>
    <row r="21" customFormat="false" ht="15" hidden="false" customHeight="false" outlineLevel="0" collapsed="false">
      <c r="A21" s="2" t="str">
        <f aca="false">Assumptions!A146</f>
        <v>C17</v>
      </c>
      <c r="B21" s="2" t="str">
        <f aca="false">Assumptions!B146</f>
        <v>Google Search ads (job-intent keywords)</v>
      </c>
      <c r="C21" s="2" t="str">
        <f aca="false">Assumptions!C146</f>
        <v>Electricians</v>
      </c>
      <c r="D21" s="2" t="s">
        <v>321</v>
      </c>
      <c r="E21" s="2" t="str">
        <f aca="false">Assumptions!D146</f>
        <v>CPA</v>
      </c>
      <c r="F21" s="43" t="n">
        <f aca="false">Assumptions!E146</f>
        <v>179</v>
      </c>
      <c r="G21" s="29" t="n">
        <f aca="false">IF(E21="Free","",Assumptions!F146)</f>
        <v>0</v>
      </c>
      <c r="H21" s="43" t="n">
        <f aca="false">MAX(0,IF(OR(E21="CPC",E21="Slot"),IF(N(G21)&gt;0,F21/G21,0),F21))</f>
        <v>179</v>
      </c>
      <c r="I21" s="30" t="n">
        <f aca="false">Assumptions!G146</f>
        <v>0.175</v>
      </c>
      <c r="J21" s="29" t="n">
        <f aca="false">IF(AND(OR(E21="CPC",E21="Slot"),NOT(N(G21)&gt;0)),0,IF(E21="Slot",Assumptions!H146*G21,Assumptions!H146))</f>
        <v>340</v>
      </c>
      <c r="K21" s="32" t="n">
        <f aca="false">J21*I21</f>
        <v>59.5</v>
      </c>
      <c r="L21" s="31" t="n">
        <f aca="false">INDEX(Funnel!$G$5:$G$8,MATCH(C21,Funnel!$A$5:$A$8,0))*M21</f>
        <v>0.315</v>
      </c>
      <c r="M21" s="44" t="n">
        <f aca="false">Assumptions!I146</f>
        <v>1</v>
      </c>
      <c r="N21" s="32" t="n">
        <f aca="false">K21*L21</f>
        <v>18.7425</v>
      </c>
      <c r="O21" s="41" t="n">
        <f aca="false">IF(I21&gt;0,H21/I21,0)</f>
        <v>1022.85714285714</v>
      </c>
      <c r="P21" s="41" t="n">
        <f aca="false">IF(N21&gt;0,(N21/L21/I21*H21+Assumptions!J146)/N21,0)</f>
        <v>3247.16553287982</v>
      </c>
      <c r="Q21" s="45" t="n">
        <f aca="false">P21+ROW()/1000000</f>
        <v>3247.16555387982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90.8607057065217</v>
      </c>
      <c r="T21" s="32" t="n">
        <f aca="false">INDEX(Funnel!$B$5:$B$8,MATCH(C21,Funnel!$A$5:$A$8,0))-SUMIFS($AG$5:$AG$34,$C$5:$C$34,C21)</f>
        <v>29.1505850361307</v>
      </c>
      <c r="U21" s="46" t="n">
        <f aca="false">AG21+AI21</f>
        <v>0.230970670391061</v>
      </c>
      <c r="V21" s="32" t="n">
        <f aca="false">IF(L21&gt;0,U21/L21,0)</f>
        <v>0.733240223463687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IF(U21&gt;0,Assumptions!J146,0)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3247.16553287982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0.733240223463687</v>
      </c>
      <c r="AG21" s="32" t="n">
        <f aca="false">AF21*L21</f>
        <v>0.230970670391061</v>
      </c>
      <c r="AH21" s="32" t="n">
        <f aca="false">MAX(0,N21-AG21)</f>
        <v>18.5115293296089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Assumptions!A147</f>
        <v>C18</v>
      </c>
      <c r="B22" s="2" t="str">
        <f aca="false">Assumptions!B147</f>
        <v>Google Search ads (job-intent keywords)</v>
      </c>
      <c r="C22" s="2" t="str">
        <f aca="false">Assumptions!C147</f>
        <v>Mechatronics</v>
      </c>
      <c r="D22" s="2" t="s">
        <v>321</v>
      </c>
      <c r="E22" s="2" t="str">
        <f aca="false">Assumptions!D147</f>
        <v>CPA</v>
      </c>
      <c r="F22" s="43" t="n">
        <f aca="false">Assumptions!E147</f>
        <v>179</v>
      </c>
      <c r="G22" s="29" t="n">
        <f aca="false">IF(E22="Free","",Assumptions!F147)</f>
        <v>0</v>
      </c>
      <c r="H22" s="43" t="n">
        <f aca="false">MAX(0,IF(OR(E22="CPC",E22="Slot"),IF(N(G22)&gt;0,F22/G22,0),F22))</f>
        <v>179</v>
      </c>
      <c r="I22" s="30" t="n">
        <f aca="false">Assumptions!G147</f>
        <v>0.175</v>
      </c>
      <c r="J22" s="29" t="n">
        <f aca="false">IF(AND(OR(E22="CPC",E22="Slot"),NOT(N(G22)&gt;0)),0,IF(E22="Slot",Assumptions!H147*G22,Assumptions!H147))</f>
        <v>1760</v>
      </c>
      <c r="K22" s="32" t="n">
        <f aca="false">J22*I22</f>
        <v>308</v>
      </c>
      <c r="L22" s="31" t="n">
        <f aca="false">INDEX(Funnel!$G$5:$G$8,MATCH(C22,Funnel!$A$5:$A$8,0))*M22</f>
        <v>0.37125</v>
      </c>
      <c r="M22" s="44" t="n">
        <f aca="false">Assumptions!I147</f>
        <v>1</v>
      </c>
      <c r="N22" s="32" t="n">
        <f aca="false">K22*L22</f>
        <v>114.345</v>
      </c>
      <c r="O22" s="41" t="n">
        <f aca="false">IF(I22&gt;0,H22/I22,0)</f>
        <v>1022.85714285714</v>
      </c>
      <c r="P22" s="41" t="n">
        <f aca="false">IF(N22&gt;0,(N22/L22/I22*H22+Assumptions!J147)/N22,0)</f>
        <v>2755.17075517076</v>
      </c>
      <c r="Q22" s="45" t="n">
        <f aca="false">P22+ROW()/1000000</f>
        <v>2755.17077717076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436.616185475544</v>
      </c>
      <c r="T22" s="32" t="n">
        <f aca="false">INDEX(Funnel!$B$5:$B$8,MATCH(C22,Funnel!$A$5:$A$8,0))-SUMIFS($AG$5:$AG$34,$C$5:$C$34,C22)</f>
        <v>43.9989037925826</v>
      </c>
      <c r="U22" s="46" t="n">
        <f aca="false">AG22+AI22</f>
        <v>0.272215432960894</v>
      </c>
      <c r="V22" s="32" t="n">
        <f aca="false">IF(L22&gt;0,U22/L22,0)</f>
        <v>0.733240223463687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IF(U22&gt;0,Assumptions!J147,0)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2755.17075517076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0.733240223463687</v>
      </c>
      <c r="AG22" s="32" t="n">
        <f aca="false">AF22*L22</f>
        <v>0.272215432960894</v>
      </c>
      <c r="AH22" s="32" t="n">
        <f aca="false">MAX(0,N22-AG22)</f>
        <v>114.072784567039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Assumptions!A148</f>
        <v>C19</v>
      </c>
      <c r="B23" s="2" t="str">
        <f aca="false">Assumptions!B148</f>
        <v>Google Search ads (job-intent keywords)</v>
      </c>
      <c r="C23" s="2" t="str">
        <f aca="false">Assumptions!C148</f>
        <v>Automation</v>
      </c>
      <c r="D23" s="2" t="s">
        <v>321</v>
      </c>
      <c r="E23" s="2" t="str">
        <f aca="false">Assumptions!D148</f>
        <v>CPA</v>
      </c>
      <c r="F23" s="43" t="n">
        <f aca="false">Assumptions!E148</f>
        <v>179</v>
      </c>
      <c r="G23" s="29" t="n">
        <f aca="false">IF(E23="Free","",Assumptions!F148)</f>
        <v>0</v>
      </c>
      <c r="H23" s="43" t="n">
        <f aca="false">MAX(0,IF(OR(E23="CPC",E23="Slot"),IF(N(G23)&gt;0,F23/G23,0),F23))</f>
        <v>179</v>
      </c>
      <c r="I23" s="30" t="n">
        <f aca="false">Assumptions!G148</f>
        <v>0.175</v>
      </c>
      <c r="J23" s="29" t="n">
        <f aca="false">IF(AND(OR(E23="CPC",E23="Slot"),NOT(N(G23)&gt;0)),0,IF(E23="Slot",Assumptions!H148*G23,Assumptions!H148))</f>
        <v>140</v>
      </c>
      <c r="K23" s="32" t="n">
        <f aca="false">J23*I23</f>
        <v>24.5</v>
      </c>
      <c r="L23" s="31" t="n">
        <f aca="false">INDEX(Funnel!$G$5:$G$8,MATCH(C23,Funnel!$A$5:$A$8,0))*M23</f>
        <v>0.2835</v>
      </c>
      <c r="M23" s="44" t="n">
        <f aca="false">Assumptions!I148</f>
        <v>1</v>
      </c>
      <c r="N23" s="32" t="n">
        <f aca="false">K23*L23</f>
        <v>6.94575</v>
      </c>
      <c r="O23" s="41" t="n">
        <f aca="false">IF(I23&gt;0,H23/I23,0)</f>
        <v>1022.85714285714</v>
      </c>
      <c r="P23" s="41" t="n">
        <f aca="false">IF(N23&gt;0,(N23/L23/I23*H23+Assumptions!J148)/N23,0)</f>
        <v>3607.9617031998</v>
      </c>
      <c r="Q23" s="45" t="n">
        <f aca="false">P23+ROW()/1000000</f>
        <v>3607.9617261998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40.1672866671196</v>
      </c>
      <c r="T23" s="32" t="n">
        <f aca="false">INDEX(Funnel!$B$5:$B$8,MATCH(C23,Funnel!$A$5:$A$8,0))-SUMIFS($AG$5:$AG$34,$C$5:$C$34,C23)</f>
        <v>13.9966398137676</v>
      </c>
      <c r="U23" s="46" t="n">
        <f aca="false">AG23+AI23</f>
        <v>0.207873603351955</v>
      </c>
      <c r="V23" s="32" t="n">
        <f aca="false">IF(L23&gt;0,U23/L23,0)</f>
        <v>0.733240223463687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IF(U23&gt;0,Assumptions!J148,0)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3607.9617031998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0.733240223463687</v>
      </c>
      <c r="AG23" s="32" t="n">
        <f aca="false">AF23*L23</f>
        <v>0.207873603351955</v>
      </c>
      <c r="AH23" s="32" t="n">
        <f aca="false">MAX(0,N23-AG23)</f>
        <v>6.73787639664804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Assumptions!A149</f>
        <v>C20</v>
      </c>
      <c r="B24" s="2" t="str">
        <f aca="false">Assumptions!B149</f>
        <v>Google Search ads (job-intent keywords)</v>
      </c>
      <c r="C24" s="2" t="str">
        <f aca="false">Assumptions!C149</f>
        <v>Supervisors</v>
      </c>
      <c r="D24" s="2" t="s">
        <v>321</v>
      </c>
      <c r="E24" s="2" t="str">
        <f aca="false">Assumptions!D149</f>
        <v>CPA</v>
      </c>
      <c r="F24" s="43" t="n">
        <f aca="false">Assumptions!E149</f>
        <v>179</v>
      </c>
      <c r="G24" s="29" t="n">
        <f aca="false">IF(E24="Free","",Assumptions!F149)</f>
        <v>0</v>
      </c>
      <c r="H24" s="43" t="n">
        <f aca="false">MAX(0,IF(OR(E24="CPC",E24="Slot"),IF(N(G24)&gt;0,F24/G24,0),F24))</f>
        <v>179</v>
      </c>
      <c r="I24" s="30" t="n">
        <f aca="false">Assumptions!G149</f>
        <v>0.161</v>
      </c>
      <c r="J24" s="29" t="n">
        <f aca="false">IF(AND(OR(E24="CPC",E24="Slot"),NOT(N(G24)&gt;0)),0,IF(E24="Slot",Assumptions!H149*G24,Assumptions!H149))</f>
        <v>160</v>
      </c>
      <c r="K24" s="32" t="n">
        <f aca="false">J24*I24</f>
        <v>25.76</v>
      </c>
      <c r="L24" s="31" t="n">
        <f aca="false">INDEX(Funnel!$G$5:$G$8,MATCH(C24,Funnel!$A$5:$A$8,0))*M24</f>
        <v>0.238</v>
      </c>
      <c r="M24" s="44" t="n">
        <f aca="false">Assumptions!I149</f>
        <v>1</v>
      </c>
      <c r="N24" s="32" t="n">
        <f aca="false">K24*L24</f>
        <v>6.13088</v>
      </c>
      <c r="O24" s="41" t="n">
        <f aca="false">IF(I24&gt;0,H24/I24,0)</f>
        <v>1111.80124223602</v>
      </c>
      <c r="P24" s="41" t="n">
        <f aca="false">IF(N24&gt;0,(N24/L24/I24*H24+Assumptions!J149)/N24,0)</f>
        <v>4671.43379090767</v>
      </c>
      <c r="Q24" s="45" t="n">
        <f aca="false">P24+ROW()/1000000</f>
        <v>4671.43381490767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33.004180375</v>
      </c>
      <c r="T24" s="32" t="n">
        <f aca="false">INDEX(Funnel!$B$5:$B$8,MATCH(C24,Funnel!$A$5:$A$8,0))-SUMIFS($AG$5:$AG$34,$C$5:$C$34,C24)</f>
        <v>9.22505909567039</v>
      </c>
      <c r="U24" s="46" t="n">
        <f aca="false">AG24+AI24</f>
        <v>0.160550279329609</v>
      </c>
      <c r="V24" s="32" t="n">
        <f aca="false">IF(L24&gt;0,U24/L24,0)</f>
        <v>0.674581005586592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IF(U24&gt;0,Assumptions!J149,0)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4671.43379090767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0.674581005586592</v>
      </c>
      <c r="AG24" s="32" t="n">
        <f aca="false">AF24*L24</f>
        <v>0.160550279329609</v>
      </c>
      <c r="AH24" s="32" t="n">
        <f aca="false">MAX(0,N24-AG24)</f>
        <v>5.97032972067039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620</v>
      </c>
      <c r="B25" s="2" t="s">
        <v>621</v>
      </c>
      <c r="C25" s="2" t="s">
        <v>48</v>
      </c>
      <c r="D25" s="2" t="s">
        <v>567</v>
      </c>
      <c r="E25" s="2" t="s">
        <v>339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Assumptions!$D$166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5.788125</v>
      </c>
      <c r="T25" s="32" t="n">
        <f aca="false">INDEX(Funnel!$B$5:$B$8,MATCH(C25,Funnel!$A$5:$A$8,0))-SUMIFS($AG$5:$AG$34,$C$5:$C$34,C25)</f>
        <v>29.1505850361307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622</v>
      </c>
      <c r="B26" s="2" t="s">
        <v>621</v>
      </c>
      <c r="C26" s="2" t="s">
        <v>43</v>
      </c>
      <c r="D26" s="2" t="s">
        <v>567</v>
      </c>
      <c r="E26" s="2" t="s">
        <v>339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Assumptions!$D$166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10.2650625</v>
      </c>
      <c r="T26" s="32" t="n">
        <f aca="false">INDEX(Funnel!$B$5:$B$8,MATCH(C26,Funnel!$A$5:$A$8,0))-SUMIFS($AG$5:$AG$34,$C$5:$C$34,C26)</f>
        <v>43.9989037925826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623</v>
      </c>
      <c r="B27" s="2" t="s">
        <v>621</v>
      </c>
      <c r="C27" s="2" t="s">
        <v>52</v>
      </c>
      <c r="D27" s="2" t="s">
        <v>567</v>
      </c>
      <c r="E27" s="2" t="s">
        <v>339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Assumptions!$D$166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2.6294625</v>
      </c>
      <c r="T27" s="32" t="n">
        <f aca="false">INDEX(Funnel!$B$5:$B$8,MATCH(C27,Funnel!$A$5:$A$8,0))-SUMIFS($AG$5:$AG$34,$C$5:$C$34,C27)</f>
        <v>13.9966398137676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624</v>
      </c>
      <c r="B28" s="2" t="s">
        <v>621</v>
      </c>
      <c r="C28" s="2" t="s">
        <v>54</v>
      </c>
      <c r="D28" s="2" t="s">
        <v>567</v>
      </c>
      <c r="E28" s="2" t="s">
        <v>339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Assumptions!$D$166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1.34113</v>
      </c>
      <c r="T28" s="32" t="n">
        <f aca="false">INDEX(Funnel!$B$5:$B$8,MATCH(C28,Funnel!$A$5:$A$8,0))-SUMIFS($AG$5:$AG$34,$C$5:$C$34,C28)</f>
        <v>9.22505909567039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625</v>
      </c>
      <c r="B29" s="2" t="s">
        <v>626</v>
      </c>
      <c r="C29" s="2" t="s">
        <v>48</v>
      </c>
      <c r="D29" s="2" t="s">
        <v>567</v>
      </c>
      <c r="E29" s="2" t="s">
        <v>339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Assumptions!$D$166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7.2009</v>
      </c>
      <c r="T29" s="32" t="n">
        <f aca="false">INDEX(Funnel!$B$5:$B$8,MATCH(C29,Funnel!$A$5:$A$8,0))-SUMIFS($AG$5:$AG$34,$C$5:$C$34,C29)</f>
        <v>29.1505850361307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627</v>
      </c>
      <c r="B30" s="2" t="s">
        <v>626</v>
      </c>
      <c r="C30" s="2" t="s">
        <v>43</v>
      </c>
      <c r="D30" s="2" t="s">
        <v>567</v>
      </c>
      <c r="E30" s="2" t="s">
        <v>339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Assumptions!$D$166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30.2118975</v>
      </c>
      <c r="T30" s="32" t="n">
        <f aca="false">INDEX(Funnel!$B$5:$B$8,MATCH(C30,Funnel!$A$5:$A$8,0))-SUMIFS($AG$5:$AG$34,$C$5:$C$34,C30)</f>
        <v>43.9989037925826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628</v>
      </c>
      <c r="B31" s="2" t="s">
        <v>626</v>
      </c>
      <c r="C31" s="2" t="s">
        <v>52</v>
      </c>
      <c r="D31" s="2" t="s">
        <v>567</v>
      </c>
      <c r="E31" s="2" t="s">
        <v>339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Assumptions!$D$166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3.3727995</v>
      </c>
      <c r="T31" s="32" t="n">
        <f aca="false">INDEX(Funnel!$B$5:$B$8,MATCH(C31,Funnel!$A$5:$A$8,0))-SUMIFS($AG$5:$AG$34,$C$5:$C$34,C31)</f>
        <v>13.9966398137676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629</v>
      </c>
      <c r="B32" s="2" t="s">
        <v>626</v>
      </c>
      <c r="C32" s="2" t="s">
        <v>54</v>
      </c>
      <c r="D32" s="2" t="s">
        <v>567</v>
      </c>
      <c r="E32" s="2" t="s">
        <v>339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Assumptions!$D$166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1.866634</v>
      </c>
      <c r="T32" s="32" t="n">
        <f aca="false">INDEX(Funnel!$B$5:$B$8,MATCH(C32,Funnel!$A$5:$A$8,0))-SUMIFS($AG$5:$AG$34,$C$5:$C$34,C32)</f>
        <v>9.22505909567039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630</v>
      </c>
      <c r="B33" s="2" t="s">
        <v>631</v>
      </c>
      <c r="C33" s="2" t="s">
        <v>48</v>
      </c>
      <c r="D33" s="2" t="s">
        <v>567</v>
      </c>
      <c r="E33" s="2" t="s">
        <v>339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Assumptions!$D$171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10.46115</v>
      </c>
      <c r="T33" s="32" t="n">
        <f aca="false">INDEX(Funnel!$B$5:$B$8,MATCH(C33,Funnel!$A$5:$A$8,0))-SUMIFS($AG$5:$AG$34,$C$5:$C$34,C33)</f>
        <v>29.1505850361307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632</v>
      </c>
      <c r="B34" s="2" t="s">
        <v>633</v>
      </c>
      <c r="C34" s="2" t="s">
        <v>43</v>
      </c>
      <c r="D34" s="2" t="s">
        <v>567</v>
      </c>
      <c r="E34" s="2" t="s">
        <v>339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Assumptions!$D$176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12.2118975</v>
      </c>
      <c r="T34" s="32" t="n">
        <f aca="false">INDEX(Funnel!$B$5:$B$8,MATCH(C34,Funnel!$A$5:$A$8,0))-SUMIFS($AG$5:$AG$34,$C$5:$C$34,C34)</f>
        <v>43.9989037925826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459</v>
      </c>
      <c r="J35" s="33" t="n">
        <f aca="false">SUM(J5:J34)</f>
        <v>10564.32</v>
      </c>
      <c r="K35" s="35" t="n">
        <f aca="false">SUM(K5:K34)</f>
        <v>2169.059</v>
      </c>
      <c r="N35" s="35" t="n">
        <f aca="false">SUM(N5:N34)</f>
        <v>749.5696905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1494.57524317419</v>
      </c>
      <c r="X35" s="42" t="n">
        <f aca="false">SUM(X5:X34)</f>
        <v>100655.847555873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102255.847555873</v>
      </c>
      <c r="AB35" s="42" t="n">
        <f aca="false">IF(U35&gt;0,(X35+Y35)/U35,0)</f>
        <v>1022.55847555873</v>
      </c>
      <c r="AE35" s="33" t="n">
        <f aca="false">SUM(AE5:AE34)</f>
        <v>68.8754597661265</v>
      </c>
      <c r="AF35" s="35" t="n">
        <f aca="false">SUM(AF5:AF34)</f>
        <v>12.1883544710087</v>
      </c>
      <c r="AG35" s="35" t="n">
        <f aca="false">SUM(AG5:AG34)</f>
        <v>3.62881226184874</v>
      </c>
      <c r="AI35" s="35" t="n">
        <f aca="false">SUM(AI5:AI34)</f>
        <v>96.3711877381513</v>
      </c>
    </row>
    <row r="37" customFormat="false" ht="15" hidden="false" customHeight="false" outlineLevel="0" collapsed="false">
      <c r="A37" s="28" t="s">
        <v>634</v>
      </c>
    </row>
    <row r="38" customFormat="false" ht="64.9" hidden="false" customHeight="false" outlineLevel="0" collapsed="false">
      <c r="A38" s="12"/>
      <c r="B38" s="12" t="s">
        <v>322</v>
      </c>
      <c r="C38" s="12" t="s">
        <v>47</v>
      </c>
      <c r="D38" s="12" t="s">
        <v>635</v>
      </c>
      <c r="E38" s="12" t="s">
        <v>636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637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638</v>
      </c>
      <c r="C4" s="41" t="n">
        <f aca="false">SUMIFS(Channels!X5:X34,Channels!D5:D34,"Channel")</f>
        <v>73209.313562367</v>
      </c>
    </row>
    <row r="5" customFormat="false" ht="15" hidden="false" customHeight="false" outlineLevel="0" collapsed="false">
      <c r="B5" s="2" t="s">
        <v>639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640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641</v>
      </c>
      <c r="C7" s="41" t="n">
        <f aca="false">C4+C5+C6</f>
        <v>102255.847555873</v>
      </c>
    </row>
    <row r="8" customFormat="false" ht="15" hidden="false" customHeight="false" outlineLevel="0" collapsed="false">
      <c r="B8" s="2" t="s">
        <v>642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643</v>
      </c>
      <c r="C9" s="41" t="n">
        <f aca="false">C7</f>
        <v>102255.847555873</v>
      </c>
    </row>
    <row r="10" customFormat="false" ht="15" hidden="false" customHeight="false" outlineLevel="0" collapsed="false">
      <c r="B10" s="2" t="s">
        <v>644</v>
      </c>
      <c r="C10" s="41" t="n">
        <f aca="false">IF(Assumptions!$D$48&lt;1,C9/(1-Assumptions!$D$48)*Assumptions!$D$48,0)</f>
        <v>18045.1495686836</v>
      </c>
    </row>
    <row r="11" customFormat="false" ht="15" hidden="false" customHeight="false" outlineLevel="0" collapsed="false">
      <c r="B11" s="2" t="s">
        <v>645</v>
      </c>
      <c r="C11" s="41" t="n">
        <f aca="false">C9+C10</f>
        <v>120300.997124557</v>
      </c>
    </row>
    <row r="12" customFormat="false" ht="15" hidden="false" customHeight="false" outlineLevel="0" collapsed="false">
      <c r="B12" s="28" t="s">
        <v>646</v>
      </c>
      <c r="C12" s="4" t="n">
        <f aca="false">IF(Assumptions!$D$51&gt;0,ROUNDUP(C11/Assumptions!$D$51,0)*Assumptions!$D$51,C11)</f>
        <v>122500</v>
      </c>
    </row>
    <row r="13" customFormat="false" ht="15" hidden="false" customHeight="false" outlineLevel="0" collapsed="false">
      <c r="B13" s="2" t="s">
        <v>647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648</v>
      </c>
      <c r="C14" s="47" t="n">
        <f aca="false">IF(C13&gt;0,C9/C13,0)</f>
        <v>1022.55847555873</v>
      </c>
    </row>
    <row r="15" customFormat="false" ht="15" hidden="false" customHeight="false" outlineLevel="0" collapsed="false">
      <c r="B15" s="2" t="s">
        <v>649</v>
      </c>
      <c r="C15" s="41" t="n">
        <f aca="false">IF(C13&gt;0,C12/C13,0)</f>
        <v>1225</v>
      </c>
    </row>
    <row r="16" customFormat="false" ht="15" hidden="false" customHeight="false" outlineLevel="0" collapsed="false">
      <c r="B16" s="2" t="s">
        <v>650</v>
      </c>
      <c r="C16" s="30" t="n">
        <f aca="false">IF(C12&gt;0,Weekly!N5/C12,0)</f>
        <v>0.397471746280603</v>
      </c>
    </row>
    <row r="19" customFormat="false" ht="15" hidden="false" customHeight="false" outlineLevel="0" collapsed="false">
      <c r="B19" s="28" t="s">
        <v>651</v>
      </c>
    </row>
    <row r="20" customFormat="false" ht="26.85" hidden="false" customHeight="false" outlineLevel="0" collapsed="false">
      <c r="A20" s="12"/>
      <c r="B20" s="12" t="s">
        <v>322</v>
      </c>
      <c r="C20" s="12" t="s">
        <v>652</v>
      </c>
      <c r="D20" s="12" t="s">
        <v>609</v>
      </c>
      <c r="E20" s="12" t="s">
        <v>653</v>
      </c>
      <c r="F20" s="12" t="s">
        <v>611</v>
      </c>
      <c r="G20" s="12" t="s">
        <v>654</v>
      </c>
      <c r="H20" s="12" t="s">
        <v>655</v>
      </c>
      <c r="I20" s="12" t="s">
        <v>656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37932.7629215808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39132.7629215808</v>
      </c>
      <c r="G21" s="32" t="n">
        <f aca="false">SUMIFS(Channels!$U$5:$U$34,Channels!$C$5:$C$34,B21)</f>
        <v>30</v>
      </c>
      <c r="H21" s="41" t="n">
        <f aca="false">IF(G21&gt;0,F21/G21,0)</f>
        <v>1304.42543071936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29741.0596128987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30141.0596128987</v>
      </c>
      <c r="G22" s="32" t="n">
        <f aca="false">SUMIFS(Channels!$U$5:$U$34,Channels!$C$5:$C$34,B22)</f>
        <v>45</v>
      </c>
      <c r="H22" s="41" t="n">
        <f aca="false">IF(G22&gt;0,F22/G22,0)</f>
        <v>669.801324731083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17435.2721940006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17435.2721940006</v>
      </c>
      <c r="G23" s="32" t="n">
        <f aca="false">SUMIFS(Channels!$U$5:$U$34,Channels!$C$5:$C$34,B23)</f>
        <v>15</v>
      </c>
      <c r="H23" s="41" t="n">
        <f aca="false">IF(G23&gt;0,F23/G23,0)</f>
        <v>1162.35147960004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15546.7528273933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15546.7528273933</v>
      </c>
      <c r="G24" s="32" t="n">
        <f aca="false">SUMIFS(Channels!$U$5:$U$34,Channels!$C$5:$C$34,B24)</f>
        <v>10</v>
      </c>
      <c r="H24" s="41" t="n">
        <f aca="false">IF(G24&gt;0,F24/G24,0)</f>
        <v>1554.67528273933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459</v>
      </c>
      <c r="C25" s="42" t="n">
        <f aca="false">SUM(C21:C24)</f>
        <v>100655.847555873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102255.847555873</v>
      </c>
      <c r="G25" s="35" t="n">
        <f aca="false">SUM(G21:G24)</f>
        <v>100</v>
      </c>
      <c r="H25" s="42" t="n">
        <f aca="false">IF(G25&gt;0,F25/G25,0)</f>
        <v>1022.55847555873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657</v>
      </c>
    </row>
    <row r="28" customFormat="false" ht="26.85" hidden="false" customHeight="false" outlineLevel="0" collapsed="false">
      <c r="A28" s="12"/>
      <c r="B28" s="12" t="s">
        <v>321</v>
      </c>
      <c r="C28" s="12" t="s">
        <v>611</v>
      </c>
      <c r="D28" s="12" t="s">
        <v>654</v>
      </c>
      <c r="E28" s="12" t="s">
        <v>655</v>
      </c>
      <c r="F28" s="12" t="s">
        <v>658</v>
      </c>
    </row>
    <row r="29" customFormat="false" ht="15" hidden="false" customHeight="false" outlineLevel="0" collapsed="false">
      <c r="B29" s="2" t="s">
        <v>331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20.02378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338</v>
      </c>
      <c r="C30" s="41" t="n">
        <f aca="false">SUMIFS(Channels!$AA$5:$AA$34,Channels!$B$5:$B$34,B30)</f>
        <v>35674.597290973</v>
      </c>
      <c r="D30" s="32" t="n">
        <f aca="false">SUMIFS(Channels!$U$5:$U$34,Channels!$B$5:$B$34,B30)</f>
        <v>16.6582030911356</v>
      </c>
      <c r="E30" s="41" t="n">
        <f aca="false">IF(D30&gt;0,C30/D30,"–")</f>
        <v>2141.56335445068</v>
      </c>
      <c r="F30" s="30" t="n">
        <f aca="false">IF($C$9&gt;0,C30/$C$9,0)</f>
        <v>0.348875865230887</v>
      </c>
    </row>
    <row r="31" customFormat="false" ht="15" hidden="false" customHeight="false" outlineLevel="0" collapsed="false">
      <c r="B31" s="2" t="s">
        <v>345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0.0566813550377451</v>
      </c>
    </row>
    <row r="32" customFormat="false" ht="15" hidden="false" customHeight="false" outlineLevel="0" collapsed="false">
      <c r="B32" s="2" t="s">
        <v>352</v>
      </c>
      <c r="C32" s="41" t="n">
        <f aca="false">SUMIFS(Channels!$AA$5:$AA$34,Channels!$B$5:$B$34,B32)</f>
        <v>27238.7162713939</v>
      </c>
      <c r="D32" s="32" t="n">
        <f aca="false">SUMIFS(Channels!$U$5:$U$34,Channels!$B$5:$B$34,B32)</f>
        <v>16.143187128188</v>
      </c>
      <c r="E32" s="41" t="n">
        <f aca="false">IF(D32&gt;0,C32/D32,"–")</f>
        <v>1687.31961384699</v>
      </c>
      <c r="F32" s="30" t="n">
        <f aca="false">IF($C$9&gt;0,C32/$C$9,0)</f>
        <v>0.266378079322167</v>
      </c>
    </row>
    <row r="33" customFormat="false" ht="15" hidden="false" customHeight="false" outlineLevel="0" collapsed="false">
      <c r="B33" s="2" t="s">
        <v>356</v>
      </c>
      <c r="C33" s="41" t="n">
        <f aca="false">SUMIFS(Channels!$AA$5:$AA$34,Channels!$B$5:$B$34,B33)</f>
        <v>1500</v>
      </c>
      <c r="D33" s="32" t="n">
        <f aca="false">SUMIFS(Channels!$U$5:$U$34,Channels!$B$5:$B$34,B33)</f>
        <v>0.628041294642857</v>
      </c>
      <c r="E33" s="41" t="n">
        <f aca="false">IF(D33&gt;0,C33/D33,"–")</f>
        <v>2388.37798214048</v>
      </c>
      <c r="F33" s="30" t="n">
        <f aca="false">IF($C$9&gt;0,C33/$C$9,0)</f>
        <v>0.0146690877426876</v>
      </c>
    </row>
    <row r="34" customFormat="false" ht="15" hidden="false" customHeight="false" outlineLevel="0" collapsed="false">
      <c r="B34" s="2" t="s">
        <v>360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0.87160998603352</v>
      </c>
      <c r="E34" s="41" t="n">
        <f aca="false">IF(D34&gt;0,C34/D34,"–")</f>
        <v>3441.90641235337</v>
      </c>
      <c r="F34" s="30" t="n">
        <f aca="false">IF($C$9&gt;0,C34/$C$9,0)</f>
        <v>0.0293381754853753</v>
      </c>
    </row>
    <row r="35" customFormat="false" ht="15" hidden="false" customHeight="false" outlineLevel="0" collapsed="false">
      <c r="B35" s="2" t="s">
        <v>621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0.000619035502741419</v>
      </c>
    </row>
    <row r="36" customFormat="false" ht="15" hidden="false" customHeight="false" outlineLevel="0" collapsed="false">
      <c r="B36" s="2" t="s">
        <v>626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0.107355498608543</v>
      </c>
    </row>
    <row r="37" customFormat="false" ht="15" hidden="false" customHeight="false" outlineLevel="0" collapsed="false">
      <c r="B37" s="2" t="s">
        <v>631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0.10866860199783</v>
      </c>
    </row>
    <row r="38" customFormat="false" ht="15" hidden="false" customHeight="false" outlineLevel="0" collapsed="false">
      <c r="B38" s="2" t="s">
        <v>633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0.0674143010720225</v>
      </c>
    </row>
    <row r="39" customFormat="false" ht="15" hidden="false" customHeight="false" outlineLevel="0" collapsed="false">
      <c r="B39" s="28" t="s">
        <v>459</v>
      </c>
      <c r="C39" s="42" t="n">
        <f aca="false">SUM(C29:C38)</f>
        <v>102255.847555873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659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660</v>
      </c>
      <c r="C44" s="12" t="s">
        <v>661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662</v>
      </c>
      <c r="I44" s="12" t="s">
        <v>655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122500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1225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85750</v>
      </c>
      <c r="D46" s="32" t="n">
        <f aca="false">Budget!G87</f>
        <v>20.5254</v>
      </c>
      <c r="E46" s="32" t="n">
        <f aca="false">Budget!G88</f>
        <v>43.9800408706604</v>
      </c>
      <c r="F46" s="32" t="n">
        <f aca="false">Budget!G89</f>
        <v>14.4949796575176</v>
      </c>
      <c r="G46" s="32" t="n">
        <f aca="false">Budget!G90</f>
        <v>8.05738580303432</v>
      </c>
      <c r="H46" s="35" t="n">
        <f aca="false">SUM(D46:G46)</f>
        <v>87.0578063312124</v>
      </c>
      <c r="I46" s="41" t="n">
        <f aca="false">IF(H46&gt;0,C46/H46,0)</f>
        <v>984.977724728822</v>
      </c>
    </row>
    <row r="49" customFormat="false" ht="17.35" hidden="false" customHeight="false" outlineLevel="0" collapsed="false">
      <c r="A49" s="1" t="s">
        <v>663</v>
      </c>
    </row>
    <row r="50" customFormat="false" ht="15" hidden="false" customHeight="false" outlineLevel="0" collapsed="false">
      <c r="A50" s="2" t="s">
        <v>664</v>
      </c>
    </row>
    <row r="51" customFormat="false" ht="15" hidden="false" customHeight="false" outlineLevel="0" collapsed="false">
      <c r="E51" s="28" t="s">
        <v>665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661</v>
      </c>
      <c r="F52" s="41" t="n">
        <f aca="false">Budget!$C$12*F51</f>
        <v>122500</v>
      </c>
      <c r="G52" s="41" t="n">
        <f aca="false">Budget!$C$12*G51</f>
        <v>85750</v>
      </c>
    </row>
    <row r="53" customFormat="false" ht="15" hidden="false" customHeight="false" outlineLevel="0" collapsed="false">
      <c r="E53" s="2" t="s">
        <v>666</v>
      </c>
      <c r="F53" s="41" t="n">
        <f aca="false">F52*(1-Assumptions!$D$48)</f>
        <v>104125</v>
      </c>
      <c r="G53" s="41" t="n">
        <f aca="false">G52*(1-Assumptions!$D$48)</f>
        <v>72887.5</v>
      </c>
    </row>
    <row r="54" customFormat="false" ht="15" hidden="false" customHeight="false" outlineLevel="0" collapsed="false">
      <c r="E54" s="2" t="s">
        <v>667</v>
      </c>
      <c r="F54" s="41" t="n">
        <f aca="false">MAX(0,Budget!$C$9-F53)</f>
        <v>0</v>
      </c>
      <c r="G54" s="41" t="n">
        <f aca="false">MAX(0,Budget!$C$9-G53)</f>
        <v>29368.3475558735</v>
      </c>
    </row>
    <row r="55" customFormat="false" ht="39.55" hidden="false" customHeight="false" outlineLevel="0" collapsed="false">
      <c r="A55" s="12" t="s">
        <v>668</v>
      </c>
      <c r="B55" s="12" t="s">
        <v>322</v>
      </c>
      <c r="C55" s="12" t="s">
        <v>669</v>
      </c>
      <c r="D55" s="12" t="s">
        <v>670</v>
      </c>
      <c r="E55" s="12" t="s">
        <v>654</v>
      </c>
      <c r="F55" s="12" t="s">
        <v>671</v>
      </c>
      <c r="G55" s="12" t="s">
        <v>672</v>
      </c>
      <c r="H55" s="12"/>
      <c r="I55" s="12"/>
      <c r="J55" s="12" t="s">
        <v>673</v>
      </c>
      <c r="K55" s="12" t="s">
        <v>674</v>
      </c>
      <c r="L55" s="12"/>
      <c r="M55" s="12"/>
      <c r="N55" s="12" t="s">
        <v>652</v>
      </c>
      <c r="O55" s="12" t="s">
        <v>675</v>
      </c>
      <c r="P55" s="12" t="s">
        <v>676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5.788125</v>
      </c>
      <c r="F56" s="32" t="n">
        <f aca="false">IF(N56&gt;0,E56*MAX(0,N56-MIN(J56,N56))/N56,IF(C56&gt;0,E56*(1-J56/C56),E56))</f>
        <v>5.788125</v>
      </c>
      <c r="G56" s="32" t="n">
        <f aca="false">IF(N56&gt;0,E56*MAX(0,N56-MIN(K56,N56))/N56,IF(C56&gt;0,E56*(1-K56/C56),E56))</f>
        <v>5.788125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18.375</v>
      </c>
      <c r="P56" s="32" t="n">
        <f aca="false">IF(E56&gt;0,G56*Channels!V5/E56,0)</f>
        <v>18.375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10.2650625</v>
      </c>
      <c r="F57" s="32" t="n">
        <f aca="false">IF(N57&gt;0,E57*MAX(0,N57-MIN(J57,N57))/N57,IF(C57&gt;0,E57*(1-J57/C57),E57))</f>
        <v>10.2650625</v>
      </c>
      <c r="G57" s="32" t="n">
        <f aca="false">IF(N57&gt;0,E57*MAX(0,N57-MIN(K57,N57))/N57,IF(C57&gt;0,E57*(1-K57/C57),E57))</f>
        <v>10.2650625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27.65</v>
      </c>
      <c r="P57" s="32" t="n">
        <f aca="false">IF(E57&gt;0,G57*Channels!V6/E57,0)</f>
        <v>27.65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2.6294625</v>
      </c>
      <c r="F58" s="32" t="n">
        <f aca="false">IF(N58&gt;0,E58*MAX(0,N58-MIN(J58,N58))/N58,IF(C58&gt;0,E58*(1-J58/C58),E58))</f>
        <v>2.6294625</v>
      </c>
      <c r="G58" s="32" t="n">
        <f aca="false">IF(N58&gt;0,E58*MAX(0,N58-MIN(K58,N58))/N58,IF(C58&gt;0,E58*(1-K58/C58),E58))</f>
        <v>2.6294625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9.275</v>
      </c>
      <c r="P58" s="32" t="n">
        <f aca="false">IF(E58&gt;0,G58*Channels!V7/E58,0)</f>
        <v>9.275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1.34113</v>
      </c>
      <c r="F59" s="32" t="n">
        <f aca="false">IF(N59&gt;0,E59*MAX(0,N59-MIN(J59,N59))/N59,IF(C59&gt;0,E59*(1-J59/C59),E59))</f>
        <v>1.34113</v>
      </c>
      <c r="G59" s="32" t="n">
        <f aca="false">IF(N59&gt;0,E59*MAX(0,N59-MIN(K59,N59))/N59,IF(C59&gt;0,E59*(1-K59/C59),E59))</f>
        <v>1.34113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5.635</v>
      </c>
      <c r="P59" s="32" t="n">
        <f aca="false">IF(E59&gt;0,G59*Channels!V8/E59,0)</f>
        <v>5.635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20343.0129215808</v>
      </c>
      <c r="D60" s="45" t="n">
        <f aca="false">IF(ISNUMBER(Channels!AB9),Channels!AB9,0)+ROW()/1000000</f>
        <v>2271.6049982716</v>
      </c>
      <c r="E60" s="32" t="n">
        <f aca="false">Channels!U9</f>
        <v>8.95534807960894</v>
      </c>
      <c r="F60" s="32" t="n">
        <f aca="false">IF(N60&gt;0,E60*MAX(0,N60-MIN(J60,N60))/N60,IF(C60&gt;0,E60*(1-J60/C60),E60))</f>
        <v>8.95534807960894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20343.0129215808</v>
      </c>
      <c r="N60" s="41" t="n">
        <f aca="false">Channels!X9</f>
        <v>20343.0129215808</v>
      </c>
      <c r="O60" s="32" t="n">
        <f aca="false">IF(E60&gt;0,F60*Channels!V9/E60,0)</f>
        <v>28.429676443203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13831.5843693922</v>
      </c>
      <c r="D61" s="45" t="n">
        <f aca="false">IF(ISNUMBER(Channels!AB10),Channels!AB10,0)+ROW()/1000000</f>
        <v>1927.42243286682</v>
      </c>
      <c r="E61" s="32" t="n">
        <f aca="false">Channels!U10</f>
        <v>7.17620827239625</v>
      </c>
      <c r="F61" s="32" t="n">
        <f aca="false">IF(N61&gt;0,E61*MAX(0,N61-MIN(J61,N61))/N61,IF(C61&gt;0,E61*(1-J61/C61),E61))</f>
        <v>7.17620827239625</v>
      </c>
      <c r="G61" s="32" t="n">
        <f aca="false">IF(N61&gt;0,E61*MAX(0,N61-MIN(K61,N61))/N61,IF(C61&gt;0,E61*(1-K61/C61),E61))</f>
        <v>7.17620827239625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13831.5843693922</v>
      </c>
      <c r="O61" s="32" t="n">
        <f aca="false">IF(E61&gt;0,F61*Channels!V10/E61,0)</f>
        <v>19.3298539323805</v>
      </c>
      <c r="P61" s="32" t="n">
        <f aca="false">IF(E61&gt;0,G61*Channels!V10/E61,0)</f>
        <v>19.3298539323805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14310.0484440006</v>
      </c>
      <c r="D68" s="45" t="n">
        <f aca="false">IF(ISNUMBER(Channels!AB17),Channels!AB17,0)+ROW()/1000000</f>
        <v>1504.99712855262</v>
      </c>
      <c r="E68" s="32" t="n">
        <f aca="false">Channels!U17</f>
        <v>9.50835640751761</v>
      </c>
      <c r="F68" s="32" t="n">
        <f aca="false">IF(N68&gt;0,E68*MAX(0,N68-MIN(J68,N68))/N68,IF(C68&gt;0,E68*(1-J68/C68),E68))</f>
        <v>9.50835640751761</v>
      </c>
      <c r="G68" s="32" t="n">
        <f aca="false">IF(N68&gt;0,E68*MAX(0,N68-MIN(K68,N68))/N68,IF(C68&gt;0,E68*(1-K68/C68),E68))</f>
        <v>9.50835640751761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14310.0484440006</v>
      </c>
      <c r="O68" s="32" t="n">
        <f aca="false">IF(E68&gt;0,F68*Channels!V17/E68,0)</f>
        <v>33.5391760406265</v>
      </c>
      <c r="P68" s="32" t="n">
        <f aca="false">IF(E68&gt;0,G68*Channels!V17/E68,0)</f>
        <v>33.5391760406265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12928.6678273933</v>
      </c>
      <c r="D69" s="45" t="n">
        <f aca="false">IF(ISNUMBER(Channels!AB18),Channels!AB18,0)+ROW()/1000000</f>
        <v>1948.60559816819</v>
      </c>
      <c r="E69" s="32" t="n">
        <f aca="false">Channels!U18</f>
        <v>6.63483072067039</v>
      </c>
      <c r="F69" s="32" t="n">
        <f aca="false">IF(N69&gt;0,E69*MAX(0,N69-MIN(J69,N69))/N69,IF(C69&gt;0,E69*(1-J69/C69),E69))</f>
        <v>6.63483072067039</v>
      </c>
      <c r="G69" s="32" t="n">
        <f aca="false">IF(N69&gt;0,E69*MAX(0,N69-MIN(K69,N69))/N69,IF(C69&gt;0,E69*(1-K69/C69),E69))</f>
        <v>5.08226680303432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3025.33463429267</v>
      </c>
      <c r="N69" s="41" t="n">
        <f aca="false">Channels!X18</f>
        <v>12928.6678273933</v>
      </c>
      <c r="O69" s="32" t="n">
        <f aca="false">IF(E69&gt;0,F69*Channels!V18/E69,0)</f>
        <v>27.8774400028168</v>
      </c>
      <c r="P69" s="32" t="n">
        <f aca="false">IF(E69&gt;0,G69*Channels!V18/E69,0)</f>
        <v>21.3540621976232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750</v>
      </c>
      <c r="D70" s="45" t="n">
        <f aca="false">IF(ISNUMBER(Channels!AB19),Channels!AB19,0)+ROW()/1000000</f>
        <v>2601.62608626016</v>
      </c>
      <c r="E70" s="32" t="n">
        <f aca="false">Channels!U19</f>
        <v>0.28828125</v>
      </c>
      <c r="F70" s="32" t="n">
        <f aca="false">IF(N70&gt;0,E70*MAX(0,N70-MIN(J70,N70))/N70,IF(C70&gt;0,E70*(1-J70/C70),E70))</f>
        <v>0.28828125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750</v>
      </c>
      <c r="N70" s="41" t="n">
        <f aca="false">Channels!X19</f>
        <v>750</v>
      </c>
      <c r="O70" s="32" t="n">
        <f aca="false">IF(E70&gt;0,F70*Channels!V19/E70,0)</f>
        <v>0.915178571428571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750</v>
      </c>
      <c r="D71" s="45" t="n">
        <f aca="false">IF(ISNUMBER(Channels!AB20),Channels!AB20,0)+ROW()/1000000</f>
        <v>2207.44032722074</v>
      </c>
      <c r="E71" s="32" t="n">
        <f aca="false">Channels!U20</f>
        <v>0.339760044642857</v>
      </c>
      <c r="F71" s="32" t="n">
        <f aca="false">IF(N71&gt;0,E71*MAX(0,N71-MIN(J71,N71))/N71,IF(C71&gt;0,E71*(1-J71/C71),E71))</f>
        <v>0.339760044642857</v>
      </c>
      <c r="G71" s="32" t="n">
        <f aca="false">IF(N71&gt;0,E71*MAX(0,N71-MIN(K71,N71))/N71,IF(C71&gt;0,E71*(1-K71/C71),E71))</f>
        <v>0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750</v>
      </c>
      <c r="N71" s="41" t="n">
        <f aca="false">Channels!X20</f>
        <v>750</v>
      </c>
      <c r="O71" s="32" t="n">
        <f aca="false">IF(E71&gt;0,F71*Channels!V20/E71,0)</f>
        <v>0.915178571428571</v>
      </c>
      <c r="P71" s="32" t="n">
        <f aca="false">IF(E71&gt;0,G71*Channels!V20/E71,0)</f>
        <v>0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3247.16560487982</v>
      </c>
      <c r="E72" s="32" t="n">
        <f aca="false">Channels!U21</f>
        <v>0.230970670391061</v>
      </c>
      <c r="F72" s="32" t="n">
        <f aca="false">IF(N72&gt;0,E72*MAX(0,N72-MIN(J72,N72))/N72,IF(C72&gt;0,E72*(1-J72/C72),E72))</f>
        <v>0.230970670391061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0.733240223463687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2755.17082817076</v>
      </c>
      <c r="E73" s="32" t="n">
        <f aca="false">Channels!U22</f>
        <v>0.272215432960894</v>
      </c>
      <c r="F73" s="32" t="n">
        <f aca="false">IF(N73&gt;0,E73*MAX(0,N73-MIN(J73,N73))/N73,IF(C73&gt;0,E73*(1-J73/C73),E73))</f>
        <v>0.272215432960894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0.733240223463687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3607.9617771998</v>
      </c>
      <c r="E74" s="32" t="n">
        <f aca="false">Channels!U23</f>
        <v>0.207873603351955</v>
      </c>
      <c r="F74" s="32" t="n">
        <f aca="false">IF(N74&gt;0,E74*MAX(0,N74-MIN(J74,N74))/N74,IF(C74&gt;0,E74*(1-J74/C74),E74))</f>
        <v>0.207873603351955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0.733240223463687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4671.43386590767</v>
      </c>
      <c r="E75" s="32" t="n">
        <f aca="false">Channels!U24</f>
        <v>0.160550279329609</v>
      </c>
      <c r="F75" s="32" t="n">
        <f aca="false">IF(N75&gt;0,E75*MAX(0,N75-MIN(J75,N75))/N75,IF(C75&gt;0,E75*(1-J75/C75),E75))</f>
        <v>0.160550279329609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0.674581005586592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IF(Assumptions!$D$10&gt;=1,IF(N85&gt;0,E85*MAX(0,N85-MIN(J85,N85))/N85,IF(C85&gt;0,E85*(1-J85/C85),E85)),MIN(IF(N85&gt;0,E85*MAX(0,N85-MIN(J85,N85))/N85,IF(C85&gt;0,E85*(1-J85/C85),E85)),Assumptions!$D$10/(1-Assumptions!$D$10)*SUMIFS(F$56:F$84,$B$56:$B$84,"Mechatronics")))</f>
        <v>18</v>
      </c>
      <c r="G85" s="32" t="n">
        <f aca="false">IF(Assumptions!$D$10&gt;=1,IF(N85&gt;0,E85*MAX(0,N85-MIN(K85,N85))/N85,IF(C85&gt;0,E85*(1-K85/C85),E85)),MIN(IF(N85&gt;0,E85*MAX(0,N85-MIN(K85,N85))/N85,IF(C85&gt;0,E85*(1-K85/C85),E85)),Assumptions!$D$10/(1-Assumptions!$D$10)*SUMIFS(G$56:G$84,$B$56:$B$84,"Mechatronics")))</f>
        <v>17.5920163482642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47.385902621587</v>
      </c>
    </row>
    <row r="86" customFormat="false" ht="15" hidden="false" customHeight="false" outlineLevel="0" collapsed="false">
      <c r="E86" s="28" t="s">
        <v>677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20.5254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43.9800408706604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14.4949796575176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8.05738580303432</v>
      </c>
    </row>
    <row r="91" customFormat="false" ht="15" hidden="false" customHeight="false" outlineLevel="0" collapsed="false">
      <c r="E91" s="28" t="s">
        <v>459</v>
      </c>
      <c r="F91" s="35" t="n">
        <f aca="false">SUM(F87:F90)</f>
        <v>100</v>
      </c>
      <c r="G91" s="35" t="n">
        <f aca="false">SUM(G87:G90)</f>
        <v>87.0578063312124</v>
      </c>
    </row>
    <row r="92" customFormat="false" ht="15" hidden="false" customHeight="false" outlineLevel="0" collapsed="false">
      <c r="E92" s="2" t="s">
        <v>655</v>
      </c>
      <c r="F92" s="41" t="n">
        <f aca="false">IF(F91&gt;0,F52/F91,0)</f>
        <v>1225</v>
      </c>
      <c r="G92" s="41" t="n">
        <f aca="false">IF(G91&gt;0,G52/G91,0)</f>
        <v>984.977724728822</v>
      </c>
    </row>
    <row r="94" customFormat="false" ht="15" hidden="false" customHeight="false" outlineLevel="0" collapsed="false">
      <c r="E94" s="2" t="s">
        <v>678</v>
      </c>
      <c r="F94" s="32" t="n">
        <f aca="false">SUM(O56:O85)</f>
        <v>307.973076082958</v>
      </c>
      <c r="G94" s="32" t="n">
        <f aca="false">SUM(P56:P85)</f>
        <v>265.203994792217</v>
      </c>
    </row>
    <row r="95" customFormat="false" ht="15" hidden="false" customHeight="false" outlineLevel="0" collapsed="false">
      <c r="E95" s="2" t="s">
        <v>679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G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681</v>
      </c>
    </row>
    <row r="2" customFormat="false" ht="344" hidden="false" customHeight="false" outlineLevel="0" collapsed="false">
      <c r="A2" s="13" t="s">
        <v>682</v>
      </c>
    </row>
    <row r="3" customFormat="false" ht="45" hidden="false" customHeight="true" outlineLevel="0" collapsed="false">
      <c r="A3" s="12" t="s">
        <v>683</v>
      </c>
      <c r="B3" s="12" t="s">
        <v>684</v>
      </c>
      <c r="C3" s="12" t="s">
        <v>685</v>
      </c>
      <c r="D3" s="12" t="s">
        <v>686</v>
      </c>
      <c r="E3" s="12" t="s">
        <v>687</v>
      </c>
      <c r="F3" s="12" t="s">
        <v>688</v>
      </c>
      <c r="G3" s="12" t="s">
        <v>689</v>
      </c>
      <c r="H3" s="12" t="s">
        <v>690</v>
      </c>
      <c r="I3" s="12" t="s">
        <v>691</v>
      </c>
      <c r="J3" s="12" t="s">
        <v>692</v>
      </c>
      <c r="K3" s="12" t="s">
        <v>693</v>
      </c>
      <c r="L3" s="12" t="s">
        <v>694</v>
      </c>
      <c r="M3" s="12" t="s">
        <v>695</v>
      </c>
      <c r="N3" s="12" t="s">
        <v>696</v>
      </c>
      <c r="O3" s="12" t="s">
        <v>697</v>
      </c>
      <c r="P3" s="12" t="s">
        <v>698</v>
      </c>
      <c r="Q3" s="12" t="s">
        <v>699</v>
      </c>
      <c r="R3" s="12" t="s">
        <v>700</v>
      </c>
      <c r="S3" s="12" t="s">
        <v>701</v>
      </c>
      <c r="T3" s="12" t="s">
        <v>702</v>
      </c>
      <c r="U3" s="12" t="s">
        <v>703</v>
      </c>
      <c r="V3" s="12" t="s">
        <v>704</v>
      </c>
      <c r="W3" s="12" t="s">
        <v>705</v>
      </c>
      <c r="X3" s="12" t="s">
        <v>706</v>
      </c>
      <c r="Y3" s="12" t="s">
        <v>707</v>
      </c>
      <c r="Z3" s="49" t="s">
        <v>708</v>
      </c>
      <c r="AA3" s="49" t="s">
        <v>709</v>
      </c>
      <c r="AB3" s="49" t="s">
        <v>710</v>
      </c>
      <c r="AC3" s="49" t="s">
        <v>711</v>
      </c>
      <c r="AD3" s="49" t="s">
        <v>712</v>
      </c>
      <c r="AE3" s="49" t="s">
        <v>713</v>
      </c>
      <c r="AF3" s="49" t="s">
        <v>714</v>
      </c>
      <c r="AG3" s="49" t="s">
        <v>715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0.316</v>
      </c>
      <c r="E4" s="30" t="n">
        <f aca="false">IF(SUM($AA$4:$AA$14)&gt;0,AA4/SUM($AA$4:$AA$14),0)</f>
        <v>0.392129055132069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($F$19-$L$19-$L$23)*D4+$L$19*AB4+$L$23*AC4+$F$20*E4+$F$31*Y4</f>
        <v>21493.923944841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32489.923944841</v>
      </c>
      <c r="N4" s="41" t="n">
        <f aca="false">SUM($M$4:M4)</f>
        <v>32489.923944841</v>
      </c>
      <c r="O4" s="29" t="n">
        <f aca="false">(Funnel!$M$5+Funnel!$M$6+Funnel!$M$7-$F$27-$F$34-$L$20-$L$24)*D4+$L$20*AB4+$L$24*AC4+(Funnel!$M$8-$F$28-$F$35)*E4+($F$27+$F$28)*X4+($F$34+$F$35)*Y4</f>
        <v>376.189537902275</v>
      </c>
      <c r="P4" s="29" t="n">
        <f aca="false">(Funnel!$O$5+Funnel!$O$6+Funnel!$O$7-$F$25-$F$32-$L$21-$L$25)*D4+$L$21*AB4+$L$25*AC4+(Funnel!$O$8-$F$26-$F$33)*E4+($F$25+$F$26)*X4+($F$32+$F$33)*Y4</f>
        <v>86.1932888080734</v>
      </c>
      <c r="Q4" s="29" t="n">
        <f aca="false">Assumptions!$D$9*MAX(0,MIN(C4+Assumptions!$D$21,Funnel!$B$17)-MAX(IF(A4=1,Funnel!$B$13,B4+Assumptions!$D$21),Funnel!$B$13)+1)/7</f>
        <v>86.4285714285714</v>
      </c>
      <c r="R4" s="30" t="n">
        <f aca="false">IF(Q4&gt;0,P4/Q4,IF(P4&gt;0,9.99,0))</f>
        <v>0.997277721746304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$36-$L$22-$L$26)+IF(A4-ROUNDUP(Funnel!$B$15/7,0)&gt;=1,INDEX($X$4:$X$14,A4-ROUNDUP(Funnel!$B$15/7,0))*$F$29+INDEX($Y$4:$Y$14,A4-ROUNDUP(Funnel!$B$15/7,0))*$F$36+INDEX($AB$4:$AB$14,A4-ROUNDUP(Funnel!$B$15/7,0))*$L$22+INDEX($AC$4:$AC$14,A4-ROUNDUP(Funnel!$B$15/7,0))*$L$26,0)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0.316</v>
      </c>
      <c r="AA4" s="30" t="n">
        <f aca="false">D4*IF(MAX(0,MIN(C4,Funnel!$B$19)-B4+1)&gt;0,MAX(0,MIN(C4,Funnel!$B$20)-B4+1)/MAX(0,MIN(C4,Funnel!$B$19)-B4+1),0)</f>
        <v>0.316</v>
      </c>
      <c r="AB4" s="30" t="n">
        <f aca="false">IF(SUM($AD$4:$AD$14)&gt;0,AD4/SUM($AD$4:$AD$14),IF(SUM($AF$4:$AF$14)&gt;0,AF4/SUM($AF$4:$AF$14),0))</f>
        <v>0.208856576338401</v>
      </c>
      <c r="AC4" s="30" t="n">
        <f aca="false">IF(SUM($AE$4:$AE$14)&gt;0,AE4/SUM($AE$4:$AE$14),IF(SUM($AG$4:$AG$14)&gt;0,AG4/SUM($AG$4:$AG$14),0))</f>
        <v>0</v>
      </c>
      <c r="AD4" s="30" t="n">
        <f aca="false">D4*IF(MAX(0,MIN(C4,Funnel!$B$19)-B4+1)&gt;0,MAX(0,MIN(C4,Funnel!$B$19)-MAX(B4,Assumptions!$D$7+Assumptions!$D$180)+1)/MAX(0,MIN(C4,Funnel!$B$19)-B4+1),0)</f>
        <v>0.180571428571429</v>
      </c>
      <c r="AE4" s="30" t="n">
        <f aca="false">D4*IF(MAX(0,MIN(C4,Funnel!$B$19)-B4+1)&gt;0,MAX(0,MIN(C4,Funnel!$B$19)-MAX(B4,Assumptions!$D$7+Assumptions!$D$181)+1)/MAX(0,MIN(C4,Funnel!$B$19)-B4+1),0)</f>
        <v>0</v>
      </c>
      <c r="AF4" s="29" t="n">
        <f aca="false">MAX(0,MIN(C4,Funnel!$B$19)-MAX(B4,Assumptions!$D$7+Assumptions!$D$180)+1)</f>
        <v>4</v>
      </c>
      <c r="AG4" s="29" t="n">
        <f aca="false">MAX(0,MIN(C4,Funnel!$B$19)-MAX(B4,Assumptions!$D$7+Assumptions!$D$181)+1)</f>
        <v>0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0.131</v>
      </c>
      <c r="E5" s="30" t="n">
        <f aca="false">IF(SUM($AA$4:$AA$14)&gt;0,AA5/SUM($AA$4:$AA$14),0)</f>
        <v>0.162559829817408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($F$19-$L$19-$L$23)*D5+$L$19*AB5+$L$23*AC5+$F$20*E5+$F$31*Y5</f>
        <v>10800.3649745329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16200.3649745329</v>
      </c>
      <c r="N5" s="47" t="n">
        <f aca="false">SUM($M$4:M5)</f>
        <v>48690.2889193739</v>
      </c>
      <c r="O5" s="29" t="n">
        <f aca="false">(Funnel!$M$5+Funnel!$M$6+Funnel!$M$7-$F$27-$F$34-$L$20-$L$24)*D5+$L$20*AB5+$L$24*AC5+(Funnel!$M$8-$F$28-$F$35)*E5+($F$27+$F$28)*X5+($F$34+$F$35)*Y5</f>
        <v>260.891023555101</v>
      </c>
      <c r="P5" s="29" t="n">
        <f aca="false">(Funnel!$O$5+Funnel!$O$6+Funnel!$O$7-$F$25-$F$32-$L$21-$L$25)*D5+$L$21*AB5+$L$25*AC5+(Funnel!$O$8-$F$26-$F$33)*E5+($F$25+$F$26)*X5+($F$32+$F$33)*Y5</f>
        <v>52.7478476582212</v>
      </c>
      <c r="Q5" s="29" t="n">
        <f aca="false">Assumptions!$D$9*MAX(0,MIN(C5+Assumptions!$D$21,Funnel!$B$17)-MAX(IF(A5=1,Funnel!$B$13,B5+Assumptions!$D$21),Funnel!$B$13)+1)/7</f>
        <v>55</v>
      </c>
      <c r="R5" s="30" t="n">
        <f aca="false">IF(Q5&gt;0,P5/Q5,IF(P5&gt;0,9.99,0))</f>
        <v>0.959051775604022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$36-$L$22-$L$26)+IF(A5-ROUNDUP(Funnel!$B$15/7,0)&gt;=1,INDEX($X$4:$X$14,A5-ROUNDUP(Funnel!$B$15/7,0))*$F$29+INDEX($Y$4:$Y$14,A5-ROUNDUP(Funnel!$B$15/7,0))*$F$36+INDEX($AB$4:$AB$14,A5-ROUNDUP(Funnel!$B$15/7,0))*$L$22+INDEX($AC$4:$AC$14,A5-ROUNDUP(Funnel!$B$15/7,0))*$L$26,0)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0.131</v>
      </c>
      <c r="AA5" s="30" t="n">
        <f aca="false">D5*IF(MAX(0,MIN(C5,Funnel!$B$19)-B5+1)&gt;0,MAX(0,MIN(C5,Funnel!$B$20)-B5+1)/MAX(0,MIN(C5,Funnel!$B$19)-B5+1),0)</f>
        <v>0.131</v>
      </c>
      <c r="AB5" s="30" t="n">
        <f aca="false">IF(SUM($AD$4:$AD$14)&gt;0,AD5/SUM($AD$4:$AD$14),IF(SUM($AF$4:$AF$14)&gt;0,AF5/SUM($AF$4:$AF$14),0))</f>
        <v>0.151520158625248</v>
      </c>
      <c r="AC5" s="30" t="n">
        <f aca="false">IF(SUM($AE$4:$AE$14)&gt;0,AE5/SUM($AE$4:$AE$14),IF(SUM($AG$4:$AG$14)&gt;0,AG5/SUM($AG$4:$AG$14),0))</f>
        <v>0.191520467836257</v>
      </c>
      <c r="AD5" s="30" t="n">
        <f aca="false">D5*IF(MAX(0,MIN(C5,Funnel!$B$19)-B5+1)&gt;0,MAX(0,MIN(C5,Funnel!$B$19)-MAX(B5,Assumptions!$D$7+Assumptions!$D$180)+1)/MAX(0,MIN(C5,Funnel!$B$19)-B5+1),0)</f>
        <v>0.131</v>
      </c>
      <c r="AE5" s="30" t="n">
        <f aca="false">D5*IF(MAX(0,MIN(C5,Funnel!$B$19)-B5+1)&gt;0,MAX(0,MIN(C5,Funnel!$B$19)-MAX(B5,Assumptions!$D$7+Assumptions!$D$181)+1)/MAX(0,MIN(C5,Funnel!$B$19)-B5+1),0)</f>
        <v>0.131</v>
      </c>
      <c r="AF5" s="29" t="n">
        <f aca="false">MAX(0,MIN(C5,Funnel!$B$19)-MAX(B5,Assumptions!$D$7+Assumptions!$D$180)+1)</f>
        <v>7</v>
      </c>
      <c r="AG5" s="29" t="n">
        <f aca="false">MAX(0,MIN(C5,Funnel!$B$19)-MAX(B5,Assumptions!$D$7+Assumptions!$D$181)+1)</f>
        <v>7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0.161</v>
      </c>
      <c r="E6" s="30" t="n">
        <f aca="false">IF(SUM($AA$4:$AA$14)&gt;0,AA6/SUM($AA$4:$AA$14),0)</f>
        <v>0.199787271760326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($F$19-$L$19-$L$23)*D6+$L$19*AB6+$L$23*AC6+$F$20*E6+$F$31*Y6</f>
        <v>13258.1331061054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13258.1331061054</v>
      </c>
      <c r="N6" s="41" t="n">
        <f aca="false">SUM($M$4:M6)</f>
        <v>61948.4220254793</v>
      </c>
      <c r="O6" s="29" t="n">
        <f aca="false">(Funnel!$M$5+Funnel!$M$6+Funnel!$M$7-$F$27-$F$34-$L$20-$L$24)*D6+$L$20*AB6+$L$24*AC6+(Funnel!$M$8-$F$28-$F$35)*E6+($F$27+$F$28)*X6+($F$34+$F$35)*Y6</f>
        <v>263.608822740179</v>
      </c>
      <c r="P6" s="29" t="n">
        <f aca="false">(Funnel!$O$5+Funnel!$O$6+Funnel!$O$7-$F$25-$F$32-$L$21-$L$25)*D6+$L$21*AB6+$L$25*AC6+(Funnel!$O$8-$F$26-$F$33)*E6+($F$25+$F$26)*X6+($F$32+$F$33)*Y6</f>
        <v>52.7201803898792</v>
      </c>
      <c r="Q6" s="29" t="n">
        <f aca="false">Assumptions!$D$9*MAX(0,MIN(C6+Assumptions!$D$21,Funnel!$B$17)-MAX(IF(A6=1,Funnel!$B$13,B6+Assumptions!$D$21),Funnel!$B$13)+1)/7</f>
        <v>55</v>
      </c>
      <c r="R6" s="30" t="n">
        <f aca="false">IF(Q6&gt;0,P6/Q6,IF(P6&gt;0,9.99,0))</f>
        <v>0.95854873436144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$36-$L$22-$L$26)+IF(A6-ROUNDUP(Funnel!$B$15/7,0)&gt;=1,INDEX($X$4:$X$14,A6-ROUNDUP(Funnel!$B$15/7,0))*$F$29+INDEX($Y$4:$Y$14,A6-ROUNDUP(Funnel!$B$15/7,0))*$F$36+INDEX($AB$4:$AB$14,A6-ROUNDUP(Funnel!$B$15/7,0))*$L$22+INDEX($AC$4:$AC$14,A6-ROUNDUP(Funnel!$B$15/7,0))*$L$26,0)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0.161</v>
      </c>
      <c r="AA6" s="30" t="n">
        <f aca="false">D6*IF(MAX(0,MIN(C6,Funnel!$B$19)-B6+1)&gt;0,MAX(0,MIN(C6,Funnel!$B$20)-B6+1)/MAX(0,MIN(C6,Funnel!$B$19)-B6+1),0)</f>
        <v>0.161</v>
      </c>
      <c r="AB6" s="30" t="n">
        <f aca="false">IF(SUM($AD$4:$AD$14)&gt;0,AD6/SUM($AD$4:$AD$14),IF(SUM($AF$4:$AF$14)&gt;0,AF6/SUM($AF$4:$AF$14),0))</f>
        <v>0.186219431592862</v>
      </c>
      <c r="AC6" s="30" t="n">
        <f aca="false">IF(SUM($AE$4:$AE$14)&gt;0,AE6/SUM($AE$4:$AE$14),IF(SUM($AG$4:$AG$14)&gt;0,AG6/SUM($AG$4:$AG$14),0))</f>
        <v>0.235380116959064</v>
      </c>
      <c r="AD6" s="30" t="n">
        <f aca="false">D6*IF(MAX(0,MIN(C6,Funnel!$B$19)-B6+1)&gt;0,MAX(0,MIN(C6,Funnel!$B$19)-MAX(B6,Assumptions!$D$7+Assumptions!$D$180)+1)/MAX(0,MIN(C6,Funnel!$B$19)-B6+1),0)</f>
        <v>0.161</v>
      </c>
      <c r="AE6" s="30" t="n">
        <f aca="false">D6*IF(MAX(0,MIN(C6,Funnel!$B$19)-B6+1)&gt;0,MAX(0,MIN(C6,Funnel!$B$19)-MAX(B6,Assumptions!$D$7+Assumptions!$D$181)+1)/MAX(0,MIN(C6,Funnel!$B$19)-B6+1),0)</f>
        <v>0.161</v>
      </c>
      <c r="AF6" s="29" t="n">
        <f aca="false">MAX(0,MIN(C6,Funnel!$B$19)-MAX(B6,Assumptions!$D$7+Assumptions!$D$180)+1)</f>
        <v>7</v>
      </c>
      <c r="AG6" s="29" t="n">
        <f aca="false">MAX(0,MIN(C6,Funnel!$B$19)-MAX(B6,Assumptions!$D$7+Assumptions!$D$181)+1)</f>
        <v>7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0.17</v>
      </c>
      <c r="E7" s="30" t="n">
        <f aca="false">IF(SUM($AA$4:$AA$14)&gt;0,AA7/SUM($AA$4:$AA$14),0)</f>
        <v>0.210955504343202</v>
      </c>
      <c r="F7" s="30" t="n">
        <f aca="false">IF(A7-ROUNDUP(Funnel!$B$15/7,0)&gt;=1,INDEX($D$4:$D$14,A7-ROUNDUP(Funnel!$B$15/7,0)),0)</f>
        <v>0.316</v>
      </c>
      <c r="G7" s="30" t="n">
        <f aca="false">IF(A7-ROUNDUP(Funnel!$B$16/7,0)&gt;=1,INDEX($E$4:$E$14,A7-ROUNDUP(Funnel!$B$16/7,0)),0)</f>
        <v>0</v>
      </c>
      <c r="H7" s="41" t="n">
        <f aca="false">($F$19-$L$19-$L$23)*D7+$L$19*AB7+$L$23*AC7+$F$20*E7+$F$31*Y7</f>
        <v>13991.9187455771</v>
      </c>
      <c r="I7" s="41" t="n">
        <f aca="false">IF(A7=1,$F$21,0)</f>
        <v>0</v>
      </c>
      <c r="J7" s="41" t="n">
        <f aca="false">$F$22*F7+$F$23*G7</f>
        <v>3118.68063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17110.5993755771</v>
      </c>
      <c r="N7" s="41" t="n">
        <f aca="false">SUM($M$4:M7)</f>
        <v>79059.0214010564</v>
      </c>
      <c r="O7" s="29" t="n">
        <f aca="false">(Funnel!$M$5+Funnel!$M$6+Funnel!$M$7-$F$27-$F$34-$L$20-$L$24)*D7+$L$20*AB7+$L$24*AC7+(Funnel!$M$8-$F$28-$F$35)*E7+($F$27+$F$28)*X7+($F$34+$F$35)*Y7</f>
        <v>275.403825253605</v>
      </c>
      <c r="P7" s="29" t="n">
        <f aca="false">(Funnel!$O$5+Funnel!$O$6+Funnel!$O$7-$F$25-$F$32-$L$21-$L$25)*D7+$L$21*AB7+$L$25*AC7+(Funnel!$O$8-$F$26-$F$33)*E7+($F$25+$F$26)*X7+($F$32+$F$33)*Y7</f>
        <v>54.1968240141581</v>
      </c>
      <c r="Q7" s="29" t="n">
        <f aca="false">Assumptions!$D$9*MAX(0,MIN(C7+Assumptions!$D$21,Funnel!$B$17)-MAX(IF(A7=1,Funnel!$B$13,B7+Assumptions!$D$21),Funnel!$B$13)+1)/7</f>
        <v>55</v>
      </c>
      <c r="R7" s="30" t="n">
        <f aca="false">IF(Q7&gt;0,P7/Q7,IF(P7&gt;0,9.99,0))</f>
        <v>0.985396800257421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$36-$L$22-$L$26)+IF(A7-ROUNDUP(Funnel!$B$15/7,0)&gt;=1,INDEX($X$4:$X$14,A7-ROUNDUP(Funnel!$B$15/7,0))*$F$29+INDEX($Y$4:$Y$14,A7-ROUNDUP(Funnel!$B$15/7,0))*$F$36+INDEX($AB$4:$AB$14,A7-ROUNDUP(Funnel!$B$15/7,0))*$L$22+INDEX($AC$4:$AC$14,A7-ROUNDUP(Funnel!$B$15/7,0))*$L$26,0))</f>
        <v>23.2608949040937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23.2608949040937</v>
      </c>
      <c r="W7" s="32" t="n">
        <f aca="false">SUM($V$4:V7)</f>
        <v>23.2608949040937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0.17</v>
      </c>
      <c r="AA7" s="30" t="n">
        <f aca="false">D7*IF(MAX(0,MIN(C7,Funnel!$B$19)-B7+1)&gt;0,MAX(0,MIN(C7,Funnel!$B$20)-B7+1)/MAX(0,MIN(C7,Funnel!$B$19)-B7+1),0)</f>
        <v>0.17</v>
      </c>
      <c r="AB7" s="30" t="n">
        <f aca="false">IF(SUM($AD$4:$AD$14)&gt;0,AD7/SUM($AD$4:$AD$14),IF(SUM($AF$4:$AF$14)&gt;0,AF7/SUM($AF$4:$AF$14),0))</f>
        <v>0.196629213483146</v>
      </c>
      <c r="AC7" s="30" t="n">
        <f aca="false">IF(SUM($AE$4:$AE$14)&gt;0,AE7/SUM($AE$4:$AE$14),IF(SUM($AG$4:$AG$14)&gt;0,AG7/SUM($AG$4:$AG$14),0))</f>
        <v>0.248538011695906</v>
      </c>
      <c r="AD7" s="30" t="n">
        <f aca="false">D7*IF(MAX(0,MIN(C7,Funnel!$B$19)-B7+1)&gt;0,MAX(0,MIN(C7,Funnel!$B$19)-MAX(B7,Assumptions!$D$7+Assumptions!$D$180)+1)/MAX(0,MIN(C7,Funnel!$B$19)-B7+1),0)</f>
        <v>0.17</v>
      </c>
      <c r="AE7" s="30" t="n">
        <f aca="false">D7*IF(MAX(0,MIN(C7,Funnel!$B$19)-B7+1)&gt;0,MAX(0,MIN(C7,Funnel!$B$19)-MAX(B7,Assumptions!$D$7+Assumptions!$D$181)+1)/MAX(0,MIN(C7,Funnel!$B$19)-B7+1),0)</f>
        <v>0.17</v>
      </c>
      <c r="AF7" s="29" t="n">
        <f aca="false">MAX(0,MIN(C7,Funnel!$B$19)-MAX(B7,Assumptions!$D$7+Assumptions!$D$180)+1)</f>
        <v>7</v>
      </c>
      <c r="AG7" s="29" t="n">
        <f aca="false">MAX(0,MIN(C7,Funnel!$B$19)-MAX(B7,Assumptions!$D$7+Assumptions!$D$181)+1)</f>
        <v>7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0.195</v>
      </c>
      <c r="E8" s="30" t="n">
        <f aca="false">IF(SUM($AA$4:$AA$14)&gt;0,AA8/SUM($AA$4:$AA$14),0)</f>
        <v>0.0345683389469952</v>
      </c>
      <c r="F8" s="30" t="n">
        <f aca="false">IF(A8-ROUNDUP(Funnel!$B$15/7,0)&gt;=1,INDEX($D$4:$D$14,A8-ROUNDUP(Funnel!$B$15/7,0)),0)</f>
        <v>0.131</v>
      </c>
      <c r="G8" s="30" t="n">
        <f aca="false">IF(A8-ROUNDUP(Funnel!$B$16/7,0)&gt;=1,INDEX($E$4:$E$14,A8-ROUNDUP(Funnel!$B$16/7,0)),0)</f>
        <v>0.392129055132069</v>
      </c>
      <c r="H8" s="41" t="n">
        <f aca="false">($F$19-$L$19-$L$23)*D8+$L$19*AB8+$L$23*AC8+$F$20*E8+$F$31*Y8</f>
        <v>13523.5759509396</v>
      </c>
      <c r="I8" s="41" t="n">
        <f aca="false">IF(A8=1,$F$21,0)</f>
        <v>0</v>
      </c>
      <c r="J8" s="41" t="n">
        <f aca="false">$F$22*F8+$F$23*G8</f>
        <v>1727.53994317807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15251.1158941177</v>
      </c>
      <c r="N8" s="41" t="n">
        <f aca="false">SUM($M$4:M8)</f>
        <v>94310.1372951741</v>
      </c>
      <c r="O8" s="29" t="n">
        <f aca="false">(Funnel!$M$5+Funnel!$M$6+Funnel!$M$7-$F$27-$F$34-$L$20-$L$24)*D8+$L$20*AB8+$L$24*AC8+(Funnel!$M$8-$F$28-$F$35)*E8+($F$27+$F$28)*X8+($F$34+$F$35)*Y8</f>
        <v>280.466076472631</v>
      </c>
      <c r="P8" s="29" t="n">
        <f aca="false">(Funnel!$O$5+Funnel!$O$6+Funnel!$O$7-$F$25-$F$32-$L$21-$L$25)*D8+$L$21*AB8+$L$25*AC8+(Funnel!$O$8-$F$26-$F$33)*E8+($F$25+$F$26)*X8+($F$32+$F$33)*Y8</f>
        <v>54.7115391603946</v>
      </c>
      <c r="Q8" s="29" t="n">
        <f aca="false">Assumptions!$D$9*MAX(0,MIN(C8+Assumptions!$D$21,Funnel!$B$17)-MAX(IF(A8=1,Funnel!$B$13,B8+Assumptions!$D$21),Funnel!$B$13)+1)/7</f>
        <v>55</v>
      </c>
      <c r="R8" s="30" t="n">
        <f aca="false">IF(Q8&gt;0,P8/Q8,IF(P8&gt;0,9.99,0))</f>
        <v>0.99475525746172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$36-$L$22-$L$26)+IF(A8-ROUNDUP(Funnel!$B$15/7,0)&gt;=1,INDEX($X$4:$X$14,A8-ROUNDUP(Funnel!$B$15/7,0))*$F$29+INDEX($Y$4:$Y$14,A8-ROUNDUP(Funnel!$B$15/7,0))*$F$36+INDEX($AB$4:$AB$14,A8-ROUNDUP(Funnel!$B$15/7,0))*$L$22+INDEX($AC$4:$AC$14,A8-ROUNDUP(Funnel!$B$15/7,0))*$L$26,0))</f>
        <v>15.0418178773517</v>
      </c>
      <c r="U8" s="32" t="n">
        <f aca="false">$F$38*(G8*(Budget!$G$24-$F$30-$F$37)+IF(A8-ROUNDUP(Funnel!$B$16/7,0)&gt;=1,INDEX($X$4:$X$14,A8-ROUNDUP(Funnel!$B$16/7,0))*$F$30+INDEX($Y$4:$Y$14,A8-ROUNDUP(Funnel!$B$16/7,0))*$F$37,0))</f>
        <v>4.03662708146645</v>
      </c>
      <c r="V8" s="32" t="n">
        <f aca="false">T8+U8</f>
        <v>19.0784449588182</v>
      </c>
      <c r="W8" s="32" t="n">
        <f aca="false">SUM($V$4:V8)</f>
        <v>42.3393398629119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0.195</v>
      </c>
      <c r="AA8" s="30" t="n">
        <f aca="false">D8*IF(MAX(0,MIN(C8,Funnel!$B$19)-B8+1)&gt;0,MAX(0,MIN(C8,Funnel!$B$20)-B8+1)/MAX(0,MIN(C8,Funnel!$B$19)-B8+1),0)</f>
        <v>0.0278571428571429</v>
      </c>
      <c r="AB8" s="30" t="n">
        <f aca="false">IF(SUM($AD$4:$AD$14)&gt;0,AD8/SUM($AD$4:$AD$14),IF(SUM($AF$4:$AF$14)&gt;0,AF8/SUM($AF$4:$AF$14),0))</f>
        <v>0.225545274289491</v>
      </c>
      <c r="AC8" s="30" t="n">
        <f aca="false">IF(SUM($AE$4:$AE$14)&gt;0,AE8/SUM($AE$4:$AE$14),IF(SUM($AG$4:$AG$14)&gt;0,AG8/SUM($AG$4:$AG$14),0))</f>
        <v>0.285087719298246</v>
      </c>
      <c r="AD8" s="30" t="n">
        <f aca="false">D8*IF(MAX(0,MIN(C8,Funnel!$B$19)-B8+1)&gt;0,MAX(0,MIN(C8,Funnel!$B$19)-MAX(B8,Assumptions!$D$7+Assumptions!$D$180)+1)/MAX(0,MIN(C8,Funnel!$B$19)-B8+1),0)</f>
        <v>0.195</v>
      </c>
      <c r="AE8" s="30" t="n">
        <f aca="false">D8*IF(MAX(0,MIN(C8,Funnel!$B$19)-B8+1)&gt;0,MAX(0,MIN(C8,Funnel!$B$19)-MAX(B8,Assumptions!$D$7+Assumptions!$D$181)+1)/MAX(0,MIN(C8,Funnel!$B$19)-B8+1),0)</f>
        <v>0.195</v>
      </c>
      <c r="AF8" s="29" t="n">
        <f aca="false">MAX(0,MIN(C8,Funnel!$B$19)-MAX(B8,Assumptions!$D$7+Assumptions!$D$180)+1)</f>
        <v>7</v>
      </c>
      <c r="AG8" s="29" t="n">
        <f aca="false">MAX(0,MIN(C8,Funnel!$B$19)-MAX(B8,Assumptions!$D$7+Assumptions!$D$181)+1)</f>
        <v>7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0.027</v>
      </c>
      <c r="E9" s="30" t="n">
        <f aca="false">IF(SUM($AA$4:$AA$14)&gt;0,AA9/SUM($AA$4:$AA$14),0)</f>
        <v>0</v>
      </c>
      <c r="F9" s="30" t="n">
        <f aca="false">IF(A9-ROUNDUP(Funnel!$B$15/7,0)&gt;=1,INDEX($D$4:$D$14,A9-ROUNDUP(Funnel!$B$15/7,0)),0)</f>
        <v>0.161</v>
      </c>
      <c r="G9" s="30" t="n">
        <f aca="false">IF(A9-ROUNDUP(Funnel!$B$16/7,0)&gt;=1,INDEX($E$4:$E$14,A9-ROUNDUP(Funnel!$B$16/7,0)),0)</f>
        <v>0.162559829817408</v>
      </c>
      <c r="H9" s="41" t="n">
        <f aca="false">($F$19-$L$19-$L$23)*D9+$L$19*AB9+$L$23*AC9+$F$20*E9+$F$31*Y9</f>
        <v>1814.20333387746</v>
      </c>
      <c r="I9" s="41" t="n">
        <f aca="false">IF(A9=1,$F$21,0)</f>
        <v>0</v>
      </c>
      <c r="J9" s="41" t="n">
        <f aca="false">$F$22*F9+$F$23*G9</f>
        <v>1769.14317545515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3583.34650933261</v>
      </c>
      <c r="N9" s="41" t="n">
        <f aca="false">SUM($M$4:M9)</f>
        <v>97893.4838045067</v>
      </c>
      <c r="O9" s="29" t="n">
        <f aca="false">(Funnel!$M$5+Funnel!$M$6+Funnel!$M$7-$F$27-$F$34-$L$20-$L$24)*D9+$L$20*AB9+$L$24*AC9+(Funnel!$M$8-$F$28-$F$35)*E9+($F$27+$F$28)*X9+($F$34+$F$35)*Y9</f>
        <v>38.0159572504042</v>
      </c>
      <c r="P9" s="29" t="n">
        <f aca="false">(Funnel!$O$5+Funnel!$O$6+Funnel!$O$7-$F$25-$F$32-$L$21-$L$25)*D9+$L$21*AB9+$L$25*AC9+(Funnel!$O$8-$F$26-$F$33)*E9+($F$25+$F$26)*X9+($F$32+$F$33)*Y9</f>
        <v>7.40339605223196</v>
      </c>
      <c r="Q9" s="29" t="n">
        <f aca="false">Assumptions!$D$9*MAX(0,MIN(C9+Assumptions!$D$21,Funnel!$B$17)-MAX(IF(A9=1,Funnel!$B$13,B9+Assumptions!$D$21),Funnel!$B$13)+1)/7</f>
        <v>7.85714285714286</v>
      </c>
      <c r="R9" s="30" t="n">
        <f aca="false">IF(Q9&gt;0,P9/Q9,IF(P9&gt;0,9.99,0))</f>
        <v>0.942250406647704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$36-$L$22-$L$26)+IF(A9-ROUNDUP(Funnel!$B$15/7,0)&gt;=1,INDEX($X$4:$X$14,A9-ROUNDUP(Funnel!$B$15/7,0))*$F$29+INDEX($Y$4:$Y$14,A9-ROUNDUP(Funnel!$B$15/7,0))*$F$36+INDEX($AB$4:$AB$14,A9-ROUNDUP(Funnel!$B$15/7,0))*$L$22+INDEX($AC$4:$AC$14,A9-ROUNDUP(Funnel!$B$15/7,0))*$L$26,0))</f>
        <v>15.3710349309716</v>
      </c>
      <c r="U9" s="32" t="n">
        <f aca="false">$F$38*(G9*(Budget!$G$24-$F$30-$F$37)+IF(A9-ROUNDUP(Funnel!$B$16/7,0)&gt;=1,INDEX($X$4:$X$14,A9-ROUNDUP(Funnel!$B$16/7,0))*$F$30+INDEX($Y$4:$Y$14,A9-ROUNDUP(Funnel!$B$16/7,0))*$F$37,0))</f>
        <v>2.03155889843711</v>
      </c>
      <c r="V9" s="32" t="n">
        <f aca="false">T9+U9</f>
        <v>17.4025938294087</v>
      </c>
      <c r="W9" s="32" t="n">
        <f aca="false">SUM($V$4:V9)</f>
        <v>59.7419336923206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0.027</v>
      </c>
      <c r="AA9" s="30" t="n">
        <f aca="false">D9*IF(MAX(0,MIN(C9,Funnel!$B$19)-B9+1)&gt;0,MAX(0,MIN(C9,Funnel!$B$20)-B9+1)/MAX(0,MIN(C9,Funnel!$B$19)-B9+1),0)</f>
        <v>0</v>
      </c>
      <c r="AB9" s="30" t="n">
        <f aca="false">IF(SUM($AD$4:$AD$14)&gt;0,AD9/SUM($AD$4:$AD$14),IF(SUM($AF$4:$AF$14)&gt;0,AF9/SUM($AF$4:$AF$14),0))</f>
        <v>0.0312293456708526</v>
      </c>
      <c r="AC9" s="30" t="n">
        <f aca="false">IF(SUM($AE$4:$AE$14)&gt;0,AE9/SUM($AE$4:$AE$14),IF(SUM($AG$4:$AG$14)&gt;0,AG9/SUM($AG$4:$AG$14),0))</f>
        <v>0.0394736842105263</v>
      </c>
      <c r="AD9" s="30" t="n">
        <f aca="false">D9*IF(MAX(0,MIN(C9,Funnel!$B$19)-B9+1)&gt;0,MAX(0,MIN(C9,Funnel!$B$19)-MAX(B9,Assumptions!$D$7+Assumptions!$D$180)+1)/MAX(0,MIN(C9,Funnel!$B$19)-B9+1),0)</f>
        <v>0.027</v>
      </c>
      <c r="AE9" s="30" t="n">
        <f aca="false">D9*IF(MAX(0,MIN(C9,Funnel!$B$19)-B9+1)&gt;0,MAX(0,MIN(C9,Funnel!$B$19)-MAX(B9,Assumptions!$D$7+Assumptions!$D$181)+1)/MAX(0,MIN(C9,Funnel!$B$19)-B9+1),0)</f>
        <v>0.027</v>
      </c>
      <c r="AF9" s="29" t="n">
        <f aca="false">MAX(0,MIN(C9,Funnel!$B$19)-MAX(B9,Assumptions!$D$7+Assumptions!$D$180)+1)</f>
        <v>1</v>
      </c>
      <c r="AG9" s="29" t="n">
        <f aca="false">MAX(0,MIN(C9,Funnel!$B$19)-MAX(B9,Assumptions!$D$7+Assumptions!$D$181)+1)</f>
        <v>1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IF(SUM($AA$4:$AA$14)&gt;0,AA10/SUM($AA$4:$AA$14),0)</f>
        <v>0</v>
      </c>
      <c r="F10" s="30" t="n">
        <f aca="false">IF(A10-ROUNDUP(Funnel!$B$15/7,0)&gt;=1,INDEX($D$4:$D$14,A10-ROUNDUP(Funnel!$B$15/7,0)),0)</f>
        <v>0.17</v>
      </c>
      <c r="G10" s="30" t="n">
        <f aca="false">IF(A10-ROUNDUP(Funnel!$B$16/7,0)&gt;=1,INDEX($E$4:$E$14,A10-ROUNDUP(Funnel!$B$16/7,0)),0)</f>
        <v>0.199787271760326</v>
      </c>
      <c r="H10" s="41" t="n">
        <f aca="false">($F$19-$L$19-$L$23)*D10+$L$19*AB10+$L$23*AC10+$F$20*E10+$F$31*Y10</f>
        <v>0</v>
      </c>
      <c r="I10" s="41" t="n">
        <f aca="false">IF(A10=1,$F$21,0)</f>
        <v>0</v>
      </c>
      <c r="J10" s="41" t="n">
        <f aca="false">$F$22*F10+$F$23*G10</f>
        <v>1899.23241893725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1899.23241893725</v>
      </c>
      <c r="N10" s="41" t="n">
        <f aca="false">SUM($M$4:M10)</f>
        <v>99792.7162234439</v>
      </c>
      <c r="O10" s="29" t="n">
        <f aca="false">(Funnel!$M$5+Funnel!$M$6+Funnel!$M$7-$F$27-$F$34-$L$20-$L$24)*D10+$L$20*AB10+$L$24*AC10+(Funnel!$M$8-$F$28-$F$35)*E10+($F$27+$F$28)*X10+($F$34+$F$35)*Y10</f>
        <v>0</v>
      </c>
      <c r="P10" s="29" t="n">
        <f aca="false">(Funnel!$O$5+Funnel!$O$6+Funnel!$O$7-$F$25-$F$32-$L$21-$L$25)*D10+$L$21*AB10+$L$25*AC10+(Funnel!$O$8-$F$26-$F$33)*E10+($F$25+$F$26)*X10+($F$32+$F$33)*Y10</f>
        <v>0</v>
      </c>
      <c r="Q10" s="29" t="n">
        <f aca="false">Assumptions!$D$9*MAX(0,MIN(C10+Assumptions!$D$21,Funnel!$B$17)-MAX(IF(A10=1,Funnel!$B$13,B10+Assumptions!$D$21),Funnel!$B$13)+1)/7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$36-$L$22-$L$26)+IF(A10-ROUNDUP(Funnel!$B$15/7,0)&gt;=1,INDEX($X$4:$X$14,A10-ROUNDUP(Funnel!$B$15/7,0))*$F$29+INDEX($Y$4:$Y$14,A10-ROUNDUP(Funnel!$B$15/7,0))*$F$36+INDEX($AB$4:$AB$14,A10-ROUNDUP(Funnel!$B$15/7,0))*$L$22+INDEX($AC$4:$AC$14,A10-ROUNDUP(Funnel!$B$15/7,0))*$L$26,0))</f>
        <v>15.753731859411</v>
      </c>
      <c r="U10" s="32" t="n">
        <f aca="false">$F$38*(G10*(Budget!$G$24-$F$30-$F$37)+IF(A10-ROUNDUP(Funnel!$B$16/7,0)&gt;=1,INDEX($X$4:$X$14,A10-ROUNDUP(Funnel!$B$16/7,0))*$F$30+INDEX($Y$4:$Y$14,A10-ROUNDUP(Funnel!$B$16/7,0))*$F$37,0))</f>
        <v>1.79586581809263</v>
      </c>
      <c r="V10" s="32" t="n">
        <f aca="false">T10+U10</f>
        <v>17.5495976775036</v>
      </c>
      <c r="W10" s="32" t="n">
        <f aca="false">SUM($V$4:V10)</f>
        <v>77.2915313698242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  <c r="AA10" s="30" t="n">
        <f aca="false">D10*IF(MAX(0,MIN(C10,Funnel!$B$19)-B10+1)&gt;0,MAX(0,MIN(C10,Funnel!$B$20)-B10+1)/MAX(0,MIN(C10,Funnel!$B$19)-B10+1),0)</f>
        <v>0</v>
      </c>
      <c r="AB10" s="30" t="n">
        <f aca="false">IF(SUM($AD$4:$AD$14)&gt;0,AD10/SUM($AD$4:$AD$14),IF(SUM($AF$4:$AF$14)&gt;0,AF10/SUM($AF$4:$AF$14),0))</f>
        <v>0</v>
      </c>
      <c r="AC10" s="30" t="n">
        <f aca="false">IF(SUM($AE$4:$AE$14)&gt;0,AE10/SUM($AE$4:$AE$14),IF(SUM($AG$4:$AG$14)&gt;0,AG10/SUM($AG$4:$AG$14),0))</f>
        <v>0</v>
      </c>
      <c r="AD10" s="30" t="n">
        <f aca="false">D10*IF(MAX(0,MIN(C10,Funnel!$B$19)-B10+1)&gt;0,MAX(0,MIN(C10,Funnel!$B$19)-MAX(B10,Assumptions!$D$7+Assumptions!$D$180)+1)/MAX(0,MIN(C10,Funnel!$B$19)-B10+1),0)</f>
        <v>0</v>
      </c>
      <c r="AE10" s="30" t="n">
        <f aca="false">D10*IF(MAX(0,MIN(C10,Funnel!$B$19)-B10+1)&gt;0,MAX(0,MIN(C10,Funnel!$B$19)-MAX(B10,Assumptions!$D$7+Assumptions!$D$181)+1)/MAX(0,MIN(C10,Funnel!$B$19)-B10+1),0)</f>
        <v>0</v>
      </c>
      <c r="AF10" s="29" t="n">
        <f aca="false">MAX(0,MIN(C10,Funnel!$B$19)-MAX(B10,Assumptions!$D$7+Assumptions!$D$180)+1)</f>
        <v>0</v>
      </c>
      <c r="AG10" s="29" t="n">
        <f aca="false">MAX(0,MIN(C10,Funnel!$B$19)-MAX(B10,Assumptions!$D$7+Assumptions!$D$181)+1)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IF(SUM($AA$4:$AA$14)&gt;0,AA11/SUM($AA$4:$AA$14),0)</f>
        <v>0</v>
      </c>
      <c r="F11" s="30" t="n">
        <f aca="false">IF(A11-ROUNDUP(Funnel!$B$15/7,0)&gt;=1,INDEX($D$4:$D$14,A11-ROUNDUP(Funnel!$B$15/7,0)),0)</f>
        <v>0.195</v>
      </c>
      <c r="G11" s="30" t="n">
        <f aca="false">IF(A11-ROUNDUP(Funnel!$B$16/7,0)&gt;=1,INDEX($E$4:$E$14,A11-ROUNDUP(Funnel!$B$16/7,0)),0)</f>
        <v>0.210955504343202</v>
      </c>
      <c r="H11" s="41" t="n">
        <f aca="false">($F$19-$L$19-$L$23)*D11+$L$19*AB11+$L$23*AC11+$F$20*E11+$F$31*Y11</f>
        <v>0</v>
      </c>
      <c r="I11" s="41" t="n">
        <f aca="false">IF(A11=1,$F$21,0)</f>
        <v>0</v>
      </c>
      <c r="J11" s="41" t="n">
        <f aca="false">$F$22*F11+$F$23*G11</f>
        <v>2158.34329973187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2158.34329973187</v>
      </c>
      <c r="N11" s="41" t="n">
        <f aca="false">SUM($M$4:M11)</f>
        <v>101951.059523176</v>
      </c>
      <c r="O11" s="29" t="n">
        <f aca="false">(Funnel!$M$5+Funnel!$M$6+Funnel!$M$7-$F$27-$F$34-$L$20-$L$24)*D11+$L$20*AB11+$L$24*AC11+(Funnel!$M$8-$F$28-$F$35)*E11+($F$27+$F$28)*X11+($F$34+$F$35)*Y11</f>
        <v>0</v>
      </c>
      <c r="P11" s="29" t="n">
        <f aca="false">(Funnel!$O$5+Funnel!$O$6+Funnel!$O$7-$F$25-$F$32-$L$21-$L$25)*D11+$L$21*AB11+$L$25*AC11+(Funnel!$O$8-$F$26-$F$33)*E11+($F$25+$F$26)*X11+($F$32+$F$33)*Y11</f>
        <v>0</v>
      </c>
      <c r="Q11" s="29" t="n">
        <f aca="false">Assumptions!$D$9*MAX(0,MIN(C11+Assumptions!$D$21,Funnel!$B$17)-MAX(IF(A11=1,Funnel!$B$13,B11+Assumptions!$D$21),Funnel!$B$13)+1)/7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$36-$L$22-$L$26)+IF(A11-ROUNDUP(Funnel!$B$15/7,0)&gt;=1,INDEX($X$4:$X$14,A11-ROUNDUP(Funnel!$B$15/7,0))*$F$29+INDEX($Y$4:$Y$14,A11-ROUNDUP(Funnel!$B$15/7,0))*$F$36+INDEX($AB$4:$AB$14,A11-ROUNDUP(Funnel!$B$15/7,0))*$L$22+INDEX($AC$4:$AC$14,A11-ROUNDUP(Funnel!$B$15/7,0))*$L$26,0))</f>
        <v>18.0704571328538</v>
      </c>
      <c r="U11" s="32" t="n">
        <f aca="false">$F$38*(G11*(Budget!$G$24-$F$30-$F$37)+IF(A11-ROUNDUP(Funnel!$B$16/7,0)&gt;=1,INDEX($X$4:$X$14,A11-ROUNDUP(Funnel!$B$16/7,0))*$F$30+INDEX($Y$4:$Y$14,A11-ROUNDUP(Funnel!$B$16/7,0))*$F$37,0))</f>
        <v>1.83521903276862</v>
      </c>
      <c r="V11" s="32" t="n">
        <f aca="false">T11+U11</f>
        <v>19.9056761656224</v>
      </c>
      <c r="W11" s="32" t="n">
        <f aca="false">SUM($V$4:V11)</f>
        <v>97.1972075354466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  <c r="AA11" s="30" t="n">
        <f aca="false">D11*IF(MAX(0,MIN(C11,Funnel!$B$19)-B11+1)&gt;0,MAX(0,MIN(C11,Funnel!$B$20)-B11+1)/MAX(0,MIN(C11,Funnel!$B$19)-B11+1),0)</f>
        <v>0</v>
      </c>
      <c r="AB11" s="30" t="n">
        <f aca="false">IF(SUM($AD$4:$AD$14)&gt;0,AD11/SUM($AD$4:$AD$14),IF(SUM($AF$4:$AF$14)&gt;0,AF11/SUM($AF$4:$AF$14),0))</f>
        <v>0</v>
      </c>
      <c r="AC11" s="30" t="n">
        <f aca="false">IF(SUM($AE$4:$AE$14)&gt;0,AE11/SUM($AE$4:$AE$14),IF(SUM($AG$4:$AG$14)&gt;0,AG11/SUM($AG$4:$AG$14),0))</f>
        <v>0</v>
      </c>
      <c r="AD11" s="30" t="n">
        <f aca="false">D11*IF(MAX(0,MIN(C11,Funnel!$B$19)-B11+1)&gt;0,MAX(0,MIN(C11,Funnel!$B$19)-MAX(B11,Assumptions!$D$7+Assumptions!$D$180)+1)/MAX(0,MIN(C11,Funnel!$B$19)-B11+1),0)</f>
        <v>0</v>
      </c>
      <c r="AE11" s="30" t="n">
        <f aca="false">D11*IF(MAX(0,MIN(C11,Funnel!$B$19)-B11+1)&gt;0,MAX(0,MIN(C11,Funnel!$B$19)-MAX(B11,Assumptions!$D$7+Assumptions!$D$181)+1)/MAX(0,MIN(C11,Funnel!$B$19)-B11+1),0)</f>
        <v>0</v>
      </c>
      <c r="AF11" s="29" t="n">
        <f aca="false">MAX(0,MIN(C11,Funnel!$B$19)-MAX(B11,Assumptions!$D$7+Assumptions!$D$180)+1)</f>
        <v>0</v>
      </c>
      <c r="AG11" s="29" t="n">
        <f aca="false">MAX(0,MIN(C11,Funnel!$B$19)-MAX(B11,Assumptions!$D$7+Assumptions!$D$181)+1)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IF(SUM($AA$4:$AA$14)&gt;0,AA12/SUM($AA$4:$AA$14),0)</f>
        <v>0</v>
      </c>
      <c r="F12" s="30" t="n">
        <f aca="false">IF(A12-ROUNDUP(Funnel!$B$15/7,0)&gt;=1,INDEX($D$4:$D$14,A12-ROUNDUP(Funnel!$B$15/7,0)),0)</f>
        <v>0.027</v>
      </c>
      <c r="G12" s="30" t="n">
        <f aca="false">IF(A12-ROUNDUP(Funnel!$B$16/7,0)&gt;=1,INDEX($E$4:$E$14,A12-ROUNDUP(Funnel!$B$16/7,0)),0)</f>
        <v>0.0345683389469952</v>
      </c>
      <c r="H12" s="41" t="n">
        <f aca="false">($F$19-$L$19-$L$23)*D12+$L$19*AB12+$L$23*AC12+$F$20*E12+$F$31*Y12</f>
        <v>0</v>
      </c>
      <c r="I12" s="41" t="n">
        <f aca="false">IF(A12=1,$F$21,0)</f>
        <v>0</v>
      </c>
      <c r="J12" s="41" t="n">
        <f aca="false">$F$22*F12+$F$23*G12</f>
        <v>304.78803269766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304.78803269766</v>
      </c>
      <c r="N12" s="41" t="n">
        <f aca="false">SUM($M$4:M12)</f>
        <v>102255.847555873</v>
      </c>
      <c r="O12" s="29" t="n">
        <f aca="false">(Funnel!$M$5+Funnel!$M$6+Funnel!$M$7-$F$27-$F$34-$L$20-$L$24)*D12+$L$20*AB12+$L$24*AC12+(Funnel!$M$8-$F$28-$F$35)*E12+($F$27+$F$28)*X12+($F$34+$F$35)*Y12</f>
        <v>0</v>
      </c>
      <c r="P12" s="29" t="n">
        <f aca="false">(Funnel!$O$5+Funnel!$O$6+Funnel!$O$7-$F$25-$F$32-$L$21-$L$25)*D12+$L$21*AB12+$L$25*AC12+(Funnel!$O$8-$F$26-$F$33)*E12+($F$25+$F$26)*X12+($F$32+$F$33)*Y12</f>
        <v>0</v>
      </c>
      <c r="Q12" s="29" t="n">
        <f aca="false">Assumptions!$D$9*MAX(0,MIN(C12+Assumptions!$D$21,Funnel!$B$17)-MAX(IF(A12=1,Funnel!$B$13,B12+Assumptions!$D$21),Funnel!$B$13)+1)/7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$36-$L$22-$L$26)+IF(A12-ROUNDUP(Funnel!$B$15/7,0)&gt;=1,INDEX($X$4:$X$14,A12-ROUNDUP(Funnel!$B$15/7,0))*$F$29+INDEX($Y$4:$Y$14,A12-ROUNDUP(Funnel!$B$15/7,0))*$F$36+INDEX($AB$4:$AB$14,A12-ROUNDUP(Funnel!$B$15/7,0))*$L$22+INDEX($AC$4:$AC$14,A12-ROUNDUP(Funnel!$B$15/7,0))*$L$26,0))</f>
        <v>2.50206329531822</v>
      </c>
      <c r="U12" s="32" t="n">
        <f aca="false">$F$38*(G12*(Budget!$G$24-$F$30-$F$37)+IF(A12-ROUNDUP(Funnel!$B$16/7,0)&gt;=1,INDEX($X$4:$X$14,A12-ROUNDUP(Funnel!$B$16/7,0))*$F$30+INDEX($Y$4:$Y$14,A12-ROUNDUP(Funnel!$B$16/7,0))*$F$37,0))</f>
        <v>0.300729169235193</v>
      </c>
      <c r="V12" s="32" t="n">
        <f aca="false">T12+U12</f>
        <v>2.80279246455341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  <c r="AA12" s="30" t="n">
        <f aca="false">D12*IF(MAX(0,MIN(C12,Funnel!$B$19)-B12+1)&gt;0,MAX(0,MIN(C12,Funnel!$B$20)-B12+1)/MAX(0,MIN(C12,Funnel!$B$19)-B12+1),0)</f>
        <v>0</v>
      </c>
      <c r="AB12" s="30" t="n">
        <f aca="false">IF(SUM($AD$4:$AD$14)&gt;0,AD12/SUM($AD$4:$AD$14),IF(SUM($AF$4:$AF$14)&gt;0,AF12/SUM($AF$4:$AF$14),0))</f>
        <v>0</v>
      </c>
      <c r="AC12" s="30" t="n">
        <f aca="false">IF(SUM($AE$4:$AE$14)&gt;0,AE12/SUM($AE$4:$AE$14),IF(SUM($AG$4:$AG$14)&gt;0,AG12/SUM($AG$4:$AG$14),0))</f>
        <v>0</v>
      </c>
      <c r="AD12" s="30" t="n">
        <f aca="false">D12*IF(MAX(0,MIN(C12,Funnel!$B$19)-B12+1)&gt;0,MAX(0,MIN(C12,Funnel!$B$19)-MAX(B12,Assumptions!$D$7+Assumptions!$D$180)+1)/MAX(0,MIN(C12,Funnel!$B$19)-B12+1),0)</f>
        <v>0</v>
      </c>
      <c r="AE12" s="30" t="n">
        <f aca="false">D12*IF(MAX(0,MIN(C12,Funnel!$B$19)-B12+1)&gt;0,MAX(0,MIN(C12,Funnel!$B$19)-MAX(B12,Assumptions!$D$7+Assumptions!$D$181)+1)/MAX(0,MIN(C12,Funnel!$B$19)-B12+1),0)</f>
        <v>0</v>
      </c>
      <c r="AF12" s="29" t="n">
        <f aca="false">MAX(0,MIN(C12,Funnel!$B$19)-MAX(B12,Assumptions!$D$7+Assumptions!$D$180)+1)</f>
        <v>0</v>
      </c>
      <c r="AG12" s="29" t="n">
        <f aca="false">MAX(0,MIN(C12,Funnel!$B$19)-MAX(B12,Assumptions!$D$7+Assumptions!$D$181)+1)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IF(SUM($AA$4:$AA$14)&gt;0,AA13/SUM($AA$4:$AA$14),0)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($F$19-$L$19-$L$23)*D13+$L$19*AB13+$L$23*AC13+$F$20*E13+$F$31*Y13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102255.847555873</v>
      </c>
      <c r="O13" s="29" t="n">
        <f aca="false">(Funnel!$M$5+Funnel!$M$6+Funnel!$M$7-$F$27-$F$34-$L$20-$L$24)*D13+$L$20*AB13+$L$24*AC13+(Funnel!$M$8-$F$28-$F$35)*E13+($F$27+$F$28)*X13+($F$34+$F$35)*Y13</f>
        <v>0</v>
      </c>
      <c r="P13" s="29" t="n">
        <f aca="false">(Funnel!$O$5+Funnel!$O$6+Funnel!$O$7-$F$25-$F$32-$L$21-$L$25)*D13+$L$21*AB13+$L$25*AC13+(Funnel!$O$8-$F$26-$F$33)*E13+($F$25+$F$26)*X13+($F$32+$F$33)*Y13</f>
        <v>0</v>
      </c>
      <c r="Q13" s="29" t="n">
        <f aca="false">Assumptions!$D$9*MAX(0,MIN(C13+Assumptions!$D$21,Funnel!$B$17)-MAX(IF(A13=1,Funnel!$B$13,B13+Assumptions!$D$21),Funnel!$B$13)+1)/7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$36-$L$22-$L$26)+IF(A13-ROUNDUP(Funnel!$B$15/7,0)&gt;=1,INDEX($X$4:$X$14,A13-ROUNDUP(Funnel!$B$15/7,0))*$F$29+INDEX($Y$4:$Y$14,A13-ROUNDUP(Funnel!$B$15/7,0))*$F$36+INDEX($AB$4:$AB$14,A13-ROUNDUP(Funnel!$B$15/7,0))*$L$22+INDEX($AC$4:$AC$14,A13-ROUNDUP(Funnel!$B$15/7,0))*$L$26,0)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  <c r="AA13" s="30" t="n">
        <f aca="false">D13*IF(MAX(0,MIN(C13,Funnel!$B$19)-B13+1)&gt;0,MAX(0,MIN(C13,Funnel!$B$20)-B13+1)/MAX(0,MIN(C13,Funnel!$B$19)-B13+1),0)</f>
        <v>0</v>
      </c>
      <c r="AB13" s="30" t="n">
        <f aca="false">IF(SUM($AD$4:$AD$14)&gt;0,AD13/SUM($AD$4:$AD$14),IF(SUM($AF$4:$AF$14)&gt;0,AF13/SUM($AF$4:$AF$14),0))</f>
        <v>0</v>
      </c>
      <c r="AC13" s="30" t="n">
        <f aca="false">IF(SUM($AE$4:$AE$14)&gt;0,AE13/SUM($AE$4:$AE$14),IF(SUM($AG$4:$AG$14)&gt;0,AG13/SUM($AG$4:$AG$14),0))</f>
        <v>0</v>
      </c>
      <c r="AD13" s="30" t="n">
        <f aca="false">D13*IF(MAX(0,MIN(C13,Funnel!$B$19)-B13+1)&gt;0,MAX(0,MIN(C13,Funnel!$B$19)-MAX(B13,Assumptions!$D$7+Assumptions!$D$180)+1)/MAX(0,MIN(C13,Funnel!$B$19)-B13+1),0)</f>
        <v>0</v>
      </c>
      <c r="AE13" s="30" t="n">
        <f aca="false">D13*IF(MAX(0,MIN(C13,Funnel!$B$19)-B13+1)&gt;0,MAX(0,MIN(C13,Funnel!$B$19)-MAX(B13,Assumptions!$D$7+Assumptions!$D$181)+1)/MAX(0,MIN(C13,Funnel!$B$19)-B13+1),0)</f>
        <v>0</v>
      </c>
      <c r="AF13" s="29" t="n">
        <f aca="false">MAX(0,MIN(C13,Funnel!$B$19)-MAX(B13,Assumptions!$D$7+Assumptions!$D$180)+1)</f>
        <v>0</v>
      </c>
      <c r="AG13" s="29" t="n">
        <f aca="false">MAX(0,MIN(C13,Funnel!$B$19)-MAX(B13,Assumptions!$D$7+Assumptions!$D$181)+1)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IF(SUM($AA$4:$AA$14)&gt;0,AA14/SUM($AA$4:$AA$14),0)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($F$19-$L$19-$L$23)*D14+$L$19*AB14+$L$23*AC14+$F$20*E14+$F$31*Y14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102255.847555873</v>
      </c>
      <c r="O14" s="29" t="n">
        <f aca="false">(Funnel!$M$5+Funnel!$M$6+Funnel!$M$7-$F$27-$F$34-$L$20-$L$24)*D14+$L$20*AB14+$L$24*AC14+(Funnel!$M$8-$F$28-$F$35)*E14+($F$27+$F$28)*X14+($F$34+$F$35)*Y14</f>
        <v>0</v>
      </c>
      <c r="P14" s="29" t="n">
        <f aca="false">(Funnel!$O$5+Funnel!$O$6+Funnel!$O$7-$F$25-$F$32-$L$21-$L$25)*D14+$L$21*AB14+$L$25*AC14+(Funnel!$O$8-$F$26-$F$33)*E14+($F$25+$F$26)*X14+($F$32+$F$33)*Y14</f>
        <v>0</v>
      </c>
      <c r="Q14" s="29" t="n">
        <f aca="false">Assumptions!$D$9*MAX(0,MIN(C14+Assumptions!$D$21,Funnel!$B$17)-MAX(IF(A14=1,Funnel!$B$13,B14+Assumptions!$D$21),Funnel!$B$13)+1)/7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$36-$L$22-$L$26)+IF(A14-ROUNDUP(Funnel!$B$15/7,0)&gt;=1,INDEX($X$4:$X$14,A14-ROUNDUP(Funnel!$B$15/7,0))*$F$29+INDEX($Y$4:$Y$14,A14-ROUNDUP(Funnel!$B$15/7,0))*$F$36+INDEX($AB$4:$AB$14,A14-ROUNDUP(Funnel!$B$15/7,0))*$L$22+INDEX($AC$4:$AC$14,A14-ROUNDUP(Funnel!$B$15/7,0))*$L$26,0)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  <c r="AA14" s="30" t="n">
        <f aca="false">D14*IF(MAX(0,MIN(C14,Funnel!$B$19)-B14+1)&gt;0,MAX(0,MIN(C14,Funnel!$B$20)-B14+1)/MAX(0,MIN(C14,Funnel!$B$19)-B14+1),0)</f>
        <v>0</v>
      </c>
      <c r="AB14" s="30" t="n">
        <f aca="false">IF(SUM($AD$4:$AD$14)&gt;0,AD14/SUM($AD$4:$AD$14),IF(SUM($AF$4:$AF$14)&gt;0,AF14/SUM($AF$4:$AF$14),0))</f>
        <v>0</v>
      </c>
      <c r="AC14" s="30" t="n">
        <f aca="false">IF(SUM($AE$4:$AE$14)&gt;0,AE14/SUM($AE$4:$AE$14),IF(SUM($AG$4:$AG$14)&gt;0,AG14/SUM($AG$4:$AG$14),0))</f>
        <v>0</v>
      </c>
      <c r="AD14" s="30" t="n">
        <f aca="false">D14*IF(MAX(0,MIN(C14,Funnel!$B$19)-B14+1)&gt;0,MAX(0,MIN(C14,Funnel!$B$19)-MAX(B14,Assumptions!$D$7+Assumptions!$D$180)+1)/MAX(0,MIN(C14,Funnel!$B$19)-B14+1),0)</f>
        <v>0</v>
      </c>
      <c r="AE14" s="30" t="n">
        <f aca="false">D14*IF(MAX(0,MIN(C14,Funnel!$B$19)-B14+1)&gt;0,MAX(0,MIN(C14,Funnel!$B$19)-MAX(B14,Assumptions!$D$7+Assumptions!$D$181)+1)/MAX(0,MIN(C14,Funnel!$B$19)-B14+1),0)</f>
        <v>0</v>
      </c>
      <c r="AF14" s="29" t="n">
        <f aca="false">MAX(0,MIN(C14,Funnel!$B$19)-MAX(B14,Assumptions!$D$7+Assumptions!$D$180)+1)</f>
        <v>0</v>
      </c>
      <c r="AG14" s="29" t="n">
        <f aca="false">MAX(0,MIN(C14,Funnel!$B$19)-MAX(B14,Assumptions!$D$7+Assumptions!$D$181)+1)</f>
        <v>0</v>
      </c>
    </row>
    <row r="15" customFormat="false" ht="15" hidden="false" customHeight="false" outlineLevel="0" collapsed="false">
      <c r="A15" s="28" t="s">
        <v>459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74882.1200558735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102255.847555873</v>
      </c>
      <c r="O15" s="35" t="n">
        <f aca="false">SUM(O4:O14)</f>
        <v>1494.5752431742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716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717</v>
      </c>
      <c r="H18" s="28" t="s">
        <v>718</v>
      </c>
    </row>
    <row r="19" customFormat="false" ht="15" hidden="false" customHeight="false" outlineLevel="0" collapsed="false">
      <c r="B19" s="2" t="s">
        <v>719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62640.1522284802</v>
      </c>
      <c r="H19" s="2" t="s">
        <v>720</v>
      </c>
      <c r="L19" s="41" t="n">
        <f aca="false">SUMIFS(Channels!$X$5:$X$34,Channels!$B$5:$B$34,"I2 Handwerk → Industrie (construction electricians)")</f>
        <v>9912</v>
      </c>
    </row>
    <row r="20" customFormat="false" ht="15" hidden="false" customHeight="false" outlineLevel="0" collapsed="false">
      <c r="B20" s="2" t="s">
        <v>721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12178.6678273933</v>
      </c>
      <c r="H20" s="2" t="s">
        <v>722</v>
      </c>
      <c r="L20" s="32" t="n">
        <f aca="false">SUMIFS(Channels!$W$5:$W$34,Channels!$B$5:$B$34,"I2 Handwerk → Industrie (construction electricians)")</f>
        <v>118</v>
      </c>
    </row>
    <row r="21" customFormat="false" ht="15" hidden="false" customHeight="false" outlineLevel="0" collapsed="false">
      <c r="B21" s="2" t="s">
        <v>723</v>
      </c>
      <c r="F21" s="41" t="n">
        <f aca="false">SUMIFS(Channels!$X$5:$X$34,Channels!$E$5:$E$34,"Slot")</f>
        <v>5796</v>
      </c>
      <c r="H21" s="2" t="s">
        <v>724</v>
      </c>
      <c r="L21" s="32" t="n">
        <f aca="false">SUMIFS(Channels!$V$5:$V$34,Channels!$B$5:$B$34,"I2 Handwerk → Industrie (construction electricians)")</f>
        <v>29.5</v>
      </c>
    </row>
    <row r="22" customFormat="false" ht="15" hidden="false" customHeight="false" outlineLevel="0" collapsed="false">
      <c r="B22" s="2" t="s">
        <v>725</v>
      </c>
      <c r="F22" s="41" t="n">
        <f aca="false">SUMIFS(Channels!$X$5:$X$34,Channels!$B$5:$B$34,"I1b Employee referral sprint (bonus on hire)",Channels!$C$5:$C$34,"&lt;&gt;Supervisors")</f>
        <v>9869.2425</v>
      </c>
      <c r="H22" s="2" t="s">
        <v>726</v>
      </c>
      <c r="L22" s="32" t="n">
        <f aca="false">SUMIFS(Channels!$U$5:$U$34,Channels!$B$5:$B$34,"I2 Handwerk → Industrie (construction electricians)")</f>
        <v>8.36325</v>
      </c>
    </row>
    <row r="23" customFormat="false" ht="15" hidden="false" customHeight="false" outlineLevel="0" collapsed="false">
      <c r="B23" s="2" t="s">
        <v>727</v>
      </c>
      <c r="F23" s="41" t="n">
        <f aca="false">SUMIFS(Channels!$X$5:$X$34,Channels!$B$5:$B$34,"I1b Employee referral sprint (bonus on hire)",Channels!$C$5:$C$34,"Supervisors")</f>
        <v>1108.485</v>
      </c>
      <c r="H23" s="2" t="s">
        <v>728</v>
      </c>
      <c r="L23" s="41" t="n">
        <f aca="false">SUMIFS(Channels!$X$5:$X$34,Channels!$B$5:$B$34,"I3 Polish border corridor + PL pre-screener")</f>
        <v>6493.50649350649</v>
      </c>
    </row>
    <row r="24" customFormat="false" ht="15" hidden="false" customHeight="false" outlineLevel="0" collapsed="false">
      <c r="B24" s="2" t="s">
        <v>729</v>
      </c>
      <c r="F24" s="41" t="n">
        <f aca="false">SUM(Channels!$Z$5:$Z$34)</f>
        <v>9000</v>
      </c>
      <c r="H24" s="2" t="s">
        <v>730</v>
      </c>
      <c r="L24" s="32" t="n">
        <f aca="false">SUMIFS(Channels!$W$5:$W$34,Channels!$B$5:$B$34,"I3 Polish border corridor + PL pre-screener")</f>
        <v>346.320346320346</v>
      </c>
    </row>
    <row r="25" customFormat="false" ht="15" hidden="false" customHeight="false" outlineLevel="0" collapsed="false">
      <c r="B25" s="2" t="s">
        <v>731</v>
      </c>
      <c r="F25" s="32" t="n">
        <f aca="false">SUMIFS(Channels!$AF$5:$AF$34,Channels!$C$5:$C$34,"&lt;&gt;Supervisors")</f>
        <v>8.9323002511364</v>
      </c>
      <c r="H25" s="2" t="s">
        <v>732</v>
      </c>
      <c r="L25" s="32" t="n">
        <f aca="false">SUMIFS(Channels!$V$5:$V$34,Channels!$B$5:$B$34,"I3 Polish border corridor + PL pre-screener")</f>
        <v>48.4848484848485</v>
      </c>
    </row>
    <row r="26" customFormat="false" ht="15" hidden="false" customHeight="false" outlineLevel="0" collapsed="false">
      <c r="B26" s="2" t="s">
        <v>733</v>
      </c>
      <c r="F26" s="32" t="n">
        <f aca="false">SUMIFS(Channels!$AF$5:$AF$34,Channels!$C$5:$C$34,"Supervisors")</f>
        <v>3.25605421987231</v>
      </c>
      <c r="H26" s="2" t="s">
        <v>734</v>
      </c>
      <c r="L26" s="32" t="n">
        <f aca="false">SUMIFS(Channels!$U$5:$U$34,Channels!$B$5:$B$34,"I3 Polish border corridor + PL pre-screener")</f>
        <v>18</v>
      </c>
    </row>
    <row r="27" customFormat="false" ht="15" hidden="false" customHeight="false" outlineLevel="0" collapsed="false">
      <c r="B27" s="2" t="s">
        <v>735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736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737</v>
      </c>
      <c r="F29" s="32" t="n">
        <f aca="false">SUMIFS(Channels!$AG$5:$AG$34,Channels!$C$5:$C$34,"&lt;&gt;Supervisors")</f>
        <v>2.85387135751913</v>
      </c>
    </row>
    <row r="30" customFormat="false" ht="15" hidden="false" customHeight="false" outlineLevel="0" collapsed="false">
      <c r="B30" s="2" t="s">
        <v>738</v>
      </c>
      <c r="F30" s="32" t="n">
        <f aca="false">SUMIFS(Channels!$AG$5:$AG$34,Channels!$C$5:$C$34,"Supervisors")</f>
        <v>0.774940904329609</v>
      </c>
    </row>
    <row r="31" customFormat="false" ht="15" hidden="false" customHeight="false" outlineLevel="0" collapsed="false">
      <c r="B31" s="2" t="s">
        <v>739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740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741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742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743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744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745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746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747</v>
      </c>
    </row>
    <row r="43" customFormat="false" ht="30" hidden="false" customHeight="true" outlineLevel="0" collapsed="false">
      <c r="A43" s="12"/>
      <c r="B43" s="12" t="s">
        <v>321</v>
      </c>
      <c r="C43" s="12" t="s">
        <v>748</v>
      </c>
      <c r="D43" s="12" t="s">
        <v>749</v>
      </c>
      <c r="E43" s="12" t="s">
        <v>750</v>
      </c>
      <c r="F43" s="12" t="s">
        <v>751</v>
      </c>
      <c r="G43" s="12" t="s">
        <v>752</v>
      </c>
      <c r="H43" s="12" t="s">
        <v>753</v>
      </c>
      <c r="I43" s="12" t="s">
        <v>754</v>
      </c>
      <c r="J43" s="12" t="s">
        <v>755</v>
      </c>
      <c r="K43" s="12" t="s">
        <v>756</v>
      </c>
      <c r="L43" s="12" t="s">
        <v>757</v>
      </c>
      <c r="M43" s="12" t="s">
        <v>758</v>
      </c>
      <c r="N43" s="12" t="s">
        <v>459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11525.1727439475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6080.37224511747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5260.61016384666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5554.68153946542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6371.54647173974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882.214126856272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35674.597290973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9660.58481622726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4656.12851558788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4616.31061839427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4874.36524923618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3065.20576396032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366.121307988017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27238.7162713939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600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900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0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0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0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0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1500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3118.68063</v>
      </c>
      <c r="G51" s="41" t="n">
        <f aca="false">SUMIFS(Channels!$X$5:$X$34,Channels!$B$5:$B$34,$B51,Channels!$C$5:$C$34,"&lt;&gt;Supervisors")*$F$8+SUMIFS(Channels!$X$5:$X$34,Channels!$B$5:$B$34,$B51,Channels!$C$5:$C$34,"Supervisors")*$G$8</f>
        <v>1727.53994317807</v>
      </c>
      <c r="H51" s="41" t="n">
        <f aca="false">SUMIFS(Channels!$X$5:$X$34,Channels!$B$5:$B$34,$B51,Channels!$C$5:$C$34,"&lt;&gt;Supervisors")*$F$9+SUMIFS(Channels!$X$5:$X$34,Channels!$B$5:$B$34,$B51,Channels!$C$5:$C$34,"Supervisors")*$G$9</f>
        <v>1769.14317545515</v>
      </c>
      <c r="I51" s="41" t="n">
        <f aca="false">SUMIFS(Channels!$X$5:$X$34,Channels!$B$5:$B$34,$B51,Channels!$C$5:$C$34,"&lt;&gt;Supervisors")*$F$10+SUMIFS(Channels!$X$5:$X$34,Channels!$B$5:$B$34,$B51,Channels!$C$5:$C$34,"Supervisors")*$G$10</f>
        <v>1899.23241893725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2158.34329973187</v>
      </c>
      <c r="K51" s="41" t="n">
        <f aca="false">SUMIFS(Channels!$X$5:$X$34,Channels!$B$5:$B$34,$B51,Channels!$C$5:$C$34,"&lt;&gt;Supervisors")*$F$12+SUMIFS(Channels!$X$5:$X$34,Channels!$B$5:$B$34,$B51,Channels!$C$5:$C$34,"Supervisors")*$G$12</f>
        <v>304.78803269766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SUMIFS(Channels!$X$5:$X$34,Channels!$B$5:$B$34,$B52)*$AB$4+SUMIFS(Channels!$Y$5:$Y$34,Channels!$B$5:$B$34,$B52)</f>
        <v>3270.18638466623</v>
      </c>
      <c r="D52" s="41" t="n">
        <f aca="false">SUMIFS(Channels!$X$5:$X$34,Channels!$B$5:$B$34,$B52)*$AB$5</f>
        <v>1501.86781229346</v>
      </c>
      <c r="E52" s="41" t="n">
        <f aca="false">SUMIFS(Channels!$X$5:$X$34,Channels!$B$5:$B$34,$B52)*$AB$6</f>
        <v>1845.80700594845</v>
      </c>
      <c r="F52" s="41" t="n">
        <f aca="false">SUMIFS(Channels!$X$5:$X$34,Channels!$B$5:$B$34,$B52)*$AB$7</f>
        <v>1948.98876404494</v>
      </c>
      <c r="G52" s="41" t="n">
        <f aca="false">SUMIFS(Channels!$X$5:$X$34,Channels!$B$5:$B$34,$B52)*$AB$8</f>
        <v>2235.60475875744</v>
      </c>
      <c r="H52" s="41" t="n">
        <f aca="false">SUMIFS(Channels!$X$5:$X$34,Channels!$B$5:$B$34,$B52)*$AB$9</f>
        <v>309.545274289491</v>
      </c>
      <c r="I52" s="41" t="n">
        <f aca="false">SUMIFS(Channels!$X$5:$X$34,Channels!$B$5:$B$34,$B52)*$AB$10</f>
        <v>0</v>
      </c>
      <c r="J52" s="41" t="n">
        <f aca="false">SUMIFS(Channels!$X$5:$X$34,Channels!$B$5:$B$34,$B52)*$AB$11</f>
        <v>0</v>
      </c>
      <c r="K52" s="41" t="n">
        <f aca="false">SUMIFS(Channels!$X$5:$X$34,Channels!$B$5:$B$34,$B52)*$AB$12</f>
        <v>0</v>
      </c>
      <c r="L52" s="41" t="n">
        <f aca="false">SUMIFS(Channels!$X$5:$X$34,Channels!$B$5:$B$34,$B52)*$AB$13</f>
        <v>0</v>
      </c>
      <c r="M52" s="41" t="n">
        <f aca="false">SUMIFS(Channels!$X$5:$X$34,Channels!$B$5:$B$34,$B52)*$AB$14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SUMIFS(Channels!$X$5:$X$34,Channels!$B$5:$B$34,$B53)*$AC$4+SUMIFS(Channels!$Y$5:$Y$34,Channels!$B$5:$B$34,$B53)</f>
        <v>400</v>
      </c>
      <c r="D53" s="41" t="n">
        <f aca="false">SUMIFS(Channels!$X$5:$X$34,Channels!$B$5:$B$34,$B53)*$AC$5</f>
        <v>1243.63940153414</v>
      </c>
      <c r="E53" s="41" t="n">
        <f aca="false">SUMIFS(Channels!$X$5:$X$34,Channels!$B$5:$B$34,$B53)*$AC$6</f>
        <v>1528.442317916</v>
      </c>
      <c r="F53" s="41" t="n">
        <f aca="false">SUMIFS(Channels!$X$5:$X$34,Channels!$B$5:$B$34,$B53)*$AC$7</f>
        <v>1613.88319283056</v>
      </c>
      <c r="G53" s="41" t="n">
        <f aca="false">SUMIFS(Channels!$X$5:$X$34,Channels!$B$5:$B$34,$B53)*$AC$8</f>
        <v>1851.21895648211</v>
      </c>
      <c r="H53" s="41" t="n">
        <f aca="false">SUMIFS(Channels!$X$5:$X$34,Channels!$B$5:$B$34,$B53)*$AC$9</f>
        <v>256.322624743677</v>
      </c>
      <c r="I53" s="41" t="n">
        <f aca="false">SUMIFS(Channels!$X$5:$X$34,Channels!$B$5:$B$34,$B53)*$AC$10</f>
        <v>0</v>
      </c>
      <c r="J53" s="41" t="n">
        <f aca="false">SUMIFS(Channels!$X$5:$X$34,Channels!$B$5:$B$34,$B53)*$AC$11</f>
        <v>0</v>
      </c>
      <c r="K53" s="41" t="n">
        <f aca="false">SUMIFS(Channels!$X$5:$X$34,Channels!$B$5:$B$34,$B53)*$AC$12</f>
        <v>0</v>
      </c>
      <c r="L53" s="41" t="n">
        <f aca="false">SUMIFS(Channels!$X$5:$X$34,Channels!$B$5:$B$34,$B53)*$AC$13</f>
        <v>0</v>
      </c>
      <c r="M53" s="41" t="n">
        <f aca="false">SUMIFS(Channels!$X$5:$X$34,Channels!$B$5:$B$34,$B53)*$AC$14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459</v>
      </c>
      <c r="C54" s="42" t="n">
        <f aca="false">SUM(C44:C53)</f>
        <v>32489.923944841</v>
      </c>
      <c r="D54" s="42" t="n">
        <f aca="false">SUM(D44:D53)</f>
        <v>16200.3649745329</v>
      </c>
      <c r="E54" s="42" t="n">
        <f aca="false">SUM(E44:E53)</f>
        <v>13258.1331061054</v>
      </c>
      <c r="F54" s="42" t="n">
        <f aca="false">SUM(F44:F53)</f>
        <v>17110.5993755771</v>
      </c>
      <c r="G54" s="42" t="n">
        <f aca="false">SUM(G44:G53)</f>
        <v>15251.1158941177</v>
      </c>
      <c r="H54" s="42" t="n">
        <f aca="false">SUM(H44:H53)</f>
        <v>3583.34650933261</v>
      </c>
      <c r="I54" s="42" t="n">
        <f aca="false">SUM(I44:I53)</f>
        <v>1899.23241893725</v>
      </c>
      <c r="J54" s="42" t="n">
        <f aca="false">SUM(J44:J53)</f>
        <v>2158.34329973187</v>
      </c>
      <c r="K54" s="42" t="n">
        <f aca="false">SUM(K44:K53)</f>
        <v>304.78803269766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102255.847555873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A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3" min="4" style="0" width="10"/>
    <col collapsed="false" customWidth="true" hidden="false" outlineLevel="0" max="24" min="24" style="0" width="26"/>
    <col collapsed="false" customWidth="true" hidden="false" outlineLevel="0" max="27" min="25" style="0" width="10"/>
  </cols>
  <sheetData>
    <row r="1" customFormat="false" ht="17.35" hidden="false" customHeight="false" outlineLevel="0" collapsed="false">
      <c r="A1" s="1" t="s">
        <v>759</v>
      </c>
    </row>
    <row r="2" customFormat="false" ht="15" hidden="false" customHeight="false" outlineLevel="0" collapsed="false">
      <c r="A2" s="2" t="s">
        <v>760</v>
      </c>
    </row>
    <row r="4" customFormat="false" ht="45" hidden="false" customHeight="true" outlineLevel="0" collapsed="false">
      <c r="A4" s="12" t="s">
        <v>22</v>
      </c>
      <c r="B4" s="12" t="s">
        <v>321</v>
      </c>
      <c r="C4" s="12" t="s">
        <v>322</v>
      </c>
      <c r="D4" s="12" t="s">
        <v>761</v>
      </c>
      <c r="E4" s="12" t="s">
        <v>762</v>
      </c>
      <c r="F4" s="12" t="s">
        <v>763</v>
      </c>
      <c r="G4" s="12" t="s">
        <v>764</v>
      </c>
      <c r="H4" s="12" t="s">
        <v>765</v>
      </c>
      <c r="I4" s="12" t="s">
        <v>766</v>
      </c>
      <c r="J4" s="12" t="s">
        <v>767</v>
      </c>
      <c r="K4" s="12" t="s">
        <v>768</v>
      </c>
      <c r="L4" s="12" t="s">
        <v>769</v>
      </c>
      <c r="M4" s="12" t="s">
        <v>770</v>
      </c>
      <c r="N4" s="12" t="s">
        <v>771</v>
      </c>
      <c r="O4" s="12" t="s">
        <v>772</v>
      </c>
      <c r="P4" s="12" t="s">
        <v>773</v>
      </c>
      <c r="Q4" s="12" t="s">
        <v>774</v>
      </c>
      <c r="R4" s="12" t="s">
        <v>775</v>
      </c>
      <c r="S4" s="12" t="s">
        <v>776</v>
      </c>
      <c r="T4" s="12" t="s">
        <v>777</v>
      </c>
      <c r="U4" s="12" t="s">
        <v>778</v>
      </c>
      <c r="V4" s="12" t="s">
        <v>779</v>
      </c>
      <c r="W4" s="12" t="s">
        <v>780</v>
      </c>
      <c r="X4" s="12" t="s">
        <v>781</v>
      </c>
      <c r="Y4" s="12" t="s">
        <v>782</v>
      </c>
      <c r="Z4" s="12" t="s">
        <v>783</v>
      </c>
      <c r="AA4" s="12" t="s">
        <v>784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data",IF(OR(W5&gt;=Assumptions!$D$87,AND(R5=0,P5&gt;=Assumptions!$D$88,Q5&gt;=Assumptions!$D$84)),"SWITCH OFF",IF(W5&gt;=Assumptions!$D$86,"CUT 50%",IF(W5&lt;=Assumptions!$D$85,"ADD +"&amp;TEXT(Assumptions!$D$96,"0%")&amp;" (if slots free)","HOLD"))))))</f>
        <v>Free – monitor quality</v>
      </c>
      <c r="Y5" s="15"/>
      <c r="Z5" s="41" t="str">
        <f aca="false">IF(Y5&gt;0,P5/Y5,"")</f>
        <v/>
      </c>
      <c r="AA5" s="32" t="n">
        <f aca="false">Channels!U5</f>
        <v>5.788125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data",IF(OR(W6&gt;=Assumptions!$D$87,AND(R6=0,P6&gt;=Assumptions!$D$88,Q6&gt;=Assumptions!$D$84)),"SWITCH OFF",IF(W6&gt;=Assumptions!$D$86,"CUT 50%",IF(W6&lt;=Assumptions!$D$85,"ADD +"&amp;TEXT(Assumptions!$D$96,"0%")&amp;" (if slots free)","HOLD"))))))</f>
        <v>Free – monitor quality</v>
      </c>
      <c r="Y6" s="15"/>
      <c r="Z6" s="41" t="str">
        <f aca="false">IF(Y6&gt;0,P6/Y6,"")</f>
        <v/>
      </c>
      <c r="AA6" s="32" t="n">
        <f aca="false">Channels!U6</f>
        <v>10.2650625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data",IF(OR(W7&gt;=Assumptions!$D$87,AND(R7=0,P7&gt;=Assumptions!$D$88,Q7&gt;=Assumptions!$D$84)),"SWITCH OFF",IF(W7&gt;=Assumptions!$D$86,"CUT 50%",IF(W7&lt;=Assumptions!$D$85,"ADD +"&amp;TEXT(Assumptions!$D$96,"0%")&amp;" (if slots free)","HOLD"))))))</f>
        <v>Free – monitor quality</v>
      </c>
      <c r="Y7" s="15"/>
      <c r="Z7" s="41" t="str">
        <f aca="false">IF(Y7&gt;0,P7/Y7,"")</f>
        <v/>
      </c>
      <c r="AA7" s="32" t="n">
        <f aca="false">Channels!U7</f>
        <v>2.6294625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0.161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0.161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data",IF(OR(W8&gt;=Assumptions!$D$87,AND(R8=0,P8&gt;=Assumptions!$D$88,Q8&gt;=Assumptions!$D$84)),"SWITCH OFF",IF(W8&gt;=Assumptions!$D$86,"CUT 50%",IF(W8&lt;=Assumptions!$D$85,"ADD +"&amp;TEXT(Assumptions!$D$96,"0%")&amp;" (if slots free)","HOLD"))))))</f>
        <v>Free – monitor quality</v>
      </c>
      <c r="Y8" s="15"/>
      <c r="Z8" s="41" t="str">
        <f aca="false">IF(Y8&gt;0,P8/Y8,"")</f>
        <v/>
      </c>
      <c r="AA8" s="32" t="n">
        <f aca="false">Channels!U8</f>
        <v>1.34113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data",IF(OR(W9&gt;=Assumptions!$D$87,AND(R9=0,P9&gt;=Assumptions!$D$88,Q9&gt;=Assumptions!$D$84)),"SWITCH OFF",IF(W9&gt;=Assumptions!$D$86,"CUT 50%",IF(W9&lt;=Assumptions!$D$85,"ADD +"&amp;TEXT(Assumptions!$D$96,"0%")&amp;" (if slots free)","HOLD"))))))</f>
        <v>Wait – too little data</v>
      </c>
      <c r="Y9" s="15"/>
      <c r="Z9" s="41" t="str">
        <f aca="false">IF(Y9&gt;0,P9/Y9,"")</f>
        <v/>
      </c>
      <c r="AA9" s="32" t="n">
        <f aca="false">Channels!U9</f>
        <v>8.95534807960894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data",IF(OR(W10&gt;=Assumptions!$D$87,AND(R10=0,P10&gt;=Assumptions!$D$88,Q10&gt;=Assumptions!$D$84)),"SWITCH OFF",IF(W10&gt;=Assumptions!$D$86,"CUT 50%",IF(W10&lt;=Assumptions!$D$85,"ADD +"&amp;TEXT(Assumptions!$D$96,"0%")&amp;" (if slots free)","HOLD"))))))</f>
        <v>Wait – too little data</v>
      </c>
      <c r="Y10" s="15"/>
      <c r="Z10" s="41" t="str">
        <f aca="false">IF(Y10&gt;0,P10/Y10,"")</f>
        <v/>
      </c>
      <c r="AA10" s="32" t="n">
        <f aca="false">Channels!U10</f>
        <v>7.17620827239625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data",IF(OR(W11&gt;=Assumptions!$D$87,AND(R11=0,P11&gt;=Assumptions!$D$88,Q11&gt;=Assumptions!$D$84)),"SWITCH OFF",IF(W11&gt;=Assumptions!$D$86,"CUT 50%",IF(W11&lt;=Assumptions!$D$85,"ADD +"&amp;TEXT(Assumptions!$D$96,"0%")&amp;" (if slots free)","HOLD"))))))</f>
        <v>Wait – too little data</v>
      </c>
      <c r="Y11" s="15"/>
      <c r="Z11" s="41" t="str">
        <f aca="false">IF(Y11&gt;0,P11/Y11,"")</f>
        <v/>
      </c>
      <c r="AA11" s="32" t="n">
        <f aca="false">Channels!U11</f>
        <v>0.297146739130435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data",IF(OR(W12&gt;=Assumptions!$D$87,AND(R12=0,P12&gt;=Assumptions!$D$88,Q12&gt;=Assumptions!$D$84)),"SWITCH OFF",IF(W12&gt;=Assumptions!$D$86,"CUT 50%",IF(W12&lt;=Assumptions!$D$85,"ADD +"&amp;TEXT(Assumptions!$D$96,"0%")&amp;" (if slots free)","HOLD"))))))</f>
        <v>Wait – too little data</v>
      </c>
      <c r="Y12" s="15"/>
      <c r="Z12" s="41" t="str">
        <f aca="false">IF(Y12&gt;0,P12/Y12,"")</f>
        <v/>
      </c>
      <c r="AA12" s="32" t="n">
        <f aca="false">Channels!U12</f>
        <v>0.2295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data",IF(OR(W13&gt;=Assumptions!$D$87,AND(R13=0,P13&gt;=Assumptions!$D$88,Q13&gt;=Assumptions!$D$84)),"SWITCH OFF",IF(W13&gt;=Assumptions!$D$86,"CUT 50%",IF(W13&lt;=Assumptions!$D$85,"ADD +"&amp;TEXT(Assumptions!$D$96,"0%")&amp;" (if slots free)","HOLD"))))))</f>
        <v>Wait – too little data</v>
      </c>
      <c r="Y13" s="15"/>
      <c r="Z13" s="41" t="str">
        <f aca="false">IF(Y13&gt;0,P13/Y13,"")</f>
        <v/>
      </c>
      <c r="AA13" s="32" t="n">
        <f aca="false">Channels!U13</f>
        <v>1.701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data",IF(OR(W14&gt;=Assumptions!$D$87,AND(R14=0,P14&gt;=Assumptions!$D$88,Q14&gt;=Assumptions!$D$84)),"SWITCH OFF",IF(W14&gt;=Assumptions!$D$86,"CUT 50%",IF(W14&lt;=Assumptions!$D$85,"ADD +"&amp;TEXT(Assumptions!$D$96,"0%")&amp;" (if slots free)","HOLD"))))))</f>
        <v>Wait – too little data</v>
      </c>
      <c r="Y14" s="15"/>
      <c r="Z14" s="41" t="str">
        <f aca="false">IF(Y14&gt;0,P14/Y14,"")</f>
        <v/>
      </c>
      <c r="AA14" s="32" t="n">
        <f aca="false">Channels!U14</f>
        <v>2.00475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data",IF(OR(W15&gt;=Assumptions!$D$87,AND(R15=0,P15&gt;=Assumptions!$D$88,Q15&gt;=Assumptions!$D$84)),"SWITCH OFF",IF(W15&gt;=Assumptions!$D$86,"CUT 50%",IF(W15&lt;=Assumptions!$D$85,"ADD +"&amp;TEXT(Assumptions!$D$96,"0%")&amp;" (if slots free)","HOLD"))))))</f>
        <v>Wait – too little data</v>
      </c>
      <c r="Y15" s="15"/>
      <c r="Z15" s="41" t="str">
        <f aca="false">IF(Y15&gt;0,P15/Y15,"")</f>
        <v/>
      </c>
      <c r="AA15" s="32" t="n">
        <f aca="false">Channels!U15</f>
        <v>0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data",IF(OR(W16&gt;=Assumptions!$D$87,AND(R16=0,P16&gt;=Assumptions!$D$88,Q16&gt;=Assumptions!$D$84)),"SWITCH OFF",IF(W16&gt;=Assumptions!$D$86,"CUT 50%",IF(W16&lt;=Assumptions!$D$85,"ADD +"&amp;TEXT(Assumptions!$D$96,"0%")&amp;" (if slots free)","HOLD"))))))</f>
        <v>Wait – too little data</v>
      </c>
      <c r="Y16" s="15"/>
      <c r="Z16" s="41" t="str">
        <f aca="false">IF(Y16&gt;0,P16/Y16,"")</f>
        <v/>
      </c>
      <c r="AA16" s="32" t="n">
        <f aca="false">Channels!U16</f>
        <v>0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data",IF(OR(W17&gt;=Assumptions!$D$87,AND(R17=0,P17&gt;=Assumptions!$D$88,Q17&gt;=Assumptions!$D$84)),"SWITCH OFF",IF(W17&gt;=Assumptions!$D$86,"CUT 50%",IF(W17&lt;=Assumptions!$D$85,"ADD +"&amp;TEXT(Assumptions!$D$96,"0%")&amp;" (if slots free)","HOLD"))))))</f>
        <v>Wait – too little data</v>
      </c>
      <c r="Y17" s="15"/>
      <c r="Z17" s="41" t="str">
        <f aca="false">IF(Y17&gt;0,P17/Y17,"")</f>
        <v/>
      </c>
      <c r="AA17" s="32" t="n">
        <f aca="false">Channels!U17</f>
        <v>9.50835640751761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data",IF(OR(W18&gt;=Assumptions!$D$87,AND(R18=0,P18&gt;=Assumptions!$D$88,Q18&gt;=Assumptions!$D$84)),"SWITCH OFF",IF(W18&gt;=Assumptions!$D$86,"CUT 50%",IF(W18&lt;=Assumptions!$D$85,"ADD +"&amp;TEXT(Assumptions!$D$96,"0%")&amp;" (if slots free)","HOLD"))))))</f>
        <v>Wait – too little data</v>
      </c>
      <c r="Y18" s="15"/>
      <c r="Z18" s="41" t="str">
        <f aca="false">IF(Y18&gt;0,P18/Y18,"")</f>
        <v/>
      </c>
      <c r="AA18" s="32" t="n">
        <f aca="false">Channels!U18</f>
        <v>6.63483072067039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0.1025</v>
      </c>
      <c r="F19" s="41" t="n">
        <f aca="false">Channels!O19</f>
        <v>819.512195121951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0.1025</v>
      </c>
      <c r="V19" s="41" t="n">
        <f aca="false">IF(U19&gt;0,IF(AND(OR(P19&gt;=Assumptions!$D$83,Q19&gt;=Assumptions!$D$84),Q19&gt;0),S19,D19)/U19,0)</f>
        <v>819.512195121951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data",IF(OR(W19&gt;=Assumptions!$D$87,AND(R19=0,P19&gt;=Assumptions!$D$88,Q19&gt;=Assumptions!$D$84)),"SWITCH OFF",IF(W19&gt;=Assumptions!$D$86,"CUT 50%",IF(W19&lt;=Assumptions!$D$85,"ADD +"&amp;TEXT(Assumptions!$D$96,"0%")&amp;" (if slots free)","HOLD"))))))</f>
        <v>Wait – too little data</v>
      </c>
      <c r="Y19" s="15"/>
      <c r="Z19" s="41" t="str">
        <f aca="false">IF(Y19&gt;0,P19/Y19,"")</f>
        <v/>
      </c>
      <c r="AA19" s="32" t="n">
        <f aca="false">Channels!U19</f>
        <v>0.28828125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0.1025</v>
      </c>
      <c r="F20" s="41" t="n">
        <f aca="false">Channels!O20</f>
        <v>819.512195121951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0.1025</v>
      </c>
      <c r="V20" s="41" t="n">
        <f aca="false">IF(U20&gt;0,IF(AND(OR(P20&gt;=Assumptions!$D$83,Q20&gt;=Assumptions!$D$84),Q20&gt;0),S20,D20)/U20,0)</f>
        <v>819.512195121951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data",IF(OR(W20&gt;=Assumptions!$D$87,AND(R20=0,P20&gt;=Assumptions!$D$88,Q20&gt;=Assumptions!$D$84)),"SWITCH OFF",IF(W20&gt;=Assumptions!$D$86,"CUT 50%",IF(W20&lt;=Assumptions!$D$85,"ADD +"&amp;TEXT(Assumptions!$D$96,"0%")&amp;" (if slots free)","HOLD"))))))</f>
        <v>Wait – too little data</v>
      </c>
      <c r="Y20" s="15"/>
      <c r="Z20" s="41" t="str">
        <f aca="false">IF(Y20&gt;0,P20/Y20,"")</f>
        <v/>
      </c>
      <c r="AA20" s="32" t="n">
        <f aca="false">Channels!U20</f>
        <v>0.339760044642857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0.175</v>
      </c>
      <c r="F21" s="41" t="n">
        <f aca="false">Channels!O21</f>
        <v>1022.85714285714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0.175</v>
      </c>
      <c r="V21" s="41" t="n">
        <f aca="false">IF(U21&gt;0,IF(AND(OR(P21&gt;=Assumptions!$D$83,Q21&gt;=Assumptions!$D$84),Q21&gt;0),S21,D21)/U21,0)</f>
        <v>1022.85714285714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data",IF(OR(W21&gt;=Assumptions!$D$87,AND(R21=0,P21&gt;=Assumptions!$D$88,Q21&gt;=Assumptions!$D$84)),"SWITCH OFF",IF(W21&gt;=Assumptions!$D$86,"CUT 50%",IF(W21&lt;=Assumptions!$D$85,"ADD +"&amp;TEXT(Assumptions!$D$96,"0%")&amp;" (if slots free)","HOLD"))))))</f>
        <v>Wait – too little data</v>
      </c>
      <c r="Y21" s="15"/>
      <c r="Z21" s="41" t="str">
        <f aca="false">IF(Y21&gt;0,P21/Y21,"")</f>
        <v/>
      </c>
      <c r="AA21" s="32" t="n">
        <f aca="false">Channels!U21</f>
        <v>0.230970670391061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0.175</v>
      </c>
      <c r="F22" s="41" t="n">
        <f aca="false">Channels!O22</f>
        <v>1022.85714285714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0.175</v>
      </c>
      <c r="V22" s="41" t="n">
        <f aca="false">IF(U22&gt;0,IF(AND(OR(P22&gt;=Assumptions!$D$83,Q22&gt;=Assumptions!$D$84),Q22&gt;0),S22,D22)/U22,0)</f>
        <v>1022.85714285714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data",IF(OR(W22&gt;=Assumptions!$D$87,AND(R22=0,P22&gt;=Assumptions!$D$88,Q22&gt;=Assumptions!$D$84)),"SWITCH OFF",IF(W22&gt;=Assumptions!$D$86,"CUT 50%",IF(W22&lt;=Assumptions!$D$85,"ADD +"&amp;TEXT(Assumptions!$D$96,"0%")&amp;" (if slots free)","HOLD"))))))</f>
        <v>Wait – too little data</v>
      </c>
      <c r="Y22" s="15"/>
      <c r="Z22" s="41" t="str">
        <f aca="false">IF(Y22&gt;0,P22/Y22,"")</f>
        <v/>
      </c>
      <c r="AA22" s="32" t="n">
        <f aca="false">Channels!U22</f>
        <v>0.272215432960894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0.175</v>
      </c>
      <c r="F23" s="41" t="n">
        <f aca="false">Channels!O23</f>
        <v>1022.85714285714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0.175</v>
      </c>
      <c r="V23" s="41" t="n">
        <f aca="false">IF(U23&gt;0,IF(AND(OR(P23&gt;=Assumptions!$D$83,Q23&gt;=Assumptions!$D$84),Q23&gt;0),S23,D23)/U23,0)</f>
        <v>1022.85714285714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data",IF(OR(W23&gt;=Assumptions!$D$87,AND(R23=0,P23&gt;=Assumptions!$D$88,Q23&gt;=Assumptions!$D$84)),"SWITCH OFF",IF(W23&gt;=Assumptions!$D$86,"CUT 50%",IF(W23&lt;=Assumptions!$D$85,"ADD +"&amp;TEXT(Assumptions!$D$96,"0%")&amp;" (if slots free)","HOLD"))))))</f>
        <v>Wait – too little data</v>
      </c>
      <c r="Y23" s="15"/>
      <c r="Z23" s="41" t="str">
        <f aca="false">IF(Y23&gt;0,P23/Y23,"")</f>
        <v/>
      </c>
      <c r="AA23" s="32" t="n">
        <f aca="false">Channels!U23</f>
        <v>0.207873603351955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0.161</v>
      </c>
      <c r="F24" s="41" t="n">
        <f aca="false">Channels!O24</f>
        <v>1111.80124223602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0.161</v>
      </c>
      <c r="V24" s="41" t="n">
        <f aca="false">IF(U24&gt;0,IF(AND(OR(P24&gt;=Assumptions!$D$83,Q24&gt;=Assumptions!$D$84),Q24&gt;0),S24,D24)/U24,0)</f>
        <v>1111.80124223602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data",IF(OR(W24&gt;=Assumptions!$D$87,AND(R24=0,P24&gt;=Assumptions!$D$88,Q24&gt;=Assumptions!$D$84)),"SWITCH OFF",IF(W24&gt;=Assumptions!$D$86,"CUT 50%",IF(W24&lt;=Assumptions!$D$85,"ADD +"&amp;TEXT(Assumptions!$D$96,"0%")&amp;" (if slots free)","HOLD"))))))</f>
        <v>Wait – too little data</v>
      </c>
      <c r="Y24" s="15"/>
      <c r="Z24" s="41" t="str">
        <f aca="false">IF(Y24&gt;0,P24/Y24,"")</f>
        <v/>
      </c>
      <c r="AA24" s="32" t="n">
        <f aca="false">Channels!U24</f>
        <v>0.160550279329609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data",IF(OR(W25&gt;=Assumptions!$D$87,AND(R25=0,P25&gt;=Assumptions!$D$88,Q25&gt;=Assumptions!$D$84)),"SWITCH OFF",IF(W25&gt;=Assumptions!$D$86,"CUT 50%",IF(W25&lt;=Assumptions!$D$85,"ADD +"&amp;TEXT(Assumptions!$D$96,"0%")&amp;" (if slots free)","HOLD"))))))</f>
        <v>Wait – too little data</v>
      </c>
      <c r="Y25" s="15"/>
      <c r="Z25" s="41" t="str">
        <f aca="false">IF(Y25&gt;0,P25/Y25,"")</f>
        <v/>
      </c>
      <c r="AA25" s="32" t="n">
        <f aca="false">Channels!U25</f>
        <v>1.412775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data",IF(OR(W26&gt;=Assumptions!$D$87,AND(R26=0,P26&gt;=Assumptions!$D$88,Q26&gt;=Assumptions!$D$84)),"SWITCH OFF",IF(W26&gt;=Assumptions!$D$86,"CUT 50%",IF(W26&lt;=Assumptions!$D$85,"ADD +"&amp;TEXT(Assumptions!$D$96,"0%")&amp;" (if slots free)","HOLD"))))))</f>
        <v>Wait – too little data</v>
      </c>
      <c r="Y26" s="15"/>
      <c r="Z26" s="41" t="str">
        <f aca="false">IF(Y26&gt;0,P26/Y26,"")</f>
        <v/>
      </c>
      <c r="AA26" s="32" t="n">
        <f aca="false">Channels!U26</f>
        <v>1.946835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data",IF(OR(W27&gt;=Assumptions!$D$87,AND(R27=0,P27&gt;=Assumptions!$D$88,Q27&gt;=Assumptions!$D$84)),"SWITCH OFF",IF(W27&gt;=Assumptions!$D$86,"CUT 50%",IF(W27&lt;=Assumptions!$D$85,"ADD +"&amp;TEXT(Assumptions!$D$96,"0%")&amp;" (if slots free)","HOLD"))))))</f>
        <v>Wait – too little data</v>
      </c>
      <c r="Y27" s="15"/>
      <c r="Z27" s="41" t="str">
        <f aca="false">IF(Y27&gt;0,P27/Y27,"")</f>
        <v/>
      </c>
      <c r="AA27" s="32" t="n">
        <f aca="false">Channels!U27</f>
        <v>0.743337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data",IF(OR(W28&gt;=Assumptions!$D$87,AND(R28=0,P28&gt;=Assumptions!$D$88,Q28&gt;=Assumptions!$D$84)),"SWITCH OFF",IF(W28&gt;=Assumptions!$D$86,"CUT 50%",IF(W28&lt;=Assumptions!$D$85,"ADD +"&amp;TEXT(Assumptions!$D$96,"0%")&amp;" (if slots free)","HOLD"))))))</f>
        <v>Wait – too little data</v>
      </c>
      <c r="Y28" s="15"/>
      <c r="Z28" s="41" t="str">
        <f aca="false">IF(Y28&gt;0,P28/Y28,"")</f>
        <v/>
      </c>
      <c r="AA28" s="32" t="n">
        <f aca="false">Channels!U28</f>
        <v>0.525504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data",IF(OR(W29&gt;=Assumptions!$D$87,AND(R29=0,P29&gt;=Assumptions!$D$88,Q29&gt;=Assumptions!$D$84)),"SWITCH OFF",IF(W29&gt;=Assumptions!$D$86,"CUT 50%",IF(W29&lt;=Assumptions!$D$85,"ADD +"&amp;TEXT(Assumptions!$D$96,"0%")&amp;" (if slots free)","HOLD"))))))</f>
        <v>Wait – too little data</v>
      </c>
      <c r="Y29" s="15"/>
      <c r="Z29" s="41" t="str">
        <f aca="false">IF(Y29&gt;0,P29/Y29,"")</f>
        <v/>
      </c>
      <c r="AA29" s="32" t="n">
        <f aca="false">Channels!U29</f>
        <v>3.26025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data",IF(OR(W30&gt;=Assumptions!$D$87,AND(R30=0,P30&gt;=Assumptions!$D$88,Q30&gt;=Assumptions!$D$84)),"SWITCH OFF",IF(W30&gt;=Assumptions!$D$86,"CUT 50%",IF(W30&lt;=Assumptions!$D$85,"ADD +"&amp;TEXT(Assumptions!$D$96,"0%")&amp;" (if slots free)","HOLD"))))))</f>
        <v>Wait – too little data</v>
      </c>
      <c r="Y30" s="15"/>
      <c r="Z30" s="41" t="str">
        <f aca="false">IF(Y30&gt;0,P30/Y30,"")</f>
        <v/>
      </c>
      <c r="AA30" s="32" t="n">
        <f aca="false">Channels!U30</f>
        <v>4.99516875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data",IF(OR(W31&gt;=Assumptions!$D$87,AND(R31=0,P31&gt;=Assumptions!$D$88,Q31&gt;=Assumptions!$D$84)),"SWITCH OFF",IF(W31&gt;=Assumptions!$D$86,"CUT 50%",IF(W31&lt;=Assumptions!$D$85,"ADD +"&amp;TEXT(Assumptions!$D$96,"0%")&amp;" (if slots free)","HOLD"))))))</f>
        <v>Wait – too little data</v>
      </c>
      <c r="Y31" s="15"/>
      <c r="Z31" s="41" t="str">
        <f aca="false">IF(Y31&gt;0,P31/Y31,"")</f>
        <v/>
      </c>
      <c r="AA31" s="32" t="n">
        <f aca="false">Channels!U31</f>
        <v>1.61382375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data",IF(OR(W32&gt;=Assumptions!$D$87,AND(R32=0,P32&gt;=Assumptions!$D$88,Q32&gt;=Assumptions!$D$84)),"SWITCH OFF",IF(W32&gt;=Assumptions!$D$86,"CUT 50%",IF(W32&lt;=Assumptions!$D$85,"ADD +"&amp;TEXT(Assumptions!$D$96,"0%")&amp;" (if slots free)","HOLD"))))))</f>
        <v>Wait – too little data</v>
      </c>
      <c r="Y32" s="15"/>
      <c r="Z32" s="41" t="str">
        <f aca="false">IF(Y32&gt;0,P32/Y32,"")</f>
        <v/>
      </c>
      <c r="AA32" s="32" t="n">
        <f aca="false">Channels!U32</f>
        <v>1.108485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data",IF(OR(W33&gt;=Assumptions!$D$87,AND(R33=0,P33&gt;=Assumptions!$D$88,Q33&gt;=Assumptions!$D$84)),"SWITCH OFF",IF(W33&gt;=Assumptions!$D$86,"CUT 50%",IF(W33&lt;=Assumptions!$D$85,"ADD +"&amp;TEXT(Assumptions!$D$96,"0%")&amp;" (if slots free)","HOLD"))))))</f>
        <v>Wait – too little data</v>
      </c>
      <c r="Y33" s="15"/>
      <c r="Z33" s="41" t="str">
        <f aca="false">IF(Y33&gt;0,P33/Y33,"")</f>
        <v/>
      </c>
      <c r="AA33" s="32" t="n">
        <f aca="false">Channels!U33</f>
        <v>8.36325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data",IF(OR(W34&gt;=Assumptions!$D$87,AND(R34=0,P34&gt;=Assumptions!$D$88,Q34&gt;=Assumptions!$D$84)),"SWITCH OFF",IF(W34&gt;=Assumptions!$D$86,"CUT 50%",IF(W34&lt;=Assumptions!$D$85,"ADD +"&amp;TEXT(Assumptions!$D$96,"0%")&amp;" (if slots free)","HOLD"))))))</f>
        <v>Wait – too little data</v>
      </c>
      <c r="Y34" s="15"/>
      <c r="Z34" s="41" t="str">
        <f aca="false">IF(Y34&gt;0,P34/Y34,"")</f>
        <v/>
      </c>
      <c r="AA34" s="32" t="n">
        <f aca="false">Channels!U34</f>
        <v>18</v>
      </c>
    </row>
    <row r="35" customFormat="false" ht="15" hidden="false" customHeight="false" outlineLevel="0" collapsed="false">
      <c r="B35" s="28" t="s">
        <v>459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  <c r="Y35" s="33" t="n">
        <f aca="false">SUM(Y5:Y34)</f>
        <v>0</v>
      </c>
      <c r="AA35" s="35" t="n">
        <f aca="false">SUM(AA5:AA34)</f>
        <v>100</v>
      </c>
    </row>
    <row r="38" customFormat="false" ht="15" hidden="false" customHeight="false" outlineLevel="0" collapsed="false">
      <c r="A38" s="28" t="s">
        <v>785</v>
      </c>
    </row>
    <row r="39" customFormat="false" ht="45" hidden="false" customHeight="true" outlineLevel="0" collapsed="false">
      <c r="A39" s="12"/>
      <c r="B39" s="12" t="s">
        <v>322</v>
      </c>
      <c r="C39" s="12" t="s">
        <v>786</v>
      </c>
      <c r="D39" s="12" t="s">
        <v>787</v>
      </c>
      <c r="E39" s="12" t="s">
        <v>788</v>
      </c>
      <c r="F39" s="12" t="s">
        <v>789</v>
      </c>
      <c r="G39" s="12" t="s">
        <v>790</v>
      </c>
      <c r="H39" s="12" t="s">
        <v>791</v>
      </c>
      <c r="I39" s="12" t="s">
        <v>792</v>
      </c>
      <c r="J39" s="12" t="s">
        <v>793</v>
      </c>
      <c r="K39" s="12" t="s">
        <v>794</v>
      </c>
      <c r="L39" s="12" t="s">
        <v>795</v>
      </c>
      <c r="M39" s="12" t="s">
        <v>796</v>
      </c>
      <c r="N39" s="12" t="s">
        <v>797</v>
      </c>
      <c r="O39" s="12" t="s">
        <v>47</v>
      </c>
      <c r="P39" s="12" t="s">
        <v>798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459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799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2026-10-09T16:15:03Z</dcterms:created>
  <dc:creator/>
  <dc:description/>
  <dc:language>en-US</dc:language>
  <cp:lastModifiedBy/>
  <dcterms:modified xsi:type="dcterms:W3CDTF">2026-10-09T16:15:03Z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