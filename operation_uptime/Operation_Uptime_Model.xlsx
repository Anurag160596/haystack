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<sst xmlns="http://schemas.openxmlformats.org/spreadsheetml/2006/main" count="1396" uniqueCount="755">
  <si>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</si>
  <si>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</si>
  <si>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</si>
  <si>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</si>
  <si>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</si>
  <si>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</si>
  <si>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</si>
  <si>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</si>
  <si>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</si>
  <si>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</si>
  <si>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</si>
  <si>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</si>
  <si>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</si>
  <si>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(lowest channel coverage without the unproven I2)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</si>
  <si>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</si>
  <si>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</si>
  <si>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</si>
  <si>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</si>
  <si>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</si>
  <si>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</si>
  <si>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one line of reasoning; Researched + Own estimate = the researched part (e.g. a price or range) is linked, the rest is reasoned.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</si>
  <si>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</si>
  <si>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</si>
  <si>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</si>
  <si>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</si>
  <si>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</si>
  <si>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</si>
  <si>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</si>
  <si>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</si>
  <si>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</si>
  <si>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</si>
  <si>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</si>
  <si>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</si>
  <si>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</si>
  <si>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Brief: campaign runs Tue 20 Oct – Thu 31 Dec.</t>
  </si>
  <si>
    <t xml:space="preserve">G2</t>
  </si>
  <si>
    <t xml:space="preserve">Campaign end / hire deadline (signed contract)</t>
  </si>
  <si>
    <t xml:space="preserve">Brief: a hire = contract signed by 31 Dec; start date may be 2027.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</si>
  <si>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</si>
  <si>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</si>
  <si>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</si>
  <si>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</si>
  <si>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Brief: at most 55 qualified applicants a week across all roles.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</si>
  <si>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</si>
  <si>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</si>
  <si>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</si>
  <si>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</si>
  <si>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Brief: Polish sources allowed for mechatronics/mechanical only, max 40% of those hires.</t>
  </si>
  <si>
    <t xml:space="preserve">G5</t>
  </si>
  <si>
    <t xml:space="preserve">Openings</t>
  </si>
  <si>
    <t xml:space="preserve">Electricians</t>
  </si>
  <si>
    <t xml:space="preserve">hires</t>
  </si>
  <si>
    <t xml:space="preserve">Brief, 'What you're given' table.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</si>
  <si>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</si>
  <si>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</si>
  <si>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</si>
  <si>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</si>
  <si>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</si>
  <si>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</si>
  <si>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</si>
  <si>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</si>
  <si>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</si>
  <si>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</si>
  <si>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</si>
  <si>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</si>
  <si>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</si>
  <si>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</si>
  <si>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Derivation: rediscovery wave 1 goes out Wed 21 Oct (campaign day 2) to people screened once before; their re-applications skip the first screen, so assessments start Thu 22 Oct = start + 2 days. New applicants follow T2 (6 days).</t>
  </si>
  <si>
    <t xml:space="preserve">T1</t>
  </si>
  <si>
    <t xml:space="preserve">Last realistic contract-signing date</t>
  </si>
  <si>
    <t xml:space="preserve">Researched</t>
  </si>
  <si>
    <t xml:space="preserve">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</t>
  </si>
  <si>
    <t xml:space="preserve">T2</t>
  </si>
  <si>
    <t xml:space="preserve">Days: application → recruiter assessment of a qualified applicant</t>
  </si>
  <si>
    <t xml:space="preserve">SmartRecruiters Germany 2025 benchmark: median 6 days to review an application (https://ta.smartrecruiters.com/rs/664-NIC-529/images/Germany%20Recruiting%20Benchmarks%202025%20Report%20DE.pdf).</t>
  </si>
  <si>
    <t xml:space="preserve">T3</t>
  </si>
  <si>
    <t xml:space="preserve">Days: recruiter assessment → technical interview/test done</t>
  </si>
  <si>
    <t xml:space="preserve">Researched + Own estimate</t>
  </si>
  <si>
    <t xml:space="preserve">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</t>
  </si>
  <si>
    <t xml:space="preserve">T4</t>
  </si>
  <si>
    <t xml:space="preserve">Days: interview → written offer</t>
  </si>
  <si>
    <t xml:space="preserve">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</t>
  </si>
  <si>
    <t xml:space="preserve">T5</t>
  </si>
  <si>
    <t xml:space="preserve">Days: offer → signed contract</t>
  </si>
  <si>
    <t xml:space="preserve">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</t>
  </si>
  <si>
    <t xml:space="preserve">T6</t>
  </si>
  <si>
    <t xml:space="preserve">Extra days for supervisors (second round with plant management)</t>
  </si>
  <si>
    <t xml:space="preserve">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</t>
  </si>
  <si>
    <t xml:space="preserve">3. Funnel rates by role (Part 1)</t>
  </si>
  <si>
    <t xml:space="preserve">QE</t>
  </si>
  <si>
    <t xml:space="preserve">Application → qualified (baseline, all channels)</t>
  </si>
  <si>
    <t xml:space="preserve">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</si>
  <si>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</si>
  <si>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</si>
  <si>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</si>
  <si>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</si>
  <si>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</si>
  <si>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</t>
  </si>
  <si>
    <t xml:space="preserve">PM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</si>
  <si>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</t>
  </si>
  <si>
    <t xml:space="preserve">PA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</si>
  <si>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</t>
  </si>
  <si>
    <t xml:space="preserve">PS</t>
  </si>
  <si>
    <t xml:space="preserve">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</t>
  </si>
  <si>
    <t xml:space="preserve">OE</t>
  </si>
  <si>
    <t xml:space="preserve">Passed → offer made</t>
  </si>
  <si>
    <t xml:space="preserve">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</si>
  <si>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</si>
  <si>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</si>
  <si>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</si>
  <si>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</si>
  <si>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</si>
  <si>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</t>
  </si>
  <si>
    <t xml:space="preserve">AM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</si>
  <si>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</t>
  </si>
  <si>
    <t xml:space="preserve">AA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</si>
  <si>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</t>
  </si>
  <si>
    <t xml:space="preserve">AS</t>
  </si>
  <si>
    <t xml:space="preserve">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</t>
  </si>
  <si>
    <t xml:space="preserve">4. Budget policy and weekly phasing (Part 2)</t>
  </si>
  <si>
    <t xml:space="preserve">B1</t>
  </si>
  <si>
    <t xml:space="preserve">Reserve held back (share of total budget)</t>
  </si>
  <si>
    <t xml:space="preserve">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</si>
  <si>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</si>
  <si>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</si>
  <si>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</si>
  <si>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</si>
  <si>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Derivation: equal to the switch-off spend R6, so every test reaches a decision point. At the paid cells' plan cost per qualified (€384–1,680), €750 buys 0.5–2.0 qualified: cells expecting ≥2 (R11) are judged on qualified, the rest on applications (R12). 12 tests × €750 = €9,000 ≈ 9% of the budget. Test applicants are real candidates and are counted in hires, slots and spend.</t>
  </si>
  <si>
    <t xml:space="preserve">B4</t>
  </si>
  <si>
    <t xml:space="preserve">Share of test tranches spent in week 1 (rest in week 2)</t>
  </si>
  <si>
    <t xml:space="preserve">Derivation: tests are split in proportion to assessment slots. Week 1 has 39 slots (assessments from Thu 22 Oct), week 2 has 55: 39 ÷ (39 + 55) = 42%, rounded down to 40% because rediscovery re-applicants take week-1 slots first.</t>
  </si>
  <si>
    <t xml:space="preserve">B5</t>
  </si>
  <si>
    <t xml:space="preserve">Rounding step for the recommended budget</t>
  </si>
  <si>
    <t xml:space="preserve">Derivation: €2,500 ≈ 2.5% of the budget, the smallest step that gives a round figure for the client. The model always rounds up (here €100,455 → €102,500), and the €2,045 difference is added to the reserve.</t>
  </si>
  <si>
    <t xml:space="preserve">B6</t>
  </si>
  <si>
    <t xml:space="preserve">Smaller cut shown in scenarios</t>
  </si>
  <si>
    <t xml:space="preserve">Presentation choice: the brief asks about a 30% cut (B3); −15% and −50% are shown either side so the client sees the shape of hires against budget (Budget rows 45–48).</t>
  </si>
  <si>
    <t xml:space="preserve">B7</t>
  </si>
  <si>
    <t xml:space="preserve">Deep cut shown in scenarios</t>
  </si>
  <si>
    <t xml:space="preserve">Presentation choice: see B6. Half budget shows where the curve flattens (mechatronics and automation are protected, electricians fall first).</t>
  </si>
  <si>
    <t xml:space="preserve">B3</t>
  </si>
  <si>
    <t xml:space="preserve">Budget cut scenario the client asked about</t>
  </si>
  <si>
    <t xml:space="preserve">Brief: 'what it would buy with 30% less'.</t>
  </si>
  <si>
    <t xml:space="preserve">W1</t>
  </si>
  <si>
    <t xml:space="preserve">Share of media spend in week 1</t>
  </si>
  <si>
    <t xml:space="preserve">All paid</t>
  </si>
  <si>
    <t xml:space="preserve">Derivation: weekly shares solved so qualified arrivals stay at or below the 55 weekly assessments (Weekly cols P vs Q). With W1–W6 = 7%, 11%, 16%, 20.5%, 20.5%, 25% the loads are 37/39, 52/55, 53/55, 54/55, 54/55, 55/55. Weeks 1–2 are low because rediscovery re-applicants and test applicants already use those slots.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</si>
  <si>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</si>
  <si>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</si>
  <si>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</si>
  <si>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</si>
  <si>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</si>
  <si>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</si>
  <si>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</si>
  <si>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</si>
  <si>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</si>
  <si>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</si>
  <si>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</si>
  <si>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</si>
  <si>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Derivation: 0 because the week starts after the last useful application (Funnel B19). Any share typed here is re-spread over earlier weeks automatically (Weekly col D).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</si>
  <si>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</si>
  <si>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</si>
  <si>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</si>
  <si>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</si>
  <si>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</si>
  <si>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</si>
  <si>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</si>
  <si>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</si>
  <si>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</si>
  <si>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</si>
  <si>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Brief Part 1.4: 'if it turns out 30% worse'.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</si>
  <si>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</si>
  <si>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</si>
  <si>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</si>
  <si>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</si>
  <si>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</t>
  </si>
  <si>
    <t xml:space="preserve">PSM</t>
  </si>
  <si>
    <t xml:space="preserve">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</t>
  </si>
  <si>
    <t xml:space="preserve">PSA</t>
  </si>
  <si>
    <t xml:space="preserve">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</t>
  </si>
  <si>
    <t xml:space="preserve">PSS</t>
  </si>
  <si>
    <t xml:space="preserve">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</t>
  </si>
  <si>
    <t xml:space="preserve">PIE</t>
  </si>
  <si>
    <t xml:space="preserve">Share in-market or persuadable during the 6-week window</t>
  </si>
  <si>
    <t xml:space="preserve">Derivation: persuadable share ≈ one year of voluntary leavers = turnover 12% a year × 41% of exits that are resignations = 4.9% ≈ 5% (IAB-Betriebspanel Brandenburg 2024, https://mweke.brandenburg.de/media/bb1.a.3814.de/Betriebspanel%20Brandenburg%202024%20-%20final.pdf). Cross-check: Gallup Engagement Index 2024, ~11% actively searching (https://gallup.com/file/de/657716/Engagement-Index-Deutschland-Report-2024.pdf).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</si>
  <si>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</si>
  <si>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</si>
  <si>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</si>
  <si>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</si>
  <si>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</si>
  <si>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</t>
  </si>
  <si>
    <t xml:space="preserve">PRM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</si>
  <si>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</t>
  </si>
  <si>
    <t xml:space="preserve">PRA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</si>
  <si>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</t>
  </si>
  <si>
    <t xml:space="preserve">PRS</t>
  </si>
  <si>
    <t xml:space="preserve">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</si>
  <si>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</si>
  <si>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</si>
  <si>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</si>
  <si>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</si>
  <si>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Derivation: €500 = two-thirds of the €750 test. With 40% of test spend in week 1 (B4), each test has spent ~€500 by Mon 2 Nov, so the first cut decisions can be taken then rather than waiting for the full tranche.</t>
  </si>
  <si>
    <t xml:space="preserve">R2</t>
  </si>
  <si>
    <t xml:space="preserve">…or minimum applications before judging a cell</t>
  </si>
  <si>
    <t xml:space="preserve">apps</t>
  </si>
  <si>
    <t xml:space="preserve">Statistics: at the plan share qualified (~25%), 30 applications give a standard error of √(0.25 × 0.75 ÷ 30) = 7.9 points (95% range ±15.5 points). n ≥ 30 is the usual minimum for reading a proportion; the Tracker also blends each read with the plan (R8), which narrows it further.</t>
  </si>
  <si>
    <t xml:space="preserve">R3</t>
  </si>
  <si>
    <t xml:space="preserve">Scale up when re-forecast cost per qualified ≤ this × plan</t>
  </si>
  <si>
    <t xml:space="preserve">× plan</t>
  </si>
  <si>
    <t xml:space="preserve">Statistics: at the first judgement (30 applications, R2) the plan-blended share qualified (R8) has a relative standard error of about 16% (half of the raw 32% = 7.9 pts ÷ 25%). A re-forecast at least 20% better than plan is therefore more than one standard error better, so scaling up is not reacting to noise.</t>
  </si>
  <si>
    <t xml:space="preserve">R4</t>
  </si>
  <si>
    <t xml:space="preserve">Cut budget 50% when re-forecast cost per qualified ≥ this × plan</t>
  </si>
  <si>
    <t xml:space="preserve">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</t>
  </si>
  <si>
    <t xml:space="preserve">R5</t>
  </si>
  <si>
    <t xml:space="preserve">Switch off when cost per qualified ≥ this × plan</t>
  </si>
  <si>
    <t xml:space="preserve">Practice: 'Pause if CPA over 2x target' (https://roaspig.com/blog/automated-rules-manage-meta-budgets/). At 2× plan the same money buys twice the qualified applicants in a cell running at plan.</t>
  </si>
  <si>
    <t xml:space="preserve">R6</t>
  </si>
  <si>
    <t xml:space="preserve">…or switch off when spend reaches this with zero qualified</t>
  </si>
  <si>
    <t xml:space="preserve">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</t>
  </si>
  <si>
    <t xml:space="preserve">R11</t>
  </si>
  <si>
    <t xml:space="preserve">Zero-qualified switch-off only if plan expects at least this many qualified at that spend</t>
  </si>
  <si>
    <t xml:space="preserve">qualified</t>
  </si>
  <si>
    <t xml:space="preserve">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</t>
  </si>
  <si>
    <t xml:space="preserve">R12</t>
  </si>
  <si>
    <t xml:space="preserve">Low-yield cells: switch off at R6 spend if applications are below this share of plan</t>
  </si>
  <si>
    <t xml:space="preserve">Derivation: at full test spend, half the planned applications means the cell's cost per application is 2× plan, the same as the switch-off bar R5.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</si>
  <si>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</si>
  <si>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</si>
  <si>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</si>
  <si>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Statistics (Poisson on the planned qualified in each 14-day window): an initiative running at plan misses 60% of plan only 0.2% (I1, 35 planned) to 4% (I2, 8 planned) of the time, while one running at a third of plan passes only 2–29% of the time. Lower bars pass weak initiatives; higher bars fail good ones by chance.</t>
  </si>
  <si>
    <t xml:space="preserve">TP2</t>
  </si>
  <si>
    <t xml:space="preserve">Initiative test: PASS needs cost per qualified ≤ this × plan</t>
  </si>
  <si>
    <t xml:space="preserve">Derivation: 1.25 = 1 ÷ 0.8, i.e. full test spend delivering 80% of the planned qualified, the same tolerance as the channel scale-up rule R3.</t>
  </si>
  <si>
    <t xml:space="preserve">TK1</t>
  </si>
  <si>
    <t xml:space="preserve">Initiative test: KILL if qualified below this share of plan</t>
  </si>
  <si>
    <t xml:space="preserve">Statistics: an initiative running at plan falls below 30% of plan with probability 0.0% (I1) to 1.2% (I2), so a result this low means the mechanism is not working, not bad luck.</t>
  </si>
  <si>
    <t xml:space="preserve">TK2</t>
  </si>
  <si>
    <t xml:space="preserve">Initiative test: KILL if cost per qualified above this × plan</t>
  </si>
  <si>
    <t xml:space="preserve">Derivation: same 1.5× as the channel cut rule R4, so initiatives and channels are judged on one scale.</t>
  </si>
  <si>
    <t xml:space="preserve">I1W1</t>
  </si>
  <si>
    <t xml:space="preserve">I1a re-applications arriving in week 1 (waves on days 2 and 7)</t>
  </si>
  <si>
    <t xml:space="preserve">Rediscovery</t>
  </si>
  <si>
    <t xml:space="preserve">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</si>
  <si>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</si>
  <si>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</si>
  <si>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</si>
  <si>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</si>
  <si>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</si>
  <si>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</si>
  <si>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</si>
  <si>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</si>
  <si>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</si>
  <si>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</si>
  <si>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</si>
  <si>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Statistics: below 10 interviews one result moves the pass rate by more than 10 points (1 ÷ 10). 10 is the smallest sample with n × p ≥ 5 at the ~50% planned pass rate (normal-approximation rule).</t>
  </si>
  <si>
    <t xml:space="preserve">R10</t>
  </si>
  <si>
    <t xml:space="preserve">Minimum offers before using the actual acceptance rate</t>
  </si>
  <si>
    <t xml:space="preserve">offers</t>
  </si>
  <si>
    <t xml:space="preserve">Statistics: same rule as R9. At the ~70% planned acceptance, n × p ≥ 5 needs 5 ÷ 0.70 = 7.1 offers, so 7. Until then the planned acceptance rate is used.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</si>
  <si>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</si>
  <si>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</si>
  <si>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</si>
  <si>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</t>
  </si>
  <si>
    <t xml:space="preserve">F2</t>
  </si>
  <si>
    <t xml:space="preserve">Pool flag: 'tight' above this share</t>
  </si>
  <si>
    <t xml:space="preserve">Display flag only. Half of F1 (1 in 8 of the reachable pool): the point from which a 30% miss would need more than a quarter of the pool (12% ÷ 0.7 = 17%, × 1.5 for response noise ≈ 25%).</t>
  </si>
  <si>
    <t xml:space="preserve">F3</t>
  </si>
  <si>
    <t xml:space="preserve">Capacity flag: 'tight' when slot use exceeds</t>
  </si>
  <si>
    <t xml:space="preserve">Funnel / Weekly</t>
  </si>
  <si>
    <t xml:space="preserve">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</t>
  </si>
  <si>
    <t xml:space="preserve">F4</t>
  </si>
  <si>
    <t xml:space="preserve">Weekly flag: 'full' when a week's slot use exceeds</t>
  </si>
  <si>
    <t xml:space="preserve">Weekly</t>
  </si>
  <si>
    <t xml:space="preserve">Same queueing rule as F3: at 90% a week's queue is ~9× the service time, so the week is effectively full.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</si>
  <si>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</si>
  <si>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</si>
  <si>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</si>
  <si>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Derivation: 45 ≈ 80% of the 55 weekly slots. Below it at least 10 slots go unused that week, i.e. ~3 hires lost at the plan's 32% qualified → signed (10 × 0.32), so reserve is released to the cheapest cells with capacity.</t>
  </si>
  <si>
    <t xml:space="preserve">R8</t>
  </si>
  <si>
    <t xml:space="preserve">Weight given to plan when updating qualified share (pseudo-applications)</t>
  </si>
  <si>
    <t xml:space="preserve">Derivation: beta-binomial (empirical-Bayes) update with a prior worth 30 applications = R2. At the first point a cell may be judged (30 applications), its own data and the plan count equally; after 90 applications the data carry 75% of the weight.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</si>
  <si>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</si>
  <si>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</si>
  <si>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</si>
  <si>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</si>
  <si>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</si>
  <si>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</si>
  <si>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</si>
  <si>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</si>
  <si>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</si>
  <si>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</si>
  <si>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</si>
  <si>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</si>
  <si>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</si>
  <si>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</t>
  </si>
  <si>
    <t xml:space="preserve">C02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</si>
  <si>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</t>
  </si>
  <si>
    <t xml:space="preserve">C03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</si>
  <si>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</t>
  </si>
  <si>
    <t xml:space="preserve">C04</t>
  </si>
  <si>
    <t xml:space="preserve">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</si>
  <si>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</si>
  <si>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</si>
  <si>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</si>
  <si>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</t>
  </si>
  <si>
    <t xml:space="preserve">C06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</si>
  <si>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</t>
  </si>
  <si>
    <t xml:space="preserve">C07</t>
  </si>
  <si>
    <t xml:space="preserve">C08</t>
  </si>
  <si>
    <t xml:space="preserve">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</t>
  </si>
  <si>
    <t xml:space="preserve">C09</t>
  </si>
  <si>
    <t xml:space="preserve">StepStone (30-day single ad)</t>
  </si>
  <si>
    <t xml:space="preserve">Slot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</si>
  <si>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</t>
  </si>
  <si>
    <t xml:space="preserve">C10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</si>
  <si>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</t>
  </si>
  <si>
    <t xml:space="preserve">C11</t>
  </si>
  <si>
    <t xml:space="preserve">C12</t>
  </si>
  <si>
    <t xml:space="preserve">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</t>
  </si>
  <si>
    <t xml:space="preserve">C13</t>
  </si>
  <si>
    <t xml:space="preserve">LinkedIn (promoted jobs + InMail)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</si>
  <si>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</t>
  </si>
  <si>
    <t xml:space="preserve">C14</t>
  </si>
  <si>
    <t xml:space="preserve">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</t>
  </si>
  <si>
    <t xml:space="preserve">C15</t>
  </si>
  <si>
    <t xml:space="preserve">Meta social (FB/IG lead ads, 75 km geo)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</si>
  <si>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</t>
  </si>
  <si>
    <t xml:space="preserve">C16</t>
  </si>
  <si>
    <t xml:space="preserve">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</t>
  </si>
  <si>
    <t xml:space="preserve">C17</t>
  </si>
  <si>
    <t xml:space="preserve">Google Search ads (job-intent keywords)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</si>
  <si>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</t>
  </si>
  <si>
    <t xml:space="preserve">C18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</si>
  <si>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</t>
  </si>
  <si>
    <t xml:space="preserve">C19</t>
  </si>
  <si>
    <t xml:space="preserve">C20</t>
  </si>
  <si>
    <t xml:space="preserve">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</si>
  <si>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</si>
  <si>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</si>
  <si>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</si>
  <si>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</si>
  <si>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</si>
  <si>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</si>
  <si>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</si>
  <si>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</si>
  <si>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</si>
  <si>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</si>
  <si>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</t>
  </si>
  <si>
    <t xml:space="preserve">I1Q</t>
  </si>
  <si>
    <t xml:space="preserve">I1: share qualified among re-applicants</t>
  </si>
  <si>
    <t xml:space="preserve">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</t>
  </si>
  <si>
    <t xml:space="preserve">I1FE</t>
  </si>
  <si>
    <t xml:space="preserve">I1: employee-referred applications over campaign</t>
  </si>
  <si>
    <t xml:space="preserve">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</si>
  <si>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</si>
  <si>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</si>
  <si>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</si>
  <si>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</si>
  <si>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</si>
  <si>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</t>
  </si>
  <si>
    <t xml:space="preserve">I1M</t>
  </si>
  <si>
    <t xml:space="preserve">I1: messaging cost per contacted past applicant (email + SMS tool)</t>
  </si>
  <si>
    <t xml:space="preserve">Three waves × 1 SMS at €0.075 net (seven.io price list, https://www.seven.io/en/prices/) to €0.112 (Twilio Germany, https://www.twilio.com/en-us/sms/pricing/de) = €0.23–0.34; e-mail is near zero → €0.30 per record.</t>
  </si>
  <si>
    <t xml:space="preserve">I1B</t>
  </si>
  <si>
    <t xml:space="preserve">I1: referral bonus per signed referred hire (paid from this budget)</t>
  </si>
  <si>
    <t xml:space="preserve">German practice example: €1,000 per referral, €2,000 for hard-to-fill roles (IW Köln/KOFA, https://www.kofa.de/media/Publikationen/Handlungsempfehlungen/Mitarbeiter_werben_Mitarbeiter.pdf).</t>
  </si>
  <si>
    <t xml:space="preserve">I1A</t>
  </si>
  <si>
    <t xml:space="preserve">I1: downstream adjustment (pass/accept better than average)</t>
  </si>
  <si>
    <t xml:space="preserve">×</t>
  </si>
  <si>
    <t xml:space="preserve">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</t>
  </si>
  <si>
    <t xml:space="preserve">I2P</t>
  </si>
  <si>
    <t xml:space="preserve">I2: construction/Handwerk electricians (Elektroniker Energie- und Gebäudetechnik) within 75 km</t>
  </si>
  <si>
    <t xml:space="preserve">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</t>
  </si>
  <si>
    <t xml:space="preserve">I2S</t>
  </si>
  <si>
    <t xml:space="preserve">I2: share who apply over the campaign (reachable × persuaded)</t>
  </si>
  <si>
    <t xml:space="preserve">Derivation: Redline (181 trade social campaigns) reports a mean of 29.5 qualified applications per Elektroniker campaign (https://redline-grow.de/fachkraeftemangel-handwerk) → 30 ÷ 15% qualified = 200 applications ÷ 10,000 construction electricians in reach = 2%.</t>
  </si>
  <si>
    <t xml:space="preserve">I2C</t>
  </si>
  <si>
    <t xml:space="preserve">I2: cost per application (Meta/Google + 6-question quiz funnel)</t>
  </si>
  <si>
    <t xml:space="preserve">Social-recruiting cost per application, trades (Handwerk) average €84 (TalentBait, 818 campaigns, vendor data, https://www.talentbait.de/social-media-recruiting).</t>
  </si>
  <si>
    <t xml:space="preserve">I2Q</t>
  </si>
  <si>
    <t xml:space="preserve">I2: share qualified (only if client accepts EGT + Elektrofachkraft + 2 yrs, with in-house bridge)</t>
  </si>
  <si>
    <t xml:space="preserve">Derivation: set equal to the electrician baseline QE (15%). The 6-question quiz admits only certified electricians (Gesellenbrief, Elektrofachkraft), so the remaining filters are the same as for industrial electricians; the industrial skills gap is handled by I2A. If the client does not accept this profile, set to 0 and the initiative drops out.</t>
  </si>
  <si>
    <t xml:space="preserve">I2A</t>
  </si>
  <si>
    <t xml:space="preserve">I2: downstream adjustment (industrial skills gap)</t>
  </si>
  <si>
    <t xml:space="preserve">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</t>
  </si>
  <si>
    <t xml:space="preserve">I2F</t>
  </si>
  <si>
    <t xml:space="preserve">I2: fixed set-up cost (German copywriter + quiz-funnel tool, 3 months)</t>
  </si>
  <si>
    <t xml:space="preserve">Copywriting: €65/hour average freelance rate (freelancermap, https://www.freelancermap.de/freelancer/texterstellung) × ~11 h = €700. Quiz funnel: Perspective Grow €147–184/month (https://www.perspective.co/pricing) × 3 months ≈ €500. Total €1,200.</t>
  </si>
  <si>
    <t xml:space="preserve">I3C</t>
  </si>
  <si>
    <t xml:space="preserve">I3: blended cost per application, Pracuj.pl + OLX Praca + Polish-geo Meta</t>
  </si>
  <si>
    <t xml:space="preserve">Pracuj.pl 30-day ad 1,499 PLN net ≈ €350 (official package page, https://dlafirm.pracuj.pl/cennik-uslug/pakiety-ogloszen) ÷ ~25 applications per ad (own estimate; no published figure) = €14.</t>
  </si>
  <si>
    <t xml:space="preserve">I3Q</t>
  </si>
  <si>
    <t xml:space="preserve">I3: share qualified after Polish-language pre-screen call</t>
  </si>
  <si>
    <t xml:space="preserve">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</t>
  </si>
  <si>
    <t xml:space="preserve">I3X</t>
  </si>
  <si>
    <t xml:space="preserve">I3: max applications over campaign</t>
  </si>
  <si>
    <t xml:space="preserve">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</t>
  </si>
  <si>
    <t xml:space="preserve">I3A</t>
  </si>
  <si>
    <t xml:space="preserve">I3: downstream adjustment (pre-screened)</t>
  </si>
  <si>
    <t xml:space="preserve">No study quantifies an uplift from pre-screening (checked Pin, Indeed), so no uplift is assumed: ×1.0. The pre-screen's effect is already in I3Q (only those who pass the call count as qualified).</t>
  </si>
  <si>
    <t xml:space="preserve">I3H</t>
  </si>
  <si>
    <t xml:space="preserve">I3: pre-screen call time per Polish applicant</t>
  </si>
  <si>
    <t xml:space="preserve">minutes</t>
  </si>
  <si>
    <t xml:space="preserve">'A phone screen normally lasts for 15 to 30 minutes' (Indeed, https://www.indeed.com/hire/c/info/what-is-a-phone-screen). 15 minutes = the bottom of the range, for a fixed checklist (certificate, language, shifts, commute).</t>
  </si>
  <si>
    <t xml:space="preserve">I3W</t>
  </si>
  <si>
    <t xml:space="preserve">I3: pre-screener hourly rate</t>
  </si>
  <si>
    <t xml:space="preserve">Freelance recruiter in Poland: 60–80 PLN net per hour, B2B (RocketJobs listing, https://rocketjobs.pl/oferta-pracy/intent-tech-recruiter-freelance--warszawa-hr-recruitment-9e0cdcee) → top of range 80 PLN ÷ 4.25 PLN/€ = €19 per hour.</t>
  </si>
  <si>
    <t xml:space="preserve">I3T</t>
  </si>
  <si>
    <t xml:space="preserve">I3: Polish translation of job ads + landing page</t>
  </si>
  <si>
    <t xml:space="preserve">German statutory translator fee: €1.95 per started 55 characters (§11 JVEG, https://www.buzer.de/11_JVEG.htm); ~6,000 characters × 2 languages ≈ €430.</t>
  </si>
  <si>
    <t xml:space="preserve">Part 1 — Funnel by role (work back from openings)</t>
  </si>
  <si>
    <t xml:space="preserve">All rates come from Assumptions.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</si>
  <si>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</si>
  <si>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</si>
  <si>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</si>
  <si>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</si>
  <si>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</si>
  <si>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</si>
  <si>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</si>
  <si>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</si>
  <si>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</si>
  <si>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</si>
  <si>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</si>
  <si>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</si>
  <si>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</si>
  <si>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</si>
  <si>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</si>
  <si>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</si>
  <si>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</si>
  <si>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</si>
  <si>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</si>
  <si>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</si>
  <si>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</si>
  <si>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</si>
  <si>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</si>
  <si>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</si>
  <si>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</si>
  <si>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</si>
  <si>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</si>
  <si>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</si>
  <si>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</si>
  <si>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</si>
  <si>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</si>
  <si>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</si>
  <si>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</si>
  <si>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</si>
  <si>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</si>
  <si>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</si>
  <si>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</si>
  <si>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</si>
  <si>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</si>
  <si>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</si>
  <si>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</si>
  <si>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</si>
  <si>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</si>
  <si>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</si>
  <si>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</si>
  <si>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</si>
  <si>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</si>
  <si>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</si>
  <si>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</si>
  <si>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</si>
  <si>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</si>
  <si>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</si>
  <si>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</si>
  <si>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</si>
  <si>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</si>
  <si>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</si>
  <si>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</si>
  <si>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</si>
  <si>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</si>
  <si>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</si>
  <si>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</si>
  <si>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</si>
  <si>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</si>
  <si>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</si>
  <si>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</si>
  <si>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</si>
  <si>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</si>
  <si>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</si>
  <si>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</si>
  <si>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</si>
  <si>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</si>
  <si>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</si>
  <si>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</si>
  <si>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</si>
  <si>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</si>
  <si>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</si>
  <si>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</si>
  <si>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÷ pool above 100% means channel capacities overlap (the same people apply via several channels) – capacities are de-duplicated in practice, so treat the higher of the two as optimistic. Electricians' I2 initiative draws on a separate pool (construction electricians, Assumptions I2P), so its applicants are excluded from both plan and channel max here.</t>
  </si>
  <si>
    <t xml:space="preserve">Part 3 — New sources beyond the usual paid channels (maths feeds the Channels tab)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</si>
  <si>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</si>
  <si>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</si>
  <si>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</si>
  <si>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</si>
  <si>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</si>
  <si>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</si>
  <si>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</si>
  <si>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</si>
  <si>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</si>
  <si>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</si>
  <si>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</si>
  <si>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</si>
  <si>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</si>
  <si>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</si>
  <si>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</si>
  <si>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</si>
  <si>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</si>
  <si>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</si>
  <si>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</si>
  <si>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</si>
  <si>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</si>
  <si>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</si>
  <si>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</si>
  <si>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</si>
  <si>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</si>
  <si>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</si>
  <si>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</si>
  <si>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</si>
  <si>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</si>
  <si>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</si>
  <si>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</si>
  <si>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</si>
  <si>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</si>
  <si>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</si>
  <si>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</si>
  <si>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</si>
  <si>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</si>
  <si>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</si>
  <si>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</si>
  <si>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</si>
  <si>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</si>
  <si>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</si>
  <si>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</si>
  <si>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</si>
  <si>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</si>
  <si>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</si>
  <si>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</si>
  <si>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</si>
  <si>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</si>
  <si>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</si>
  <si>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</si>
  <si>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</si>
  <si>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</si>
  <si>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</si>
  <si>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</si>
  <si>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</si>
  <si>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</si>
  <si>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</si>
  <si>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Also ≥ a third of the qualified are electricians. All three waves have gone out by day 14, so a kill means no further re-contacts and the I1a share of the plan is re-allocated. Referral bonus stays live: it is paid only on a signed hire (from week 4). A kill mainly signals stale ATS data.</t>
  </si>
  <si>
    <t xml:space="preserve">I2 Handwerk → Industrie</t>
  </si>
  <si>
    <t xml:space="preserve">Fri 23 Oct – Thu 5 Nov (read Mon 9 Nov)</t>
  </si>
  <si>
    <t xml:space="preserve">Also kill at once if the client rejects the EGT profile. Week-4 quality check: ≥50% of the first 6 interviewed pass (kill below 40%). Money then moves to Meta, StepStone and programmatic electricians.</t>
  </si>
  <si>
    <t xml:space="preserve">I3 Polish corridor</t>
  </si>
  <si>
    <t xml:space="preserve">Tue 27 Oct – Mon 9 Nov (freelancer starts 27 Oct)</t>
  </si>
  <si>
    <t xml:space="preserve">Also kill if the pre-screener finds &lt;30% speak German/English. Freelancer is paid hourly, so stopping leaves no sunk cost beyond translation.</t>
  </si>
  <si>
    <t xml:space="preserve">Who does what: see the deck, Part 3 (all set-up done from Bangalore; client provides ATS export, referral approval, EGT profile sign-off). Test windows start at each initiative's launch, so I2/I3 are read on Mon 9 Nov, I1 on Mon 2 Nov and again on 9 Nov.</t>
  </si>
  <si>
    <t xml:space="preserve">Part 2 — Channel × role economics and allocation (cheapest cost-per-hire first, until each role's openings are covered)</t>
  </si>
  <si>
    <t xml:space="preserve">Allocation logic: within each role, channels are filled in order of cost per hire (media at full capacity + fixed costs, ÷ hire capacity) up to their capacity until hires = openings. Polish cap enforced in hire capacity. Slots bought in whole 30-day ads.</t>
  </si>
  <si>
    <t xml:space="preserve">Every paid CPC/CPA cell for a role with openings first gets a test tranche (B2) in weeks 1–2; its applicants and hires are counted (cols AE–AG). The allocation then fills only the remaining need (col T) from remaining capacity (col AH).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</si>
  <si>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</si>
  <si>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</si>
  <si>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</si>
  <si>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</si>
  <si>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</si>
  <si>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</si>
  <si>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</si>
  <si>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</si>
  <si>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</si>
  <si>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</si>
  <si>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</si>
  <si>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</si>
  <si>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</si>
  <si>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</si>
  <si>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</si>
  <si>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</si>
  <si>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</si>
  <si>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</si>
  <si>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</si>
  <si>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</si>
  <si>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</si>
  <si>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</si>
  <si>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</si>
  <si>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</si>
  <si>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</si>
  <si>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</si>
  <si>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</si>
  <si>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</si>
  <si>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</si>
  <si>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</si>
  <si>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</si>
  <si>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</si>
  <si>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</si>
  <si>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</si>
  <si>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</si>
  <si>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</si>
  <si>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</si>
  <si>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</si>
  <si>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</si>
  <si>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</si>
  <si>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</si>
  <si>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</si>
  <si>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</si>
  <si>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</si>
  <si>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</si>
  <si>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</si>
  <si>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</si>
  <si>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</si>
  <si>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</si>
  <si>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</si>
  <si>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</si>
  <si>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</si>
  <si>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</si>
  <si>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</si>
  <si>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</si>
  <si>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</si>
  <si>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</si>
  <si>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</si>
  <si>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</si>
  <si>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</si>
  <si>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</si>
  <si>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</si>
  <si>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</si>
  <si>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</si>
  <si>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</si>
  <si>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</si>
  <si>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a smaller (or bigger) budget buys</t>
  </si>
  <si>
    <t xml:space="preserve">Rule when money is cut: drop the most expensive cost-per-hire cells first (across roles), including their test tranches and set-up costs; keep the reserve at the same %. If assessment slots bind (Funnel B24 &gt; 100%), hires are capped by slots, and a cut can even raise hires because it removes low-conversion sources: then re-optimise for hires per assessment slot. Detail in the scenario calculation below.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</si>
  <si>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</si>
  <si>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</si>
  <si>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</si>
  <si>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</si>
  <si>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</si>
  <si>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</si>
  <si>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</si>
  <si>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</si>
  <si>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</si>
  <si>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</si>
  <si>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</si>
  <si>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@L1</t>
  </si>
  <si>
    <t xml:space="preserve">Hires @L2</t>
  </si>
  <si>
    <t xml:space="preserve">Hires @L3</t>
  </si>
  <si>
    <t xml:space="preserve">Hires @L4</t>
  </si>
  <si>
    <t xml:space="preserve">Cut @L1</t>
  </si>
  <si>
    <t xml:space="preserve">Cut @L2</t>
  </si>
  <si>
    <t xml:space="preserve">Cut @L3</t>
  </si>
  <si>
    <t xml:space="preserve">Cut @L4</t>
  </si>
  <si>
    <t xml:space="preserve">Qualified @L1</t>
  </si>
  <si>
    <t xml:space="preserve">Qualified @L2</t>
  </si>
  <si>
    <t xml:space="preserve">Qualified @L3</t>
  </si>
  <si>
    <t xml:space="preserve">Qualified @L4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</si>
  <si>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</si>
  <si>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</si>
  <si>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</si>
  <si>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</si>
  <si>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</si>
  <si>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timing: test tranches split weeks 1–2 (B4); remaining CPC/CPA media follows the spend share (col D; supervisor cells col E, which stops at their earlier cut-off). StepStone ads and set-up costs fall in week 1. Referral bonuses are paid when the referred hire signs. Rediscovery re-applications follow their own wave profile (col Y). Signatures are scaled down if planned qualified exceed assessment slots (F38). Small approximations: Polish pre-screening starts 27 Oct and StepStone ads expire 18 Nov, but both follow the general profile.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</si>
  <si>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</si>
  <si>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</si>
  <si>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</si>
  <si>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</si>
  <si>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</si>
  <si>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</si>
  <si>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</si>
  <si>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</si>
  <si>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</si>
  <si>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</si>
  <si>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</si>
  <si>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</si>
  <si>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</si>
  <si>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</si>
  <si>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</si>
  <si>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</si>
  <si>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</si>
  <si>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</si>
  <si>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</si>
  <si>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</si>
  <si>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</si>
  <si>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</si>
  <si>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</si>
  <si>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</si>
  <si>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</si>
  <si>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</si>
  <si>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Weeks 1–2 cash = N5. Planned cells failing the rules are cut from Mon 2 Nov once past the €500 / 30-application minimum; test tranches and the full re-allocation are judged by Mon 9 Nov. The reserve (Budget C10) is released only from week 3. CPC/CPA spend stops after the last useful application date (Funnel B19/B20); referral bonuses keep being paid as hires sign. Week 9 signatures are due by Fri 18 Dec.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</si>
  <si>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</si>
  <si>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</si>
  <si>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</si>
  <si>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</si>
  <si>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</si>
  <si>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</si>
  <si>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</si>
  <si>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</si>
  <si>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</si>
  <si>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</si>
  <si>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</si>
  <si>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</si>
  <si>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</si>
  <si>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</si>
  <si>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</si>
  <si>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</si>
  <si>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</si>
  <si>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</si>
  <si>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</si>
  <si>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</si>
  <si>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</si>
  <si>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</si>
  <si>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</si>
  <si>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</si>
  <si>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</si>
  <si>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</si>
  <si>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</si>
  <si>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</si>
  <si>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</si>
  <si>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</si>
  <si>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</si>
  <si>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</si>
  <si>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</si>
  <si>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</si>
  <si>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</si>
  <si>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</si>
  <si>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</si>
  <si>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</si>
  <si>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</si>
  <si>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</si>
  <si>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</si>
  <si>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</si>
  <si>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</si>
  <si>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</si>
  <si>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</si>
  <si>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</si>
  <si>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</si>
  <si>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</si>
  <si>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</si>
  <si>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</si>
  <si>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</si>
  <si>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</si>
  <si>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Updated Q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</si>
  <si>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</si>
  <si>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</si>
  <si>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</si>
  <si>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</si>
  <si>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</si>
  <si>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</si>
  <si>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</si>
  <si>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</si>
  <si>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</si>
  <si>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</si>
  <si>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</si>
  <si>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</si>
  <si>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</si>
  <si>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</si>
  <si>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</si>
  <si>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</si>
  <si>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</si>
  <si>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How to re-plan live: (1) type weeks 1–3 actuals above; (2) for any cell with a confident read, copy 'Actual CPA' and 'Updated Q' into the matching row of Assumptions §7, and the actual pass / offer→signed rates into Assumptions §3; (3) Channels re-ranks and re-allocates, Budget/Weekly/Scenarios update. Gap &gt; 0 = release reserve to the cheapest cells with capacity, or ask the client for more assessment slots.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</si>
</sst>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\€#,##0.00"/>
    <numFmt numFmtId="172" formatCode="0.00"/>
    <numFmt numFmtId="173" formatCode="0.0%"/>
    <numFmt numFmtId="174" formatCode="0.0\×"/>
    <numFmt numFmtId="175" formatCode="0.000"/>
    <numFmt numFmtId="176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uzer.de/6_BQFG.htm" TargetMode="External"/><Relationship Id="rId2" Type="http://schemas.openxmlformats.org/officeDocument/2006/relationships/hyperlink" Target="https://hiringlab.indeed.com/de/blog/2025/02/17/der-stellenmarkt-startet-unausgewogen-in-das-neue-jahr/" TargetMode="External"/><Relationship Id="rId3" Type="http://schemas.openxmlformats.org/officeDocument/2006/relationships/hyperlink" Target="https://ta.smartrecruiters.com/rs/664-NIC-529/images/Germany%20Recruiting%20Benchmarks%202025%20Report%20DE.pdf" TargetMode="External"/><Relationship Id="rId4" Type="http://schemas.openxmlformats.org/officeDocument/2006/relationships/hyperlink" Target="https://www.socialnet.de/personalblog/wie-lange-dauert-recruiting-wirklich-zahlen-aus-dem-xing-bewerbungsreport-2026.html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www.shrm.org/content/dam/en/shrm/research/2025-recruiting-benchmarking-report.pdf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iab-forum.de/iab-stellenerhebung-2-2026-fast-drei-von-vier-bewerbungen-sind-aus-betrieblicher-sicht-ungeeignet/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lp.gem.com/rs/972-IVV-330/images/2025%20Recruiting%20Benchmarks%20-%20Gem.pdf" TargetMode="External"/><Relationship Id="rId15" Type="http://schemas.openxmlformats.org/officeDocument/2006/relationships/hyperlink" Target="https://lp.gem.com/rs/972-IVV-330/images/2025%20Recruiting%20Benchmarks%20-%20Gem.pdf" TargetMode="External"/><Relationship Id="rId16" Type="http://schemas.openxmlformats.org/officeDocument/2006/relationships/hyperlink" Target="https://ta.smartrecruiters.com/rs/664-NIC-529/images/Germany%20Recruiting%20Benchmarks%202025%20Report%20DE.pdf" TargetMode="External"/><Relationship Id="rId17" Type="http://schemas.openxmlformats.org/officeDocument/2006/relationships/hyperlink" Target="https://ta.smartrecruiters.com/rs/664-NIC-529/images/Germany%20Recruiting%20Benchmarks%202025%20Report%20DE.pdf" TargetMode="External"/><Relationship Id="rId18" Type="http://schemas.openxmlformats.org/officeDocument/2006/relationships/hyperlink" Target="https://ta.smartrecruiters.com/rs/664-NIC-529/images/Germany%20Recruiting%20Benchmarks%202025%20Report%20DE.pdf" TargetMode="External"/><Relationship Id="rId19" Type="http://schemas.openxmlformats.org/officeDocument/2006/relationships/hyperlink" Target="https://ta.smartrecruiters.com/rs/664-NIC-529/images/Germany%20Recruiting%20Benchmarks%202025%20Report%20DE.pdf" TargetMode="External"/><Relationship Id="rId20" Type="http://schemas.openxmlformats.org/officeDocument/2006/relationships/hyperlink" Target="https://www.lebensmittelzeitung.net/handel/karriere/rekrutierung-bewerber-sagen-haeufiger-ab-166449" TargetMode="External"/><Relationship Id="rId21" Type="http://schemas.openxmlformats.org/officeDocument/2006/relationships/hyperlink" Target="https://www.lebensmittelzeitung.net/handel/karriere/rekrutierung-bewerber-sagen-haeufiger-ab-166449" TargetMode="External"/><Relationship Id="rId22" Type="http://schemas.openxmlformats.org/officeDocument/2006/relationships/hyperlink" Target="https://www.lebensmittelzeitung.net/handel/karriere/rekrutierung-bewerber-sagen-haeufiger-ab-166449" TargetMode="External"/><Relationship Id="rId23" Type="http://schemas.openxmlformats.org/officeDocument/2006/relationships/hyperlink" Target="https://www.lebensmittelzeitung.net/handel/karriere/rekrutierung-bewerber-sagen-haeufiger-ab-166449" TargetMode="External"/><Relationship Id="rId24" Type="http://schemas.openxmlformats.org/officeDocument/2006/relationships/hyperlink" Target="https://mastt.com/blogs/construction-contingency" TargetMode="External"/><Relationship Id="rId25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6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7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8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9" Type="http://schemas.openxmlformats.org/officeDocument/2006/relationships/hyperlink" Target="https://mweke.brandenburg.de/media/bb1.a.3814.de/Betriebspanel%20Brandenburg%202024%20-%20final.pdf" TargetMode="External"/><Relationship Id="rId30" Type="http://schemas.openxmlformats.org/officeDocument/2006/relationships/hyperlink" Target="https://mweke.brandenburg.de/media/bb1.a.3814.de/Betriebspanel%20Brandenburg%202024%20-%20final.pdf" TargetMode="External"/><Relationship Id="rId31" Type="http://schemas.openxmlformats.org/officeDocument/2006/relationships/hyperlink" Target="https://mweke.brandenburg.de/media/bb1.a.3814.de/Betriebspanel%20Brandenburg%202024%20-%20final.pdf" TargetMode="External"/><Relationship Id="rId32" Type="http://schemas.openxmlformats.org/officeDocument/2006/relationships/hyperlink" Target="https://mweke.brandenburg.de/media/bb1.a.3814.de/Betriebspanel%20Brandenburg%202024%20-%20final.pdf" TargetMode="External"/><Relationship Id="rId3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4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5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6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37" Type="http://schemas.openxmlformats.org/officeDocument/2006/relationships/hyperlink" Target="https://sparkugc.com/resources/when-to-kill-a-meta-ad-cpa-rule" TargetMode="External"/><Relationship Id="rId38" Type="http://schemas.openxmlformats.org/officeDocument/2006/relationships/hyperlink" Target="https://roaspig.com/blog/automated-rules-manage-meta-budgets/" TargetMode="External"/><Relationship Id="rId39" Type="http://schemas.openxmlformats.org/officeDocument/2006/relationships/hyperlink" Target="https://coinis.com/blog/when-to-kill-meta-ads-decision-framework" TargetMode="External"/><Relationship Id="rId40" Type="http://schemas.openxmlformats.org/officeDocument/2006/relationships/hyperlink" Target="https://coinis.com/blog/when-to-kill-meta-ads-decision-framework" TargetMode="External"/><Relationship Id="rId41" Type="http://schemas.openxmlformats.org/officeDocument/2006/relationships/hyperlink" Target="https://www.pin.com/blog/recruiting-outreach-benchmark-report/" TargetMode="External"/><Relationship Id="rId42" Type="http://schemas.openxmlformats.org/officeDocument/2006/relationships/hyperlink" Target="https://www.pin.com/blog/recruiting-outreach-benchmark-report/" TargetMode="External"/><Relationship Id="rId43" Type="http://schemas.openxmlformats.org/officeDocument/2006/relationships/hyperlink" Target="https://www.pin.com/blog/recruiting-outreach-benchmark-report/" TargetMode="External"/><Relationship Id="rId44" Type="http://schemas.openxmlformats.org/officeDocument/2006/relationships/hyperlink" Target="https://roaspig.com/blog/automated-rules-manage-meta-budgets/" TargetMode="External"/><Relationship Id="rId45" Type="http://schemas.openxmlformats.org/officeDocument/2006/relationships/hyperlink" Target="https://statistik.arbeitsagentur.de/DE/Navigation/Statistiken/Interaktive-Statistiken/Fachkraeftebedarf/Engpassanalyse-Nav.html" TargetMode="External"/><Relationship Id="rId46" Type="http://schemas.openxmlformats.org/officeDocument/2006/relationships/hyperlink" Target="https://en.wikipedia.org/wiki/Kingman%27s_formula" TargetMode="External"/><Relationship Id="rId47" Type="http://schemas.openxmlformats.org/officeDocument/2006/relationships/hyperlink" Target="https://www.arbeitsagentur.de/faktor-a/mitarbeiter-finden/so-funktioniert-deutschlands-groesste-jobboerse" TargetMode="External"/><Relationship Id="rId48" Type="http://schemas.openxmlformats.org/officeDocument/2006/relationships/hyperlink" Target="https://www.arbeitsagentur.de/faktor-a/mitarbeiter-finden/so-funktioniert-deutschlands-groesste-jobboerse" TargetMode="External"/><Relationship Id="rId49" Type="http://schemas.openxmlformats.org/officeDocument/2006/relationships/hyperlink" Target="https://www.arbeitsagentur.de/faktor-a/mitarbeiter-finden/so-funktioniert-deutschlands-groesste-jobboerse" TargetMode="External"/><Relationship Id="rId50" Type="http://schemas.openxmlformats.org/officeDocument/2006/relationships/hyperlink" Target="https://www.arbeitsagentur.de/faktor-a/mitarbeiter-finden/so-funktioniert-deutschlands-groesste-jobboerse" TargetMode="External"/><Relationship Id="rId51" Type="http://schemas.openxmlformats.org/officeDocument/2006/relationships/hyperlink" Target="https://www.personalwirtschaft.de/?p=162207" TargetMode="External"/><Relationship Id="rId52" Type="http://schemas.openxmlformats.org/officeDocument/2006/relationships/hyperlink" Target="https://www.personalwirtschaft.de/?p=162207" TargetMode="External"/><Relationship Id="rId53" Type="http://schemas.openxmlformats.org/officeDocument/2006/relationships/hyperlink" Target="https://www.personalwirtschaft.de/?p=162207" TargetMode="External"/><Relationship Id="rId54" Type="http://schemas.openxmlformats.org/officeDocument/2006/relationships/hyperlink" Target="https://www.personalwirtschaft.de/?p=162207" TargetMode="External"/><Relationship Id="rId55" Type="http://schemas.openxmlformats.org/officeDocument/2006/relationships/hyperlink" Target="https://www.stepstone.de/e-recruiting/stellenanzeige-aufgeben/" TargetMode="External"/><Relationship Id="rId56" Type="http://schemas.openxmlformats.org/officeDocument/2006/relationships/hyperlink" Target="https://www.stepstone.de/e-recruiting/stellenanzeige-aufgeben/" TargetMode="External"/><Relationship Id="rId57" Type="http://schemas.openxmlformats.org/officeDocument/2006/relationships/hyperlink" Target="https://www.stepstone.de/e-recruiting/stellenanzeige-aufgeben/" TargetMode="External"/><Relationship Id="rId58" Type="http://schemas.openxmlformats.org/officeDocument/2006/relationships/hyperlink" Target="https://www.stepstone.de/e-recruiting/stellenanzeige-aufgeben/" TargetMode="External"/><Relationship Id="rId59" Type="http://schemas.openxmlformats.org/officeDocument/2006/relationships/hyperlink" Target="https://www.talentbait.de/recruiting-kanaele-uebersicht/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social-media-recruiting" TargetMode="External"/><Relationship Id="rId62" Type="http://schemas.openxmlformats.org/officeDocument/2006/relationships/hyperlink" Target="https://www.talentbait.de/social-media-recruiting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talentbait.de/recruiting-kanaele-uebersicht/" TargetMode="External"/><Relationship Id="rId65" Type="http://schemas.openxmlformats.org/officeDocument/2006/relationships/hyperlink" Target="https://www.talentbait.de/recruiting-kanaele-uebersicht/" TargetMode="External"/><Relationship Id="rId66" Type="http://schemas.openxmlformats.org/officeDocument/2006/relationships/hyperlink" Target="https://www.talentbait.de/recruiting-kanaele-uebersicht/" TargetMode="External"/><Relationship Id="rId67" Type="http://schemas.openxmlformats.org/officeDocument/2006/relationships/hyperlink" Target="https://www.haufe.de/compliance/management-praxis/aufbewahrung-wie-lange-duerfen-bewerberdaten-gespeichert-werden_230130_261218.html" TargetMode="External"/><Relationship Id="rId68" Type="http://schemas.openxmlformats.org/officeDocument/2006/relationships/hyperlink" Target="https://www.haufe.de/compliance/management-praxis/aufbewahrung-wie-lange-duerfen-bewerberdaten-gespeichert-werden_230130_261218.html" TargetMode="External"/><Relationship Id="rId69" Type="http://schemas.openxmlformats.org/officeDocument/2006/relationships/hyperlink" Target="https://www.haufe.de/compliance/management-praxis/aufbewahrung-wie-lange-duerfen-bewerberdaten-gespeichert-werden_230130_261218.html" TargetMode="External"/><Relationship Id="rId70" Type="http://schemas.openxmlformats.org/officeDocument/2006/relationships/hyperlink" Target="https://www.haufe.de/compliance/management-praxis/aufbewahrung-wie-lange-duerfen-bewerberdaten-gespeichert-werden_230130_261218.html" TargetMode="External"/><Relationship Id="rId71" Type="http://schemas.openxmlformats.org/officeDocument/2006/relationships/hyperlink" Target="https://www.pin.com/blog/recruiting-outreach-benchmark-report/" TargetMode="External"/><Relationship Id="rId72" Type="http://schemas.openxmlformats.org/officeDocument/2006/relationships/hyperlink" Target="https://www.shrm.org/mena/topics-tools/news/technology/talent-rediscovery-tools-help-address-labor-shortages" TargetMode="External"/><Relationship Id="rId73" Type="http://schemas.openxmlformats.org/officeDocument/2006/relationships/hyperlink" Target="https://www.careerplug.com/wp-content/uploads/2025/04/Recruiting-Metrics-Report.pdf" TargetMode="External"/><Relationship Id="rId74" Type="http://schemas.openxmlformats.org/officeDocument/2006/relationships/hyperlink" Target="https://www.careerplug.com/wp-content/uploads/2025/04/Recruiting-Metrics-Report.pdf" TargetMode="External"/><Relationship Id="rId75" Type="http://schemas.openxmlformats.org/officeDocument/2006/relationships/hyperlink" Target="https://www.careerplug.com/wp-content/uploads/2025/04/Recruiting-Metrics-Report.pdf" TargetMode="External"/><Relationship Id="rId76" Type="http://schemas.openxmlformats.org/officeDocument/2006/relationships/hyperlink" Target="https://www.careerplug.com/wp-content/uploads/2025/04/Recruiting-Metrics-Report.pdf" TargetMode="External"/><Relationship Id="rId77" Type="http://schemas.openxmlformats.org/officeDocument/2006/relationships/hyperlink" Target="https://breezy.hr/resources/hiring-reports/source-of-hire-report" TargetMode="External"/><Relationship Id="rId78" Type="http://schemas.openxmlformats.org/officeDocument/2006/relationships/hyperlink" Target="https://www.seven.io/en/prices/" TargetMode="External"/><Relationship Id="rId79" Type="http://schemas.openxmlformats.org/officeDocument/2006/relationships/hyperlink" Target="https://www.kofa.de/media/Publikationen/Handlungsempfehlungen/Mitarbeiter_werben_Mitarbeiter.pdf" TargetMode="External"/><Relationship Id="rId80" Type="http://schemas.openxmlformats.org/officeDocument/2006/relationships/hyperlink" Target="https://www.metaview.ai/resources/blog/do-referred-candidates-interview-better" TargetMode="External"/><Relationship Id="rId8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2" Type="http://schemas.openxmlformats.org/officeDocument/2006/relationships/hyperlink" Target="https://redline-grow.de/fachkraeftemangel-handwerk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wbstraining.de/potsdam-weiterbildung-sps-techniker-mit-hwk-abschluss" TargetMode="External"/><Relationship Id="rId85" Type="http://schemas.openxmlformats.org/officeDocument/2006/relationships/hyperlink" Target="https://www.freelancermap.de/freelancer/texterstellung" TargetMode="External"/><Relationship Id="rId86" Type="http://schemas.openxmlformats.org/officeDocument/2006/relationships/hyperlink" Target="https://dlafirm.pracuj.pl/cennik-uslug/pakiety-ogloszen" TargetMode="External"/><Relationship Id="rId87" Type="http://schemas.openxmlformats.org/officeDocument/2006/relationships/hyperlink" Target="https://ec.europa.eu/eurostat/api/dissemination/statistics/1.0/data/edat_aes_l23?geo=PL&amp;time=2022&amp;age=Y25-64" TargetMode="External"/><Relationship Id="rId88" Type="http://schemas.openxmlformats.org/officeDocument/2006/relationships/hyperlink" Target="https://doku.iab.de/regional/BB/2020/regional_bb_0120.pdf" TargetMode="External"/><Relationship Id="rId89" Type="http://schemas.openxmlformats.org/officeDocument/2006/relationships/hyperlink" Target="https://www.indeed.com/hire/c/info/what-is-a-phone-screen" TargetMode="External"/><Relationship Id="rId90" Type="http://schemas.openxmlformats.org/officeDocument/2006/relationships/hyperlink" Target="https://rocketjobs.pl/oferta-pracy/intent-tech-recruiter-freelance--warszawa-hr-recruitment-9e0cdcee" TargetMode="External"/><Relationship Id="rId91" Type="http://schemas.openxmlformats.org/officeDocument/2006/relationships/hyperlink" Target="https://www.buzer.de/11_JVEG.ht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230000</v>
      </c>
    </row>
    <row r="6" customFormat="false" ht="15" hidden="false" customHeight="false" outlineLevel="0" collapsed="false">
      <c r="B6" s="2" t="s">
        <v>4</v>
      </c>
      <c r="C6" s="4" t="n">
        <f aca="false">Budget!C9</f>
        <v>193423.630576062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36576.3694239383</v>
      </c>
    </row>
    <row r="8" customFormat="false" ht="15" hidden="false" customHeight="false" outlineLevel="0" collapsed="false">
      <c r="B8" s="2" t="s">
        <v>6</v>
      </c>
      <c r="C8" s="5" t="n">
        <f aca="false">Budget!C13</f>
        <v>98.750308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98.750308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1958.71420042621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303.447269360269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0.965514038873584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IF(MIN(Funnel!L30:L33)&gt;=1000000000,"–",INDEX(Funnel!A30:A33,MATCH(MIN(Funnel!L30:L33),Funnel!L30:L33,0))&amp;" ("&amp;TEXT(MIN(Funnel!L30:L33),"0.0")&amp;"× coverage; see Funnel row 35)")</f>
        <v>Supervisors (0.9× coverage;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Budget!H47</f>
        <v>89.7588819710332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+(Assumptions!$D$48&lt;0)+(Assumptions!$D$48&gt;=1)+(Assumptions!$D$20&lt;Assumptions!$D$7)+(Assumptions!$D$20&gt;Assumptions!$D$8)+(Assumptions!$D$8&lt;=Assumptions!$D$7)+(Assumptions!$D$95&gt;=Assumptions!$D$93)+(Assumptions!$D$96&lt;Assumptions!$D$94)=0,"✓ all inputs valid","✗ invalid input: "&amp;IF(((Assumptions!$D$10&lt;0)+(Assumptions!$D$10&gt;1)+(Assumptions!$D$54&lt;0)+(Assumptions!$D$54&gt;1)+(Assumptions!$D$50&lt;0)+(Assumptions!$D$50&gt;1)+(Assumptions!$D$52&lt;0)+(Assumptions!$D$52&gt;1)+(Assumptions!$D$53&lt;0)+(Assumptions!$D$53&gt;1)+(Assumptions!$D$66&lt;0)+(Assumptions!$D$66&gt;1)+(Assumptions!$D$139&lt;0)+(Assumptions!$D$139&gt;1)+(Assumptions!$D$140&lt;0)+(Assumptions!$D$140&gt;1)+(Assumptions!$D$145&lt;0)+(Assumptions!$D$145&gt;1)+(Assumptions!$D$150&lt;0)+(Assumptions!$D$150&gt;1)+(Assumptions!$D$152&lt;0)+(Assumptions!$D$152&gt;1)+(Assumptions!$D$156&lt;0)+(Assumptions!$D$156&gt;1)+(Assumptions!$D$97&lt;0)+(Assumptions!$D$97&gt;1)+(Assumptions!$D$98&lt;0)+(Assumptions!$D$98&gt;1)+(Assumptions!$D$99&lt;0)+(Assumptions!$D$99&gt;1)+(Assumptions!$D$93&lt;0)+(Assumptions!$D$93&gt;1)+(Assumptions!$D$95&lt;0)+(Assumptions!$D$95&gt;1)+(Assumptions!$D$92&lt;0)+(Assumptions!$D$92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$64&lt;0)+(Assumptions!$D$64&gt;1)+(Assumptions!$D$65&lt;0)+(Assumptions!$D$65&gt;1)+(Assumptions!$D$74&lt;0)+(Assumptions!$D$74&gt;1)+(Assumptions!$D$75&lt;0)+(Assumptions!$D$75&gt;1)+(Assumptions!$D$76&lt;0)+(Assumptions!$D$76&gt;1)+(Assumptions!$D$77&lt;0)+(Assumptions!$D$77&gt;1)+(Assumptions!$D$100&lt;0)+(Assumptions!$D$100&gt;1)+(Assumptions!$D$103&lt;0)+(Assumptions!$D$103&gt;1)+(Assumptions!$D$104&lt;0)+(Assumptions!$D$104&gt;1)+(Assumptions!$D$105&lt;0)+(Assumptions!$D$105&gt;1)+(Assumptions!$D$106&lt;0)+(Assumptions!$D$106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$70&lt;0)+(Assumptions!$D$71&lt;0)+(Assumptions!$D$72&lt;0)+(Assumptions!$D$73&lt;0)+(Assumptions!$D$78&lt;0)+(Assumptions!$D$79&lt;0)+(Assumptions!$D$80&lt;0)+(Assumptions!$D$81&lt;0)+(Assumptions!$D$85&lt;0)+(Assumptions!$D$86&lt;0)+(Assumptions!$D$87&lt;0)+(Assumptions!$D$88&lt;0)+(Assumptions!$D$89&lt;0)+(Assumptions!$D$90&lt;0)+(Assumptions!$D$91&lt;0)+(Assumptions!$D$94&lt;0)+(Assumptions!$D$96&lt;0)+(Assumptions!$D$101&lt;0)+(Assumptions!$D$102&lt;0)+(Assumptions!$D$107&lt;0)+(Assumptions!$D$108&lt;0)+(Assumptions!$D$135&lt;0)+(Assumptions!$D$136&lt;0)+(Assumptions!$D$137&lt;0)+(Assumptions!$D$138&lt;0)+(Assumptions!$D$141&lt;0)+(Assumptions!$D$142&lt;0)+(Assumptions!$D$143&lt;0)+(Assumptions!$D$144&lt;0)+(Assumptions!$D$146&lt;0)+(Assumptions!$D$147&lt;0)+(Assumptions!$D$148&lt;0)+(Assumptions!$D$149&lt;0)+(Assumptions!$D$151&lt;0)+(Assumptions!$D$153&lt;0)+(Assumptions!$D$154&lt;0)+(Assumptions!$D$155&lt;0)+(Assumptions!$D$157&lt;0)+(Assumptions!$D$158&lt;0)+(Assumptions!$D$159&lt;0)+(Assumptions!$D$160&lt;0)+(Assumptions!$D$161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$112:$E$131&lt;0)+(Assumptions!$G$112:$G$131&lt;0)+(Assumptions!$G$112:$G$131&gt;1)+(Assumptions!$H$112:$H$131&lt;0)+(Assumptions!$I$112:$I$131&lt;0)+(Assumptions!$J$112:$J$131&lt;0)+(Assumptions!$F$112:$F$131&lt;0)+((Assumptions!$D$112:$D$131="CPC")*(Assumptions!$F$112:$F$131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","")&amp;IF(OR(Assumptions!$D$95&gt;=Assumptions!$D$93,Assumptions!$D$96&lt;Assumptions!$D$94),"initiative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37</v>
      </c>
    </row>
    <row r="9" customFormat="false" ht="26.85" hidden="false" customHeight="false" outlineLevel="0" collapsed="false">
      <c r="A9" s="2" t="s">
        <v>38</v>
      </c>
      <c r="B9" s="13" t="s">
        <v>39</v>
      </c>
      <c r="C9" s="2" t="s">
        <v>40</v>
      </c>
      <c r="D9" s="15" t="n">
        <v>55</v>
      </c>
      <c r="E9" s="2" t="s">
        <v>41</v>
      </c>
      <c r="F9" s="2" t="s">
        <v>33</v>
      </c>
      <c r="G9" s="13" t="s">
        <v>42</v>
      </c>
    </row>
    <row r="10" customFormat="false" ht="26.85" hidden="false" customHeight="false" outlineLevel="0" collapsed="false">
      <c r="A10" s="2" t="s">
        <v>43</v>
      </c>
      <c r="B10" s="13" t="s">
        <v>44</v>
      </c>
      <c r="C10" s="2" t="s">
        <v>45</v>
      </c>
      <c r="D10" s="16" t="n">
        <v>0.4</v>
      </c>
      <c r="E10" s="2" t="s">
        <v>46</v>
      </c>
      <c r="F10" s="2" t="s">
        <v>33</v>
      </c>
      <c r="G10" s="13" t="s">
        <v>47</v>
      </c>
    </row>
    <row r="11" customFormat="false" ht="15" hidden="false" customHeight="false" outlineLevel="0" collapsed="false">
      <c r="A11" s="2" t="s">
        <v>48</v>
      </c>
      <c r="B11" s="13" t="s">
        <v>49</v>
      </c>
      <c r="C11" s="2" t="s">
        <v>50</v>
      </c>
      <c r="D11" s="15" t="n">
        <v>30</v>
      </c>
      <c r="E11" s="2" t="s">
        <v>51</v>
      </c>
      <c r="F11" s="2" t="s">
        <v>33</v>
      </c>
      <c r="G11" s="13" t="s">
        <v>52</v>
      </c>
    </row>
    <row r="12" customFormat="false" ht="15" hidden="false" customHeight="false" outlineLevel="0" collapsed="false">
      <c r="A12" s="2" t="s">
        <v>53</v>
      </c>
      <c r="B12" s="13" t="s">
        <v>49</v>
      </c>
      <c r="C12" s="2" t="s">
        <v>45</v>
      </c>
      <c r="D12" s="15" t="n">
        <v>45</v>
      </c>
      <c r="E12" s="2" t="s">
        <v>51</v>
      </c>
      <c r="F12" s="2" t="s">
        <v>33</v>
      </c>
      <c r="G12" s="13" t="s">
        <v>52</v>
      </c>
    </row>
    <row r="13" customFormat="false" ht="15" hidden="false" customHeight="false" outlineLevel="0" collapsed="false">
      <c r="A13" s="2" t="s">
        <v>54</v>
      </c>
      <c r="B13" s="13" t="s">
        <v>49</v>
      </c>
      <c r="C13" s="2" t="s">
        <v>55</v>
      </c>
      <c r="D13" s="15" t="n">
        <v>15</v>
      </c>
      <c r="E13" s="2" t="s">
        <v>51</v>
      </c>
      <c r="F13" s="2" t="s">
        <v>33</v>
      </c>
      <c r="G13" s="13" t="s">
        <v>52</v>
      </c>
    </row>
    <row r="14" customFormat="false" ht="15" hidden="false" customHeight="false" outlineLevel="0" collapsed="false">
      <c r="A14" s="2" t="s">
        <v>56</v>
      </c>
      <c r="B14" s="13" t="s">
        <v>49</v>
      </c>
      <c r="C14" s="2" t="s">
        <v>57</v>
      </c>
      <c r="D14" s="15" t="n">
        <v>10</v>
      </c>
      <c r="E14" s="2" t="s">
        <v>51</v>
      </c>
      <c r="F14" s="2" t="s">
        <v>33</v>
      </c>
      <c r="G14" s="13" t="s">
        <v>52</v>
      </c>
    </row>
    <row r="15" customFormat="false" ht="39.55" hidden="false" customHeight="false" outlineLevel="0" collapsed="false">
      <c r="A15" s="2" t="s">
        <v>58</v>
      </c>
      <c r="B15" s="13" t="s">
        <v>59</v>
      </c>
      <c r="C15" s="2" t="s">
        <v>50</v>
      </c>
      <c r="D15" s="15" t="n">
        <v>2</v>
      </c>
      <c r="E15" s="2" t="s">
        <v>60</v>
      </c>
      <c r="F15" s="2" t="s">
        <v>33</v>
      </c>
      <c r="G15" s="17" t="s">
        <v>61</v>
      </c>
    </row>
    <row r="17" customFormat="false" ht="15" hidden="false" customHeight="false" outlineLevel="0" collapsed="false">
      <c r="A17" s="10" t="s">
        <v>62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39.55" hidden="false" customHeight="false" outlineLevel="0" collapsed="false">
      <c r="A19" s="2" t="s">
        <v>63</v>
      </c>
      <c r="B19" s="13" t="s">
        <v>64</v>
      </c>
      <c r="C19" s="2" t="s">
        <v>31</v>
      </c>
      <c r="D19" s="15" t="n">
        <v>2</v>
      </c>
      <c r="E19" s="2" t="s">
        <v>65</v>
      </c>
      <c r="F19" s="2" t="s">
        <v>66</v>
      </c>
      <c r="G19" s="13" t="s">
        <v>67</v>
      </c>
    </row>
    <row r="20" customFormat="false" ht="15" hidden="false" customHeight="false" outlineLevel="0" collapsed="false">
      <c r="A20" s="2" t="s">
        <v>68</v>
      </c>
      <c r="B20" s="13" t="s">
        <v>69</v>
      </c>
      <c r="C20" s="2" t="s">
        <v>31</v>
      </c>
      <c r="D20" s="14" t="n">
        <v>46374</v>
      </c>
      <c r="E20" s="2" t="s">
        <v>32</v>
      </c>
      <c r="F20" s="2" t="s">
        <v>70</v>
      </c>
      <c r="G20" s="17" t="s">
        <v>71</v>
      </c>
    </row>
    <row r="21" customFormat="false" ht="26.85" hidden="false" customHeight="false" outlineLevel="0" collapsed="false">
      <c r="A21" s="2" t="s">
        <v>72</v>
      </c>
      <c r="B21" s="13" t="s">
        <v>73</v>
      </c>
      <c r="C21" s="2" t="s">
        <v>31</v>
      </c>
      <c r="D21" s="15" t="n">
        <v>6</v>
      </c>
      <c r="E21" s="2" t="s">
        <v>65</v>
      </c>
      <c r="F21" s="2" t="s">
        <v>70</v>
      </c>
      <c r="G21" s="17" t="s">
        <v>74</v>
      </c>
    </row>
    <row r="22" customFormat="false" ht="26.85" hidden="false" customHeight="false" outlineLevel="0" collapsed="false">
      <c r="A22" s="2" t="s">
        <v>75</v>
      </c>
      <c r="B22" s="13" t="s">
        <v>76</v>
      </c>
      <c r="C22" s="2" t="s">
        <v>31</v>
      </c>
      <c r="D22" s="15" t="n">
        <v>8</v>
      </c>
      <c r="E22" s="2" t="s">
        <v>65</v>
      </c>
      <c r="F22" s="2" t="s">
        <v>77</v>
      </c>
      <c r="G22" s="17" t="s">
        <v>78</v>
      </c>
    </row>
    <row r="23" customFormat="false" ht="15" hidden="false" customHeight="false" outlineLevel="0" collapsed="false">
      <c r="A23" s="2" t="s">
        <v>79</v>
      </c>
      <c r="B23" s="13" t="s">
        <v>80</v>
      </c>
      <c r="C23" s="2" t="s">
        <v>31</v>
      </c>
      <c r="D23" s="15" t="n">
        <v>3</v>
      </c>
      <c r="E23" s="2" t="s">
        <v>65</v>
      </c>
      <c r="F23" s="2" t="s">
        <v>77</v>
      </c>
      <c r="G23" s="17" t="s">
        <v>81</v>
      </c>
    </row>
    <row r="24" customFormat="false" ht="15" hidden="false" customHeight="false" outlineLevel="0" collapsed="false">
      <c r="A24" s="2" t="s">
        <v>82</v>
      </c>
      <c r="B24" s="13" t="s">
        <v>83</v>
      </c>
      <c r="C24" s="2" t="s">
        <v>31</v>
      </c>
      <c r="D24" s="15" t="n">
        <v>7</v>
      </c>
      <c r="E24" s="2" t="s">
        <v>65</v>
      </c>
      <c r="F24" s="2" t="s">
        <v>77</v>
      </c>
      <c r="G24" s="17" t="s">
        <v>84</v>
      </c>
    </row>
    <row r="25" customFormat="false" ht="26.85" hidden="false" customHeight="false" outlineLevel="0" collapsed="false">
      <c r="A25" s="2" t="s">
        <v>85</v>
      </c>
      <c r="B25" s="13" t="s">
        <v>86</v>
      </c>
      <c r="C25" s="2" t="s">
        <v>57</v>
      </c>
      <c r="D25" s="15" t="n">
        <v>7</v>
      </c>
      <c r="E25" s="2" t="s">
        <v>65</v>
      </c>
      <c r="F25" s="2" t="s">
        <v>66</v>
      </c>
      <c r="G25" s="17" t="s">
        <v>87</v>
      </c>
    </row>
    <row r="27" customFormat="false" ht="15" hidden="false" customHeight="false" outlineLevel="0" collapsed="false">
      <c r="A27" s="10" t="s">
        <v>88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89</v>
      </c>
      <c r="B29" s="13" t="s">
        <v>90</v>
      </c>
      <c r="C29" s="2" t="s">
        <v>50</v>
      </c>
      <c r="D29" s="16" t="n">
        <v>0.15</v>
      </c>
      <c r="E29" s="2" t="s">
        <v>46</v>
      </c>
      <c r="F29" s="2" t="s">
        <v>77</v>
      </c>
      <c r="G29" s="17" t="s">
        <v>91</v>
      </c>
    </row>
    <row r="30" customFormat="false" ht="15" hidden="false" customHeight="false" outlineLevel="0" collapsed="false">
      <c r="A30" s="2" t="s">
        <v>92</v>
      </c>
      <c r="B30" s="13" t="s">
        <v>90</v>
      </c>
      <c r="C30" s="2" t="s">
        <v>45</v>
      </c>
      <c r="D30" s="16" t="n">
        <v>0.22</v>
      </c>
      <c r="E30" s="2" t="s">
        <v>46</v>
      </c>
      <c r="F30" s="2" t="s">
        <v>77</v>
      </c>
      <c r="G30" s="17" t="s">
        <v>91</v>
      </c>
    </row>
    <row r="31" customFormat="false" ht="15" hidden="false" customHeight="false" outlineLevel="0" collapsed="false">
      <c r="A31" s="2" t="s">
        <v>93</v>
      </c>
      <c r="B31" s="13" t="s">
        <v>90</v>
      </c>
      <c r="C31" s="2" t="s">
        <v>55</v>
      </c>
      <c r="D31" s="16" t="n">
        <v>0.15</v>
      </c>
      <c r="E31" s="2" t="s">
        <v>46</v>
      </c>
      <c r="F31" s="2" t="s">
        <v>77</v>
      </c>
      <c r="G31" s="17" t="s">
        <v>91</v>
      </c>
    </row>
    <row r="32" customFormat="false" ht="15" hidden="false" customHeight="false" outlineLevel="0" collapsed="false">
      <c r="A32" s="2" t="s">
        <v>94</v>
      </c>
      <c r="B32" s="13" t="s">
        <v>90</v>
      </c>
      <c r="C32" s="2" t="s">
        <v>57</v>
      </c>
      <c r="D32" s="16" t="n">
        <v>0.1</v>
      </c>
      <c r="E32" s="2" t="s">
        <v>46</v>
      </c>
      <c r="F32" s="2" t="s">
        <v>77</v>
      </c>
      <c r="G32" s="17" t="s">
        <v>91</v>
      </c>
    </row>
    <row r="33" customFormat="false" ht="15" hidden="false" customHeight="false" outlineLevel="0" collapsed="false">
      <c r="A33" s="2" t="s">
        <v>95</v>
      </c>
      <c r="B33" s="13" t="s">
        <v>96</v>
      </c>
      <c r="C33" s="2" t="s">
        <v>50</v>
      </c>
      <c r="D33" s="16" t="n">
        <v>0.5</v>
      </c>
      <c r="E33" s="2" t="s">
        <v>46</v>
      </c>
      <c r="F33" s="2" t="s">
        <v>77</v>
      </c>
      <c r="G33" s="17" t="s">
        <v>97</v>
      </c>
    </row>
    <row r="34" customFormat="false" ht="15" hidden="false" customHeight="false" outlineLevel="0" collapsed="false">
      <c r="A34" s="2" t="s">
        <v>98</v>
      </c>
      <c r="B34" s="13" t="s">
        <v>96</v>
      </c>
      <c r="C34" s="2" t="s">
        <v>45</v>
      </c>
      <c r="D34" s="16" t="n">
        <v>0.55</v>
      </c>
      <c r="E34" s="2" t="s">
        <v>46</v>
      </c>
      <c r="F34" s="2" t="s">
        <v>77</v>
      </c>
      <c r="G34" s="17" t="s">
        <v>99</v>
      </c>
    </row>
    <row r="35" customFormat="false" ht="15" hidden="false" customHeight="false" outlineLevel="0" collapsed="false">
      <c r="A35" s="2" t="s">
        <v>100</v>
      </c>
      <c r="B35" s="13" t="s">
        <v>96</v>
      </c>
      <c r="C35" s="2" t="s">
        <v>55</v>
      </c>
      <c r="D35" s="16" t="n">
        <v>0.45</v>
      </c>
      <c r="E35" s="2" t="s">
        <v>46</v>
      </c>
      <c r="F35" s="2" t="s">
        <v>77</v>
      </c>
      <c r="G35" s="17" t="s">
        <v>101</v>
      </c>
    </row>
    <row r="36" customFormat="false" ht="15" hidden="false" customHeight="false" outlineLevel="0" collapsed="false">
      <c r="A36" s="2" t="s">
        <v>102</v>
      </c>
      <c r="B36" s="13" t="s">
        <v>96</v>
      </c>
      <c r="C36" s="2" t="s">
        <v>57</v>
      </c>
      <c r="D36" s="16" t="n">
        <v>0.4</v>
      </c>
      <c r="E36" s="2" t="s">
        <v>46</v>
      </c>
      <c r="F36" s="2" t="s">
        <v>77</v>
      </c>
      <c r="G36" s="17" t="s">
        <v>103</v>
      </c>
    </row>
    <row r="37" customFormat="false" ht="15" hidden="false" customHeight="false" outlineLevel="0" collapsed="false">
      <c r="A37" s="2" t="s">
        <v>104</v>
      </c>
      <c r="B37" s="13" t="s">
        <v>105</v>
      </c>
      <c r="C37" s="2" t="s">
        <v>50</v>
      </c>
      <c r="D37" s="16" t="n">
        <v>0.9</v>
      </c>
      <c r="E37" s="2" t="s">
        <v>46</v>
      </c>
      <c r="F37" s="2" t="s">
        <v>66</v>
      </c>
      <c r="G37" s="17" t="s">
        <v>106</v>
      </c>
    </row>
    <row r="38" customFormat="false" ht="15" hidden="false" customHeight="false" outlineLevel="0" collapsed="false">
      <c r="A38" s="2" t="s">
        <v>107</v>
      </c>
      <c r="B38" s="13" t="s">
        <v>105</v>
      </c>
      <c r="C38" s="2" t="s">
        <v>45</v>
      </c>
      <c r="D38" s="16" t="n">
        <v>0.9</v>
      </c>
      <c r="E38" s="2" t="s">
        <v>46</v>
      </c>
      <c r="F38" s="2" t="s">
        <v>66</v>
      </c>
      <c r="G38" s="17" t="s">
        <v>106</v>
      </c>
    </row>
    <row r="39" customFormat="false" ht="15" hidden="false" customHeight="false" outlineLevel="0" collapsed="false">
      <c r="A39" s="2" t="s">
        <v>108</v>
      </c>
      <c r="B39" s="13" t="s">
        <v>105</v>
      </c>
      <c r="C39" s="2" t="s">
        <v>55</v>
      </c>
      <c r="D39" s="16" t="n">
        <v>0.9</v>
      </c>
      <c r="E39" s="2" t="s">
        <v>46</v>
      </c>
      <c r="F39" s="2" t="s">
        <v>66</v>
      </c>
      <c r="G39" s="17" t="s">
        <v>106</v>
      </c>
    </row>
    <row r="40" customFormat="false" ht="15" hidden="false" customHeight="false" outlineLevel="0" collapsed="false">
      <c r="A40" s="2" t="s">
        <v>109</v>
      </c>
      <c r="B40" s="13" t="s">
        <v>105</v>
      </c>
      <c r="C40" s="2" t="s">
        <v>57</v>
      </c>
      <c r="D40" s="16" t="n">
        <v>0.85</v>
      </c>
      <c r="E40" s="2" t="s">
        <v>46</v>
      </c>
      <c r="F40" s="2" t="s">
        <v>66</v>
      </c>
      <c r="G40" s="17" t="s">
        <v>106</v>
      </c>
    </row>
    <row r="41" customFormat="false" ht="15" hidden="false" customHeight="false" outlineLevel="0" collapsed="false">
      <c r="A41" s="2" t="s">
        <v>110</v>
      </c>
      <c r="B41" s="13" t="s">
        <v>111</v>
      </c>
      <c r="C41" s="2" t="s">
        <v>50</v>
      </c>
      <c r="D41" s="16" t="n">
        <v>0.7</v>
      </c>
      <c r="E41" s="2" t="s">
        <v>46</v>
      </c>
      <c r="F41" s="2" t="s">
        <v>77</v>
      </c>
      <c r="G41" s="17" t="s">
        <v>112</v>
      </c>
    </row>
    <row r="42" customFormat="false" ht="15" hidden="false" customHeight="false" outlineLevel="0" collapsed="false">
      <c r="A42" s="2" t="s">
        <v>113</v>
      </c>
      <c r="B42" s="13" t="s">
        <v>111</v>
      </c>
      <c r="C42" s="2" t="s">
        <v>45</v>
      </c>
      <c r="D42" s="16" t="n">
        <v>0.75</v>
      </c>
      <c r="E42" s="2" t="s">
        <v>46</v>
      </c>
      <c r="F42" s="2" t="s">
        <v>77</v>
      </c>
      <c r="G42" s="17" t="s">
        <v>114</v>
      </c>
    </row>
    <row r="43" customFormat="false" ht="15" hidden="false" customHeight="false" outlineLevel="0" collapsed="false">
      <c r="A43" s="2" t="s">
        <v>115</v>
      </c>
      <c r="B43" s="13" t="s">
        <v>111</v>
      </c>
      <c r="C43" s="2" t="s">
        <v>55</v>
      </c>
      <c r="D43" s="16" t="n">
        <v>0.7</v>
      </c>
      <c r="E43" s="2" t="s">
        <v>46</v>
      </c>
      <c r="F43" s="2" t="s">
        <v>77</v>
      </c>
      <c r="G43" s="17" t="s">
        <v>116</v>
      </c>
    </row>
    <row r="44" customFormat="false" ht="15" hidden="false" customHeight="false" outlineLevel="0" collapsed="false">
      <c r="A44" s="2" t="s">
        <v>117</v>
      </c>
      <c r="B44" s="13" t="s">
        <v>111</v>
      </c>
      <c r="C44" s="2" t="s">
        <v>57</v>
      </c>
      <c r="D44" s="16" t="n">
        <v>0.7</v>
      </c>
      <c r="E44" s="2" t="s">
        <v>46</v>
      </c>
      <c r="F44" s="2" t="s">
        <v>77</v>
      </c>
      <c r="G44" s="17" t="s">
        <v>118</v>
      </c>
    </row>
    <row r="46" customFormat="false" ht="15" hidden="false" customHeight="false" outlineLevel="0" collapsed="false">
      <c r="A46" s="10" t="s">
        <v>119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120</v>
      </c>
      <c r="B48" s="13" t="s">
        <v>121</v>
      </c>
      <c r="C48" s="2" t="s">
        <v>31</v>
      </c>
      <c r="D48" s="16" t="n">
        <v>0.15</v>
      </c>
      <c r="E48" s="2" t="s">
        <v>46</v>
      </c>
      <c r="F48" s="2" t="s">
        <v>77</v>
      </c>
      <c r="G48" s="17" t="s">
        <v>122</v>
      </c>
    </row>
    <row r="49" customFormat="false" ht="52.2" hidden="false" customHeight="false" outlineLevel="0" collapsed="false">
      <c r="A49" s="2" t="s">
        <v>123</v>
      </c>
      <c r="B49" s="13" t="s">
        <v>124</v>
      </c>
      <c r="C49" s="2" t="s">
        <v>125</v>
      </c>
      <c r="D49" s="18" t="n">
        <v>750</v>
      </c>
      <c r="E49" s="2" t="s">
        <v>126</v>
      </c>
      <c r="F49" s="2" t="s">
        <v>66</v>
      </c>
      <c r="G49" s="13" t="s">
        <v>127</v>
      </c>
    </row>
    <row r="50" customFormat="false" ht="39.55" hidden="false" customHeight="false" outlineLevel="0" collapsed="false">
      <c r="A50" s="2" t="s">
        <v>128</v>
      </c>
      <c r="B50" s="13" t="s">
        <v>129</v>
      </c>
      <c r="C50" s="2" t="s">
        <v>125</v>
      </c>
      <c r="D50" s="16" t="n">
        <v>0.4</v>
      </c>
      <c r="E50" s="2" t="s">
        <v>46</v>
      </c>
      <c r="F50" s="2" t="s">
        <v>66</v>
      </c>
      <c r="G50" s="13" t="s">
        <v>130</v>
      </c>
    </row>
    <row r="51" customFormat="false" ht="39.55" hidden="false" customHeight="false" outlineLevel="0" collapsed="false">
      <c r="A51" s="2" t="s">
        <v>131</v>
      </c>
      <c r="B51" s="13" t="s">
        <v>132</v>
      </c>
      <c r="C51" s="2" t="s">
        <v>31</v>
      </c>
      <c r="D51" s="18" t="n">
        <v>2500</v>
      </c>
      <c r="E51" s="2" t="s">
        <v>126</v>
      </c>
      <c r="F51" s="2" t="s">
        <v>66</v>
      </c>
      <c r="G51" s="13" t="s">
        <v>133</v>
      </c>
    </row>
    <row r="52" customFormat="false" ht="26.85" hidden="false" customHeight="false" outlineLevel="0" collapsed="false">
      <c r="A52" s="2" t="s">
        <v>134</v>
      </c>
      <c r="B52" s="13" t="s">
        <v>135</v>
      </c>
      <c r="C52" s="2" t="s">
        <v>31</v>
      </c>
      <c r="D52" s="16" t="n">
        <v>0.15</v>
      </c>
      <c r="E52" s="2" t="s">
        <v>46</v>
      </c>
      <c r="F52" s="2" t="s">
        <v>66</v>
      </c>
      <c r="G52" s="13" t="s">
        <v>136</v>
      </c>
    </row>
    <row r="53" customFormat="false" ht="26.85" hidden="false" customHeight="false" outlineLevel="0" collapsed="false">
      <c r="A53" s="2" t="s">
        <v>137</v>
      </c>
      <c r="B53" s="13" t="s">
        <v>138</v>
      </c>
      <c r="C53" s="2" t="s">
        <v>31</v>
      </c>
      <c r="D53" s="16" t="n">
        <v>0.5</v>
      </c>
      <c r="E53" s="2" t="s">
        <v>46</v>
      </c>
      <c r="F53" s="2" t="s">
        <v>66</v>
      </c>
      <c r="G53" s="13" t="s">
        <v>139</v>
      </c>
    </row>
    <row r="54" customFormat="false" ht="15" hidden="false" customHeight="false" outlineLevel="0" collapsed="false">
      <c r="A54" s="2" t="s">
        <v>140</v>
      </c>
      <c r="B54" s="13" t="s">
        <v>141</v>
      </c>
      <c r="C54" s="2" t="s">
        <v>31</v>
      </c>
      <c r="D54" s="16" t="n">
        <v>0.3</v>
      </c>
      <c r="E54" s="2" t="s">
        <v>46</v>
      </c>
      <c r="F54" s="2" t="s">
        <v>33</v>
      </c>
      <c r="G54" s="13" t="s">
        <v>142</v>
      </c>
    </row>
    <row r="55" customFormat="false" ht="52.2" hidden="false" customHeight="false" outlineLevel="0" collapsed="false">
      <c r="A55" s="2" t="s">
        <v>143</v>
      </c>
      <c r="B55" s="13" t="s">
        <v>144</v>
      </c>
      <c r="C55" s="2" t="s">
        <v>145</v>
      </c>
      <c r="D55" s="16" t="n">
        <v>0.07</v>
      </c>
      <c r="E55" s="2" t="s">
        <v>46</v>
      </c>
      <c r="F55" s="2" t="s">
        <v>66</v>
      </c>
      <c r="G55" s="13" t="s">
        <v>146</v>
      </c>
    </row>
    <row r="56" customFormat="false" ht="52.2" hidden="false" customHeight="false" outlineLevel="0" collapsed="false">
      <c r="A56" s="2" t="s">
        <v>147</v>
      </c>
      <c r="B56" s="13" t="s">
        <v>148</v>
      </c>
      <c r="C56" s="2" t="s">
        <v>145</v>
      </c>
      <c r="D56" s="16" t="n">
        <v>0.11</v>
      </c>
      <c r="E56" s="2" t="s">
        <v>46</v>
      </c>
      <c r="F56" s="2" t="s">
        <v>66</v>
      </c>
      <c r="G56" s="13" t="s">
        <v>146</v>
      </c>
    </row>
    <row r="57" customFormat="false" ht="52.2" hidden="false" customHeight="false" outlineLevel="0" collapsed="false">
      <c r="A57" s="2" t="s">
        <v>149</v>
      </c>
      <c r="B57" s="13" t="s">
        <v>150</v>
      </c>
      <c r="C57" s="2" t="s">
        <v>145</v>
      </c>
      <c r="D57" s="16" t="n">
        <v>0.16</v>
      </c>
      <c r="E57" s="2" t="s">
        <v>46</v>
      </c>
      <c r="F57" s="2" t="s">
        <v>66</v>
      </c>
      <c r="G57" s="13" t="s">
        <v>146</v>
      </c>
    </row>
    <row r="58" customFormat="false" ht="52.2" hidden="false" customHeight="false" outlineLevel="0" collapsed="false">
      <c r="A58" s="2" t="s">
        <v>151</v>
      </c>
      <c r="B58" s="13" t="s">
        <v>152</v>
      </c>
      <c r="C58" s="2" t="s">
        <v>145</v>
      </c>
      <c r="D58" s="16" t="n">
        <v>0.205</v>
      </c>
      <c r="E58" s="2" t="s">
        <v>46</v>
      </c>
      <c r="F58" s="2" t="s">
        <v>66</v>
      </c>
      <c r="G58" s="13" t="s">
        <v>146</v>
      </c>
    </row>
    <row r="59" customFormat="false" ht="52.2" hidden="false" customHeight="false" outlineLevel="0" collapsed="false">
      <c r="A59" s="2" t="s">
        <v>153</v>
      </c>
      <c r="B59" s="13" t="s">
        <v>154</v>
      </c>
      <c r="C59" s="2" t="s">
        <v>145</v>
      </c>
      <c r="D59" s="16" t="n">
        <v>0.205</v>
      </c>
      <c r="E59" s="2" t="s">
        <v>46</v>
      </c>
      <c r="F59" s="2" t="s">
        <v>66</v>
      </c>
      <c r="G59" s="13" t="s">
        <v>146</v>
      </c>
    </row>
    <row r="60" customFormat="false" ht="52.2" hidden="false" customHeight="false" outlineLevel="0" collapsed="false">
      <c r="A60" s="2" t="s">
        <v>155</v>
      </c>
      <c r="B60" s="13" t="s">
        <v>156</v>
      </c>
      <c r="C60" s="2" t="s">
        <v>145</v>
      </c>
      <c r="D60" s="16" t="n">
        <v>0.25</v>
      </c>
      <c r="E60" s="2" t="s">
        <v>46</v>
      </c>
      <c r="F60" s="2" t="s">
        <v>66</v>
      </c>
      <c r="G60" s="13" t="s">
        <v>146</v>
      </c>
    </row>
    <row r="61" customFormat="false" ht="26.85" hidden="false" customHeight="false" outlineLevel="0" collapsed="false">
      <c r="A61" s="2" t="s">
        <v>157</v>
      </c>
      <c r="B61" s="13" t="s">
        <v>158</v>
      </c>
      <c r="C61" s="2" t="s">
        <v>145</v>
      </c>
      <c r="D61" s="16" t="n">
        <v>0</v>
      </c>
      <c r="E61" s="2" t="s">
        <v>46</v>
      </c>
      <c r="F61" s="2" t="s">
        <v>66</v>
      </c>
      <c r="G61" s="13" t="s">
        <v>159</v>
      </c>
    </row>
    <row r="62" customFormat="false" ht="26.85" hidden="false" customHeight="false" outlineLevel="0" collapsed="false">
      <c r="A62" s="2" t="s">
        <v>160</v>
      </c>
      <c r="B62" s="13" t="s">
        <v>161</v>
      </c>
      <c r="C62" s="2" t="s">
        <v>145</v>
      </c>
      <c r="D62" s="16" t="n">
        <v>0</v>
      </c>
      <c r="E62" s="2" t="s">
        <v>46</v>
      </c>
      <c r="F62" s="2" t="s">
        <v>66</v>
      </c>
      <c r="G62" s="13" t="s">
        <v>159</v>
      </c>
    </row>
    <row r="63" customFormat="false" ht="26.85" hidden="false" customHeight="false" outlineLevel="0" collapsed="false">
      <c r="A63" s="2" t="s">
        <v>162</v>
      </c>
      <c r="B63" s="13" t="s">
        <v>163</v>
      </c>
      <c r="C63" s="2" t="s">
        <v>145</v>
      </c>
      <c r="D63" s="16" t="n">
        <v>0</v>
      </c>
      <c r="E63" s="2" t="s">
        <v>46</v>
      </c>
      <c r="F63" s="2" t="s">
        <v>66</v>
      </c>
      <c r="G63" s="13" t="s">
        <v>159</v>
      </c>
    </row>
    <row r="64" customFormat="false" ht="26.85" hidden="false" customHeight="false" outlineLevel="0" collapsed="false">
      <c r="A64" s="2" t="s">
        <v>164</v>
      </c>
      <c r="B64" s="13" t="s">
        <v>165</v>
      </c>
      <c r="C64" s="2" t="s">
        <v>145</v>
      </c>
      <c r="D64" s="16" t="n">
        <v>0</v>
      </c>
      <c r="E64" s="2" t="s">
        <v>46</v>
      </c>
      <c r="F64" s="2" t="s">
        <v>66</v>
      </c>
      <c r="G64" s="13" t="s">
        <v>159</v>
      </c>
    </row>
    <row r="65" customFormat="false" ht="26.85" hidden="false" customHeight="false" outlineLevel="0" collapsed="false">
      <c r="A65" s="2" t="s">
        <v>166</v>
      </c>
      <c r="B65" s="13" t="s">
        <v>167</v>
      </c>
      <c r="C65" s="2" t="s">
        <v>145</v>
      </c>
      <c r="D65" s="16" t="n">
        <v>0</v>
      </c>
      <c r="E65" s="2" t="s">
        <v>46</v>
      </c>
      <c r="F65" s="2" t="s">
        <v>66</v>
      </c>
      <c r="G65" s="13" t="s">
        <v>159</v>
      </c>
    </row>
    <row r="66" customFormat="false" ht="15" hidden="false" customHeight="false" outlineLevel="0" collapsed="false">
      <c r="A66" s="2" t="s">
        <v>168</v>
      </c>
      <c r="B66" s="13" t="s">
        <v>169</v>
      </c>
      <c r="C66" s="2" t="s">
        <v>31</v>
      </c>
      <c r="D66" s="16" t="n">
        <v>0.3</v>
      </c>
      <c r="E66" s="2" t="s">
        <v>46</v>
      </c>
      <c r="F66" s="2" t="s">
        <v>33</v>
      </c>
      <c r="G66" s="13" t="s">
        <v>170</v>
      </c>
    </row>
    <row r="68" customFormat="false" ht="15" hidden="false" customHeight="false" outlineLevel="0" collapsed="false">
      <c r="A68" s="10" t="s">
        <v>171</v>
      </c>
      <c r="B68" s="11"/>
      <c r="C68" s="11"/>
      <c r="D68" s="11"/>
      <c r="E68" s="11"/>
      <c r="F68" s="11"/>
      <c r="G68" s="11"/>
    </row>
    <row r="69" customFormat="false" ht="15" hidden="false" customHeight="false" outlineLevel="0" collapsed="false">
      <c r="A69" s="12" t="s">
        <v>22</v>
      </c>
      <c r="B69" s="12" t="s">
        <v>23</v>
      </c>
      <c r="C69" s="12" t="s">
        <v>24</v>
      </c>
      <c r="D69" s="12" t="s">
        <v>25</v>
      </c>
      <c r="E69" s="12" t="s">
        <v>26</v>
      </c>
      <c r="F69" s="12" t="s">
        <v>27</v>
      </c>
      <c r="G69" s="12" t="s">
        <v>28</v>
      </c>
    </row>
    <row r="70" customFormat="false" ht="26.85" hidden="false" customHeight="false" outlineLevel="0" collapsed="false">
      <c r="A70" s="2" t="s">
        <v>172</v>
      </c>
      <c r="B70" s="13" t="s">
        <v>173</v>
      </c>
      <c r="C70" s="2" t="s">
        <v>50</v>
      </c>
      <c r="D70" s="15" t="n">
        <v>6000</v>
      </c>
      <c r="E70" s="2" t="s">
        <v>174</v>
      </c>
      <c r="F70" s="2" t="s">
        <v>77</v>
      </c>
      <c r="G70" s="17" t="s">
        <v>175</v>
      </c>
    </row>
    <row r="71" customFormat="false" ht="26.85" hidden="false" customHeight="false" outlineLevel="0" collapsed="false">
      <c r="A71" s="2" t="s">
        <v>176</v>
      </c>
      <c r="B71" s="13" t="s">
        <v>173</v>
      </c>
      <c r="C71" s="2" t="s">
        <v>45</v>
      </c>
      <c r="D71" s="15" t="n">
        <v>26000</v>
      </c>
      <c r="E71" s="2" t="s">
        <v>174</v>
      </c>
      <c r="F71" s="2" t="s">
        <v>77</v>
      </c>
      <c r="G71" s="17" t="s">
        <v>177</v>
      </c>
    </row>
    <row r="72" customFormat="false" ht="26.85" hidden="false" customHeight="false" outlineLevel="0" collapsed="false">
      <c r="A72" s="2" t="s">
        <v>178</v>
      </c>
      <c r="B72" s="13" t="s">
        <v>173</v>
      </c>
      <c r="C72" s="2" t="s">
        <v>55</v>
      </c>
      <c r="D72" s="15" t="n">
        <v>2200</v>
      </c>
      <c r="E72" s="2" t="s">
        <v>174</v>
      </c>
      <c r="F72" s="2" t="s">
        <v>77</v>
      </c>
      <c r="G72" s="17" t="s">
        <v>179</v>
      </c>
    </row>
    <row r="73" customFormat="false" ht="26.85" hidden="false" customHeight="false" outlineLevel="0" collapsed="false">
      <c r="A73" s="2" t="s">
        <v>180</v>
      </c>
      <c r="B73" s="13" t="s">
        <v>173</v>
      </c>
      <c r="C73" s="2" t="s">
        <v>57</v>
      </c>
      <c r="D73" s="15" t="n">
        <v>2200</v>
      </c>
      <c r="E73" s="2" t="s">
        <v>174</v>
      </c>
      <c r="F73" s="2" t="s">
        <v>77</v>
      </c>
      <c r="G73" s="17" t="s">
        <v>181</v>
      </c>
    </row>
    <row r="74" customFormat="false" ht="26.85" hidden="false" customHeight="false" outlineLevel="0" collapsed="false">
      <c r="A74" s="2" t="s">
        <v>182</v>
      </c>
      <c r="B74" s="13" t="s">
        <v>183</v>
      </c>
      <c r="C74" s="2" t="s">
        <v>50</v>
      </c>
      <c r="D74" s="16" t="n">
        <v>0.05</v>
      </c>
      <c r="E74" s="2" t="s">
        <v>46</v>
      </c>
      <c r="F74" s="2" t="s">
        <v>70</v>
      </c>
      <c r="G74" s="17" t="s">
        <v>184</v>
      </c>
    </row>
    <row r="75" customFormat="false" ht="26.85" hidden="false" customHeight="false" outlineLevel="0" collapsed="false">
      <c r="A75" s="2" t="s">
        <v>185</v>
      </c>
      <c r="B75" s="13" t="s">
        <v>183</v>
      </c>
      <c r="C75" s="2" t="s">
        <v>45</v>
      </c>
      <c r="D75" s="16" t="n">
        <v>0.05</v>
      </c>
      <c r="E75" s="2" t="s">
        <v>46</v>
      </c>
      <c r="F75" s="2" t="s">
        <v>70</v>
      </c>
      <c r="G75" s="17" t="s">
        <v>184</v>
      </c>
    </row>
    <row r="76" customFormat="false" ht="26.85" hidden="false" customHeight="false" outlineLevel="0" collapsed="false">
      <c r="A76" s="2" t="s">
        <v>186</v>
      </c>
      <c r="B76" s="13" t="s">
        <v>183</v>
      </c>
      <c r="C76" s="2" t="s">
        <v>55</v>
      </c>
      <c r="D76" s="16" t="n">
        <v>0.05</v>
      </c>
      <c r="E76" s="2" t="s">
        <v>46</v>
      </c>
      <c r="F76" s="2" t="s">
        <v>70</v>
      </c>
      <c r="G76" s="17" t="s">
        <v>184</v>
      </c>
    </row>
    <row r="77" customFormat="false" ht="26.85" hidden="false" customHeight="false" outlineLevel="0" collapsed="false">
      <c r="A77" s="2" t="s">
        <v>187</v>
      </c>
      <c r="B77" s="13" t="s">
        <v>183</v>
      </c>
      <c r="C77" s="2" t="s">
        <v>57</v>
      </c>
      <c r="D77" s="16" t="n">
        <v>0.05</v>
      </c>
      <c r="E77" s="2" t="s">
        <v>46</v>
      </c>
      <c r="F77" s="2" t="s">
        <v>70</v>
      </c>
      <c r="G77" s="17" t="s">
        <v>184</v>
      </c>
    </row>
    <row r="78" customFormat="false" ht="26.85" hidden="false" customHeight="false" outlineLevel="0" collapsed="false">
      <c r="A78" s="2" t="s">
        <v>188</v>
      </c>
      <c r="B78" s="13" t="s">
        <v>189</v>
      </c>
      <c r="C78" s="2" t="s">
        <v>50</v>
      </c>
      <c r="D78" s="15" t="n">
        <v>41</v>
      </c>
      <c r="E78" s="2" t="s">
        <v>174</v>
      </c>
      <c r="F78" s="2" t="s">
        <v>70</v>
      </c>
      <c r="G78" s="17" t="s">
        <v>190</v>
      </c>
    </row>
    <row r="79" customFormat="false" ht="26.85" hidden="false" customHeight="false" outlineLevel="0" collapsed="false">
      <c r="A79" s="2" t="s">
        <v>191</v>
      </c>
      <c r="B79" s="13" t="s">
        <v>189</v>
      </c>
      <c r="C79" s="2" t="s">
        <v>45</v>
      </c>
      <c r="D79" s="15" t="n">
        <v>28</v>
      </c>
      <c r="E79" s="2" t="s">
        <v>174</v>
      </c>
      <c r="F79" s="2" t="s">
        <v>70</v>
      </c>
      <c r="G79" s="17" t="s">
        <v>192</v>
      </c>
    </row>
    <row r="80" customFormat="false" ht="26.85" hidden="false" customHeight="false" outlineLevel="0" collapsed="false">
      <c r="A80" s="2" t="s">
        <v>193</v>
      </c>
      <c r="B80" s="13" t="s">
        <v>189</v>
      </c>
      <c r="C80" s="2" t="s">
        <v>55</v>
      </c>
      <c r="D80" s="15" t="n">
        <v>16</v>
      </c>
      <c r="E80" s="2" t="s">
        <v>174</v>
      </c>
      <c r="F80" s="2" t="s">
        <v>70</v>
      </c>
      <c r="G80" s="17" t="s">
        <v>194</v>
      </c>
    </row>
    <row r="81" customFormat="false" ht="26.85" hidden="false" customHeight="false" outlineLevel="0" collapsed="false">
      <c r="A81" s="2" t="s">
        <v>195</v>
      </c>
      <c r="B81" s="13" t="s">
        <v>189</v>
      </c>
      <c r="C81" s="2" t="s">
        <v>57</v>
      </c>
      <c r="D81" s="15" t="n">
        <v>4</v>
      </c>
      <c r="E81" s="2" t="s">
        <v>174</v>
      </c>
      <c r="F81" s="2" t="s">
        <v>70</v>
      </c>
      <c r="G81" s="17" t="s">
        <v>196</v>
      </c>
    </row>
    <row r="83" customFormat="false" ht="15" hidden="false" customHeight="false" outlineLevel="0" collapsed="false">
      <c r="A83" s="10" t="s">
        <v>197</v>
      </c>
      <c r="B83" s="11"/>
      <c r="C83" s="11"/>
      <c r="D83" s="11"/>
      <c r="E83" s="11"/>
      <c r="F83" s="11"/>
      <c r="G83" s="11"/>
    </row>
    <row r="84" customFormat="false" ht="15" hidden="false" customHeight="false" outlineLevel="0" collapsed="false">
      <c r="A84" s="12" t="s">
        <v>22</v>
      </c>
      <c r="B84" s="12" t="s">
        <v>23</v>
      </c>
      <c r="C84" s="12" t="s">
        <v>24</v>
      </c>
      <c r="D84" s="12" t="s">
        <v>25</v>
      </c>
      <c r="E84" s="12" t="s">
        <v>26</v>
      </c>
      <c r="F84" s="12" t="s">
        <v>27</v>
      </c>
      <c r="G84" s="12" t="s">
        <v>28</v>
      </c>
    </row>
    <row r="85" customFormat="false" ht="39.55" hidden="false" customHeight="false" outlineLevel="0" collapsed="false">
      <c r="A85" s="2" t="s">
        <v>198</v>
      </c>
      <c r="B85" s="13" t="s">
        <v>199</v>
      </c>
      <c r="C85" s="2" t="s">
        <v>200</v>
      </c>
      <c r="D85" s="18" t="n">
        <v>500</v>
      </c>
      <c r="E85" s="2" t="s">
        <v>126</v>
      </c>
      <c r="F85" s="2" t="s">
        <v>66</v>
      </c>
      <c r="G85" s="13" t="s">
        <v>201</v>
      </c>
    </row>
    <row r="86" customFormat="false" ht="39.55" hidden="false" customHeight="false" outlineLevel="0" collapsed="false">
      <c r="A86" s="2" t="s">
        <v>202</v>
      </c>
      <c r="B86" s="13" t="s">
        <v>203</v>
      </c>
      <c r="C86" s="2" t="s">
        <v>200</v>
      </c>
      <c r="D86" s="15" t="n">
        <v>30</v>
      </c>
      <c r="E86" s="2" t="s">
        <v>204</v>
      </c>
      <c r="F86" s="2" t="s">
        <v>66</v>
      </c>
      <c r="G86" s="13" t="s">
        <v>205</v>
      </c>
    </row>
    <row r="87" customFormat="false" ht="52.2" hidden="false" customHeight="false" outlineLevel="0" collapsed="false">
      <c r="A87" s="2" t="s">
        <v>206</v>
      </c>
      <c r="B87" s="13" t="s">
        <v>207</v>
      </c>
      <c r="C87" s="2" t="s">
        <v>200</v>
      </c>
      <c r="D87" s="19" t="n">
        <v>0.8</v>
      </c>
      <c r="E87" s="2" t="s">
        <v>208</v>
      </c>
      <c r="F87" s="2" t="s">
        <v>66</v>
      </c>
      <c r="G87" s="13" t="s">
        <v>209</v>
      </c>
    </row>
    <row r="88" customFormat="false" ht="26.85" hidden="false" customHeight="false" outlineLevel="0" collapsed="false">
      <c r="A88" s="2" t="s">
        <v>210</v>
      </c>
      <c r="B88" s="13" t="s">
        <v>211</v>
      </c>
      <c r="C88" s="2" t="s">
        <v>200</v>
      </c>
      <c r="D88" s="19" t="n">
        <v>1.5</v>
      </c>
      <c r="E88" s="2" t="s">
        <v>208</v>
      </c>
      <c r="F88" s="2" t="s">
        <v>77</v>
      </c>
      <c r="G88" s="17" t="s">
        <v>212</v>
      </c>
    </row>
    <row r="89" customFormat="false" ht="15" hidden="false" customHeight="false" outlineLevel="0" collapsed="false">
      <c r="A89" s="2" t="s">
        <v>213</v>
      </c>
      <c r="B89" s="13" t="s">
        <v>214</v>
      </c>
      <c r="C89" s="2" t="s">
        <v>200</v>
      </c>
      <c r="D89" s="19" t="n">
        <v>2</v>
      </c>
      <c r="E89" s="2" t="s">
        <v>208</v>
      </c>
      <c r="F89" s="2" t="s">
        <v>77</v>
      </c>
      <c r="G89" s="17" t="s">
        <v>215</v>
      </c>
    </row>
    <row r="90" customFormat="false" ht="26.85" hidden="false" customHeight="false" outlineLevel="0" collapsed="false">
      <c r="A90" s="2" t="s">
        <v>216</v>
      </c>
      <c r="B90" s="13" t="s">
        <v>217</v>
      </c>
      <c r="C90" s="2" t="s">
        <v>200</v>
      </c>
      <c r="D90" s="18" t="n">
        <v>750</v>
      </c>
      <c r="E90" s="2" t="s">
        <v>126</v>
      </c>
      <c r="F90" s="2" t="s">
        <v>66</v>
      </c>
      <c r="G90" s="17" t="s">
        <v>218</v>
      </c>
    </row>
    <row r="91" customFormat="false" ht="26.85" hidden="false" customHeight="false" outlineLevel="0" collapsed="false">
      <c r="A91" s="2" t="s">
        <v>219</v>
      </c>
      <c r="B91" s="13" t="s">
        <v>220</v>
      </c>
      <c r="C91" s="2" t="s">
        <v>200</v>
      </c>
      <c r="D91" s="15" t="n">
        <v>3</v>
      </c>
      <c r="E91" s="2" t="s">
        <v>221</v>
      </c>
      <c r="F91" s="2" t="s">
        <v>77</v>
      </c>
      <c r="G91" s="17" t="s">
        <v>222</v>
      </c>
    </row>
    <row r="92" customFormat="false" ht="26.85" hidden="false" customHeight="false" outlineLevel="0" collapsed="false">
      <c r="A92" s="2" t="s">
        <v>223</v>
      </c>
      <c r="B92" s="13" t="s">
        <v>224</v>
      </c>
      <c r="C92" s="2" t="s">
        <v>200</v>
      </c>
      <c r="D92" s="16" t="n">
        <v>0.5</v>
      </c>
      <c r="E92" s="2" t="s">
        <v>46</v>
      </c>
      <c r="F92" s="2" t="s">
        <v>66</v>
      </c>
      <c r="G92" s="13" t="s">
        <v>225</v>
      </c>
    </row>
    <row r="93" customFormat="false" ht="52.2" hidden="false" customHeight="false" outlineLevel="0" collapsed="false">
      <c r="A93" s="2" t="s">
        <v>226</v>
      </c>
      <c r="B93" s="13" t="s">
        <v>227</v>
      </c>
      <c r="C93" s="2" t="s">
        <v>228</v>
      </c>
      <c r="D93" s="16" t="n">
        <v>0.6</v>
      </c>
      <c r="E93" s="2" t="s">
        <v>46</v>
      </c>
      <c r="F93" s="2" t="s">
        <v>66</v>
      </c>
      <c r="G93" s="13" t="s">
        <v>229</v>
      </c>
    </row>
    <row r="94" customFormat="false" ht="26.85" hidden="false" customHeight="false" outlineLevel="0" collapsed="false">
      <c r="A94" s="2" t="s">
        <v>230</v>
      </c>
      <c r="B94" s="13" t="s">
        <v>231</v>
      </c>
      <c r="C94" s="2" t="s">
        <v>228</v>
      </c>
      <c r="D94" s="19" t="n">
        <v>1.25</v>
      </c>
      <c r="E94" s="2" t="s">
        <v>208</v>
      </c>
      <c r="F94" s="2" t="s">
        <v>66</v>
      </c>
      <c r="G94" s="13" t="s">
        <v>232</v>
      </c>
    </row>
    <row r="95" customFormat="false" ht="26.85" hidden="false" customHeight="false" outlineLevel="0" collapsed="false">
      <c r="A95" s="2" t="s">
        <v>233</v>
      </c>
      <c r="B95" s="13" t="s">
        <v>234</v>
      </c>
      <c r="C95" s="2" t="s">
        <v>228</v>
      </c>
      <c r="D95" s="16" t="n">
        <v>0.3</v>
      </c>
      <c r="E95" s="2" t="s">
        <v>46</v>
      </c>
      <c r="F95" s="2" t="s">
        <v>66</v>
      </c>
      <c r="G95" s="13" t="s">
        <v>235</v>
      </c>
    </row>
    <row r="96" customFormat="false" ht="26.85" hidden="false" customHeight="false" outlineLevel="0" collapsed="false">
      <c r="A96" s="2" t="s">
        <v>236</v>
      </c>
      <c r="B96" s="13" t="s">
        <v>237</v>
      </c>
      <c r="C96" s="2" t="s">
        <v>228</v>
      </c>
      <c r="D96" s="19" t="n">
        <v>1.5</v>
      </c>
      <c r="E96" s="2" t="s">
        <v>208</v>
      </c>
      <c r="F96" s="2" t="s">
        <v>66</v>
      </c>
      <c r="G96" s="13" t="s">
        <v>238</v>
      </c>
    </row>
    <row r="97" customFormat="false" ht="26.85" hidden="false" customHeight="false" outlineLevel="0" collapsed="false">
      <c r="A97" s="2" t="s">
        <v>239</v>
      </c>
      <c r="B97" s="13" t="s">
        <v>240</v>
      </c>
      <c r="C97" s="2" t="s">
        <v>241</v>
      </c>
      <c r="D97" s="16" t="n">
        <v>0.6</v>
      </c>
      <c r="E97" s="2" t="s">
        <v>46</v>
      </c>
      <c r="F97" s="2" t="s">
        <v>70</v>
      </c>
      <c r="G97" s="17" t="s">
        <v>242</v>
      </c>
    </row>
    <row r="98" customFormat="false" ht="15" hidden="false" customHeight="false" outlineLevel="0" collapsed="false">
      <c r="A98" s="2" t="s">
        <v>243</v>
      </c>
      <c r="B98" s="13" t="s">
        <v>244</v>
      </c>
      <c r="C98" s="2" t="s">
        <v>241</v>
      </c>
      <c r="D98" s="16" t="n">
        <v>0.29</v>
      </c>
      <c r="E98" s="2" t="s">
        <v>46</v>
      </c>
      <c r="F98" s="2" t="s">
        <v>70</v>
      </c>
      <c r="G98" s="17" t="s">
        <v>242</v>
      </c>
    </row>
    <row r="99" customFormat="false" ht="15" hidden="false" customHeight="false" outlineLevel="0" collapsed="false">
      <c r="A99" s="2" t="s">
        <v>245</v>
      </c>
      <c r="B99" s="13" t="s">
        <v>246</v>
      </c>
      <c r="C99" s="2" t="s">
        <v>241</v>
      </c>
      <c r="D99" s="16" t="n">
        <v>0.11</v>
      </c>
      <c r="E99" s="2" t="s">
        <v>46</v>
      </c>
      <c r="F99" s="2" t="s">
        <v>70</v>
      </c>
      <c r="G99" s="17" t="s">
        <v>242</v>
      </c>
    </row>
    <row r="100" customFormat="false" ht="15" hidden="false" customHeight="false" outlineLevel="0" collapsed="false">
      <c r="A100" s="2" t="s">
        <v>247</v>
      </c>
      <c r="B100" s="13" t="s">
        <v>248</v>
      </c>
      <c r="C100" s="2" t="s">
        <v>200</v>
      </c>
      <c r="D100" s="16" t="n">
        <v>0.25</v>
      </c>
      <c r="E100" s="2" t="s">
        <v>46</v>
      </c>
      <c r="F100" s="2" t="s">
        <v>77</v>
      </c>
      <c r="G100" s="17" t="s">
        <v>249</v>
      </c>
    </row>
    <row r="101" customFormat="false" ht="26.85" hidden="false" customHeight="false" outlineLevel="0" collapsed="false">
      <c r="A101" s="2" t="s">
        <v>250</v>
      </c>
      <c r="B101" s="13" t="s">
        <v>251</v>
      </c>
      <c r="C101" s="2" t="s">
        <v>252</v>
      </c>
      <c r="D101" s="15" t="n">
        <v>10</v>
      </c>
      <c r="E101" s="2" t="s">
        <v>253</v>
      </c>
      <c r="F101" s="2" t="s">
        <v>66</v>
      </c>
      <c r="G101" s="13" t="s">
        <v>254</v>
      </c>
    </row>
    <row r="102" customFormat="false" ht="26.85" hidden="false" customHeight="false" outlineLevel="0" collapsed="false">
      <c r="A102" s="2" t="s">
        <v>255</v>
      </c>
      <c r="B102" s="13" t="s">
        <v>256</v>
      </c>
      <c r="C102" s="2" t="s">
        <v>252</v>
      </c>
      <c r="D102" s="15" t="n">
        <v>7</v>
      </c>
      <c r="E102" s="2" t="s">
        <v>257</v>
      </c>
      <c r="F102" s="2" t="s">
        <v>66</v>
      </c>
      <c r="G102" s="13" t="s">
        <v>258</v>
      </c>
    </row>
    <row r="103" customFormat="false" ht="26.85" hidden="false" customHeight="false" outlineLevel="0" collapsed="false">
      <c r="A103" s="2" t="s">
        <v>259</v>
      </c>
      <c r="B103" s="13" t="s">
        <v>260</v>
      </c>
      <c r="C103" s="2" t="s">
        <v>261</v>
      </c>
      <c r="D103" s="16" t="n">
        <v>0.25</v>
      </c>
      <c r="E103" s="2" t="s">
        <v>46</v>
      </c>
      <c r="F103" s="2" t="s">
        <v>66</v>
      </c>
      <c r="G103" s="17" t="s">
        <v>262</v>
      </c>
    </row>
    <row r="104" customFormat="false" ht="26.85" hidden="false" customHeight="false" outlineLevel="0" collapsed="false">
      <c r="A104" s="2" t="s">
        <v>263</v>
      </c>
      <c r="B104" s="13" t="s">
        <v>264</v>
      </c>
      <c r="C104" s="2" t="s">
        <v>261</v>
      </c>
      <c r="D104" s="16" t="n">
        <v>0.12</v>
      </c>
      <c r="E104" s="2" t="s">
        <v>46</v>
      </c>
      <c r="F104" s="2" t="s">
        <v>66</v>
      </c>
      <c r="G104" s="13" t="s">
        <v>265</v>
      </c>
    </row>
    <row r="105" customFormat="false" ht="15" hidden="false" customHeight="false" outlineLevel="0" collapsed="false">
      <c r="A105" s="2" t="s">
        <v>266</v>
      </c>
      <c r="B105" s="13" t="s">
        <v>267</v>
      </c>
      <c r="C105" s="2" t="s">
        <v>268</v>
      </c>
      <c r="D105" s="16" t="n">
        <v>0.85</v>
      </c>
      <c r="E105" s="2" t="s">
        <v>46</v>
      </c>
      <c r="F105" s="2" t="s">
        <v>77</v>
      </c>
      <c r="G105" s="17" t="s">
        <v>269</v>
      </c>
    </row>
    <row r="106" customFormat="false" ht="26.85" hidden="false" customHeight="false" outlineLevel="0" collapsed="false">
      <c r="A106" s="2" t="s">
        <v>270</v>
      </c>
      <c r="B106" s="13" t="s">
        <v>271</v>
      </c>
      <c r="C106" s="2" t="s">
        <v>272</v>
      </c>
      <c r="D106" s="16" t="n">
        <v>0.9</v>
      </c>
      <c r="E106" s="2" t="s">
        <v>46</v>
      </c>
      <c r="F106" s="2" t="s">
        <v>77</v>
      </c>
      <c r="G106" s="13" t="s">
        <v>273</v>
      </c>
    </row>
    <row r="107" customFormat="false" ht="39.55" hidden="false" customHeight="false" outlineLevel="0" collapsed="false">
      <c r="A107" s="2" t="s">
        <v>274</v>
      </c>
      <c r="B107" s="13" t="s">
        <v>275</v>
      </c>
      <c r="C107" s="2" t="s">
        <v>40</v>
      </c>
      <c r="D107" s="15" t="n">
        <v>45</v>
      </c>
      <c r="E107" s="2" t="s">
        <v>276</v>
      </c>
      <c r="F107" s="2" t="s">
        <v>66</v>
      </c>
      <c r="G107" s="13" t="s">
        <v>277</v>
      </c>
    </row>
    <row r="108" customFormat="false" ht="39.55" hidden="false" customHeight="false" outlineLevel="0" collapsed="false">
      <c r="A108" s="2" t="s">
        <v>278</v>
      </c>
      <c r="B108" s="13" t="s">
        <v>279</v>
      </c>
      <c r="C108" s="2" t="s">
        <v>200</v>
      </c>
      <c r="D108" s="15" t="n">
        <v>30</v>
      </c>
      <c r="E108" s="2" t="s">
        <v>204</v>
      </c>
      <c r="F108" s="2" t="s">
        <v>66</v>
      </c>
      <c r="G108" s="13" t="s">
        <v>280</v>
      </c>
    </row>
    <row r="110" customFormat="false" ht="15" hidden="false" customHeight="false" outlineLevel="0" collapsed="false">
      <c r="A110" s="10" t="s">
        <v>281</v>
      </c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 customFormat="false" ht="45" hidden="false" customHeight="true" outlineLevel="0" collapsed="false">
      <c r="A111" s="12" t="s">
        <v>22</v>
      </c>
      <c r="B111" s="12" t="s">
        <v>282</v>
      </c>
      <c r="C111" s="12" t="s">
        <v>283</v>
      </c>
      <c r="D111" s="12" t="s">
        <v>284</v>
      </c>
      <c r="E111" s="12" t="s">
        <v>285</v>
      </c>
      <c r="F111" s="12" t="s">
        <v>286</v>
      </c>
      <c r="G111" s="12" t="s">
        <v>287</v>
      </c>
      <c r="H111" s="12" t="s">
        <v>288</v>
      </c>
      <c r="I111" s="12" t="s">
        <v>289</v>
      </c>
      <c r="J111" s="12" t="s">
        <v>290</v>
      </c>
      <c r="K111" s="12" t="s">
        <v>27</v>
      </c>
      <c r="L111" s="12" t="s">
        <v>28</v>
      </c>
    </row>
    <row r="112" customFormat="false" ht="26.85" hidden="false" customHeight="false" outlineLevel="0" collapsed="false">
      <c r="A112" s="2" t="s">
        <v>291</v>
      </c>
      <c r="B112" s="13" t="s">
        <v>292</v>
      </c>
      <c r="C112" s="2" t="s">
        <v>50</v>
      </c>
      <c r="D112" s="2" t="s">
        <v>293</v>
      </c>
      <c r="E112" s="20" t="n">
        <v>0</v>
      </c>
      <c r="F112" s="21"/>
      <c r="G112" s="16" t="n">
        <v>0.1065</v>
      </c>
      <c r="H112" s="15" t="n">
        <v>105</v>
      </c>
      <c r="I112" s="22" t="n">
        <v>1</v>
      </c>
      <c r="J112" s="18" t="n">
        <v>0</v>
      </c>
      <c r="K112" s="2" t="s">
        <v>77</v>
      </c>
      <c r="L112" s="17" t="s">
        <v>294</v>
      </c>
    </row>
    <row r="113" customFormat="false" ht="26.85" hidden="false" customHeight="false" outlineLevel="0" collapsed="false">
      <c r="A113" s="2" t="s">
        <v>295</v>
      </c>
      <c r="B113" s="13" t="s">
        <v>292</v>
      </c>
      <c r="C113" s="2" t="s">
        <v>45</v>
      </c>
      <c r="D113" s="2" t="s">
        <v>293</v>
      </c>
      <c r="E113" s="20" t="n">
        <v>0</v>
      </c>
      <c r="F113" s="21"/>
      <c r="G113" s="16" t="n">
        <v>0.1562</v>
      </c>
      <c r="H113" s="15" t="n">
        <v>158</v>
      </c>
      <c r="I113" s="22" t="n">
        <v>1</v>
      </c>
      <c r="J113" s="18" t="n">
        <v>0</v>
      </c>
      <c r="K113" s="2" t="s">
        <v>77</v>
      </c>
      <c r="L113" s="17" t="s">
        <v>296</v>
      </c>
    </row>
    <row r="114" customFormat="false" ht="26.85" hidden="false" customHeight="false" outlineLevel="0" collapsed="false">
      <c r="A114" s="2" t="s">
        <v>297</v>
      </c>
      <c r="B114" s="13" t="s">
        <v>292</v>
      </c>
      <c r="C114" s="2" t="s">
        <v>55</v>
      </c>
      <c r="D114" s="2" t="s">
        <v>293</v>
      </c>
      <c r="E114" s="20" t="n">
        <v>0</v>
      </c>
      <c r="F114" s="21"/>
      <c r="G114" s="16" t="n">
        <v>0.1065</v>
      </c>
      <c r="H114" s="15" t="n">
        <v>53</v>
      </c>
      <c r="I114" s="22" t="n">
        <v>1</v>
      </c>
      <c r="J114" s="18" t="n">
        <v>0</v>
      </c>
      <c r="K114" s="2" t="s">
        <v>77</v>
      </c>
      <c r="L114" s="17" t="s">
        <v>298</v>
      </c>
    </row>
    <row r="115" customFormat="false" ht="26.85" hidden="false" customHeight="false" outlineLevel="0" collapsed="false">
      <c r="A115" s="2" t="s">
        <v>299</v>
      </c>
      <c r="B115" s="13" t="s">
        <v>292</v>
      </c>
      <c r="C115" s="2" t="s">
        <v>57</v>
      </c>
      <c r="D115" s="2" t="s">
        <v>293</v>
      </c>
      <c r="E115" s="20" t="n">
        <v>0</v>
      </c>
      <c r="F115" s="21"/>
      <c r="G115" s="16" t="n">
        <v>0.071</v>
      </c>
      <c r="H115" s="15" t="n">
        <v>35</v>
      </c>
      <c r="I115" s="22" t="n">
        <v>1</v>
      </c>
      <c r="J115" s="18" t="n">
        <v>0</v>
      </c>
      <c r="K115" s="2" t="s">
        <v>77</v>
      </c>
      <c r="L115" s="17" t="s">
        <v>300</v>
      </c>
    </row>
    <row r="116" customFormat="false" ht="26.85" hidden="false" customHeight="false" outlineLevel="0" collapsed="false">
      <c r="A116" s="2" t="s">
        <v>301</v>
      </c>
      <c r="B116" s="13" t="s">
        <v>302</v>
      </c>
      <c r="C116" s="2" t="s">
        <v>50</v>
      </c>
      <c r="D116" s="2" t="s">
        <v>303</v>
      </c>
      <c r="E116" s="20" t="n">
        <v>161</v>
      </c>
      <c r="F116" s="21"/>
      <c r="G116" s="16" t="n">
        <v>0.135</v>
      </c>
      <c r="H116" s="15" t="n">
        <v>450</v>
      </c>
      <c r="I116" s="22" t="n">
        <v>1</v>
      </c>
      <c r="J116" s="18" t="n">
        <v>0</v>
      </c>
      <c r="K116" s="2" t="s">
        <v>77</v>
      </c>
      <c r="L116" s="17" t="s">
        <v>304</v>
      </c>
    </row>
    <row r="117" customFormat="false" ht="26.85" hidden="false" customHeight="false" outlineLevel="0" collapsed="false">
      <c r="A117" s="2" t="s">
        <v>305</v>
      </c>
      <c r="B117" s="13" t="s">
        <v>302</v>
      </c>
      <c r="C117" s="2" t="s">
        <v>45</v>
      </c>
      <c r="D117" s="2" t="s">
        <v>303</v>
      </c>
      <c r="E117" s="20" t="n">
        <v>161</v>
      </c>
      <c r="F117" s="21"/>
      <c r="G117" s="16" t="n">
        <v>0.198</v>
      </c>
      <c r="H117" s="15" t="n">
        <v>600</v>
      </c>
      <c r="I117" s="22" t="n">
        <v>1</v>
      </c>
      <c r="J117" s="18" t="n">
        <v>0</v>
      </c>
      <c r="K117" s="2" t="s">
        <v>77</v>
      </c>
      <c r="L117" s="17" t="s">
        <v>306</v>
      </c>
    </row>
    <row r="118" customFormat="false" ht="26.85" hidden="false" customHeight="false" outlineLevel="0" collapsed="false">
      <c r="A118" s="2" t="s">
        <v>307</v>
      </c>
      <c r="B118" s="13" t="s">
        <v>302</v>
      </c>
      <c r="C118" s="2" t="s">
        <v>55</v>
      </c>
      <c r="D118" s="2" t="s">
        <v>303</v>
      </c>
      <c r="E118" s="20" t="n">
        <v>161</v>
      </c>
      <c r="F118" s="21"/>
      <c r="G118" s="16" t="n">
        <v>0.135</v>
      </c>
      <c r="H118" s="15" t="n">
        <v>250</v>
      </c>
      <c r="I118" s="22" t="n">
        <v>1</v>
      </c>
      <c r="J118" s="18" t="n">
        <v>0</v>
      </c>
      <c r="K118" s="2" t="s">
        <v>77</v>
      </c>
      <c r="L118" s="17" t="s">
        <v>304</v>
      </c>
    </row>
    <row r="119" customFormat="false" ht="26.85" hidden="false" customHeight="false" outlineLevel="0" collapsed="false">
      <c r="A119" s="2" t="s">
        <v>308</v>
      </c>
      <c r="B119" s="13" t="s">
        <v>302</v>
      </c>
      <c r="C119" s="2" t="s">
        <v>57</v>
      </c>
      <c r="D119" s="2" t="s">
        <v>303</v>
      </c>
      <c r="E119" s="20" t="n">
        <v>161</v>
      </c>
      <c r="F119" s="21"/>
      <c r="G119" s="16" t="n">
        <v>0.09</v>
      </c>
      <c r="H119" s="15" t="n">
        <v>200</v>
      </c>
      <c r="I119" s="22" t="n">
        <v>1</v>
      </c>
      <c r="J119" s="18" t="n">
        <v>0</v>
      </c>
      <c r="K119" s="2" t="s">
        <v>77</v>
      </c>
      <c r="L119" s="17" t="s">
        <v>309</v>
      </c>
    </row>
    <row r="120" customFormat="false" ht="15" hidden="false" customHeight="false" outlineLevel="0" collapsed="false">
      <c r="A120" s="2" t="s">
        <v>310</v>
      </c>
      <c r="B120" s="13" t="s">
        <v>311</v>
      </c>
      <c r="C120" s="2" t="s">
        <v>50</v>
      </c>
      <c r="D120" s="2" t="s">
        <v>312</v>
      </c>
      <c r="E120" s="20" t="n">
        <v>1449</v>
      </c>
      <c r="F120" s="15" t="n">
        <v>12</v>
      </c>
      <c r="G120" s="16" t="n">
        <v>0.135</v>
      </c>
      <c r="H120" s="15" t="n">
        <v>2</v>
      </c>
      <c r="I120" s="22" t="n">
        <v>1</v>
      </c>
      <c r="J120" s="18" t="n">
        <v>0</v>
      </c>
      <c r="K120" s="2" t="s">
        <v>77</v>
      </c>
      <c r="L120" s="17" t="s">
        <v>313</v>
      </c>
    </row>
    <row r="121" customFormat="false" ht="15" hidden="false" customHeight="false" outlineLevel="0" collapsed="false">
      <c r="A121" s="2" t="s">
        <v>314</v>
      </c>
      <c r="B121" s="13" t="s">
        <v>311</v>
      </c>
      <c r="C121" s="2" t="s">
        <v>45</v>
      </c>
      <c r="D121" s="2" t="s">
        <v>312</v>
      </c>
      <c r="E121" s="20" t="n">
        <v>1449</v>
      </c>
      <c r="F121" s="15" t="n">
        <v>12</v>
      </c>
      <c r="G121" s="16" t="n">
        <v>0.198</v>
      </c>
      <c r="H121" s="15" t="n">
        <v>2</v>
      </c>
      <c r="I121" s="22" t="n">
        <v>1</v>
      </c>
      <c r="J121" s="18" t="n">
        <v>0</v>
      </c>
      <c r="K121" s="2" t="s">
        <v>77</v>
      </c>
      <c r="L121" s="17" t="s">
        <v>315</v>
      </c>
    </row>
    <row r="122" customFormat="false" ht="15" hidden="false" customHeight="false" outlineLevel="0" collapsed="false">
      <c r="A122" s="2" t="s">
        <v>316</v>
      </c>
      <c r="B122" s="13" t="s">
        <v>311</v>
      </c>
      <c r="C122" s="2" t="s">
        <v>55</v>
      </c>
      <c r="D122" s="2" t="s">
        <v>312</v>
      </c>
      <c r="E122" s="20" t="n">
        <v>1449</v>
      </c>
      <c r="F122" s="15" t="n">
        <v>12</v>
      </c>
      <c r="G122" s="16" t="n">
        <v>0.135</v>
      </c>
      <c r="H122" s="15" t="n">
        <v>2</v>
      </c>
      <c r="I122" s="22" t="n">
        <v>1</v>
      </c>
      <c r="J122" s="18" t="n">
        <v>0</v>
      </c>
      <c r="K122" s="2" t="s">
        <v>77</v>
      </c>
      <c r="L122" s="17" t="s">
        <v>313</v>
      </c>
    </row>
    <row r="123" customFormat="false" ht="15" hidden="false" customHeight="false" outlineLevel="0" collapsed="false">
      <c r="A123" s="2" t="s">
        <v>317</v>
      </c>
      <c r="B123" s="13" t="s">
        <v>311</v>
      </c>
      <c r="C123" s="2" t="s">
        <v>57</v>
      </c>
      <c r="D123" s="2" t="s">
        <v>312</v>
      </c>
      <c r="E123" s="20" t="n">
        <v>1449</v>
      </c>
      <c r="F123" s="15" t="n">
        <v>12</v>
      </c>
      <c r="G123" s="16" t="n">
        <v>0.09</v>
      </c>
      <c r="H123" s="15" t="n">
        <v>1</v>
      </c>
      <c r="I123" s="22" t="n">
        <v>1</v>
      </c>
      <c r="J123" s="18" t="n">
        <v>0</v>
      </c>
      <c r="K123" s="2" t="s">
        <v>77</v>
      </c>
      <c r="L123" s="17" t="s">
        <v>318</v>
      </c>
    </row>
    <row r="124" customFormat="false" ht="15" hidden="false" customHeight="false" outlineLevel="0" collapsed="false">
      <c r="A124" s="2" t="s">
        <v>319</v>
      </c>
      <c r="B124" s="13" t="s">
        <v>320</v>
      </c>
      <c r="C124" s="2" t="s">
        <v>55</v>
      </c>
      <c r="D124" s="2" t="s">
        <v>303</v>
      </c>
      <c r="E124" s="20" t="n">
        <v>96</v>
      </c>
      <c r="F124" s="21"/>
      <c r="G124" s="16" t="n">
        <v>0.135</v>
      </c>
      <c r="H124" s="15" t="n">
        <v>150</v>
      </c>
      <c r="I124" s="22" t="n">
        <v>1</v>
      </c>
      <c r="J124" s="18" t="n">
        <v>0</v>
      </c>
      <c r="K124" s="2" t="s">
        <v>77</v>
      </c>
      <c r="L124" s="17" t="s">
        <v>321</v>
      </c>
    </row>
    <row r="125" customFormat="false" ht="15" hidden="false" customHeight="false" outlineLevel="0" collapsed="false">
      <c r="A125" s="2" t="s">
        <v>322</v>
      </c>
      <c r="B125" s="13" t="s">
        <v>320</v>
      </c>
      <c r="C125" s="2" t="s">
        <v>57</v>
      </c>
      <c r="D125" s="2" t="s">
        <v>303</v>
      </c>
      <c r="E125" s="20" t="n">
        <v>96</v>
      </c>
      <c r="F125" s="21"/>
      <c r="G125" s="16" t="n">
        <v>0.09</v>
      </c>
      <c r="H125" s="15" t="n">
        <v>100</v>
      </c>
      <c r="I125" s="22" t="n">
        <v>1</v>
      </c>
      <c r="J125" s="18" t="n">
        <v>0</v>
      </c>
      <c r="K125" s="2" t="s">
        <v>77</v>
      </c>
      <c r="L125" s="17" t="s">
        <v>323</v>
      </c>
    </row>
    <row r="126" customFormat="false" ht="15" hidden="false" customHeight="false" outlineLevel="0" collapsed="false">
      <c r="A126" s="2" t="s">
        <v>324</v>
      </c>
      <c r="B126" s="13" t="s">
        <v>325</v>
      </c>
      <c r="C126" s="2" t="s">
        <v>50</v>
      </c>
      <c r="D126" s="2" t="s">
        <v>303</v>
      </c>
      <c r="E126" s="20" t="n">
        <v>84</v>
      </c>
      <c r="F126" s="21"/>
      <c r="G126" s="16" t="n">
        <v>0.075</v>
      </c>
      <c r="H126" s="15" t="n">
        <v>400</v>
      </c>
      <c r="I126" s="22" t="n">
        <v>1</v>
      </c>
      <c r="J126" s="18" t="n">
        <v>0</v>
      </c>
      <c r="K126" s="2" t="s">
        <v>77</v>
      </c>
      <c r="L126" s="17" t="s">
        <v>326</v>
      </c>
    </row>
    <row r="127" customFormat="false" ht="15" hidden="false" customHeight="false" outlineLevel="0" collapsed="false">
      <c r="A127" s="2" t="s">
        <v>327</v>
      </c>
      <c r="B127" s="13" t="s">
        <v>325</v>
      </c>
      <c r="C127" s="2" t="s">
        <v>45</v>
      </c>
      <c r="D127" s="2" t="s">
        <v>303</v>
      </c>
      <c r="E127" s="20" t="n">
        <v>84</v>
      </c>
      <c r="F127" s="21"/>
      <c r="G127" s="16" t="n">
        <v>0.11</v>
      </c>
      <c r="H127" s="15" t="n">
        <v>200</v>
      </c>
      <c r="I127" s="22" t="n">
        <v>1</v>
      </c>
      <c r="J127" s="18" t="n">
        <v>0</v>
      </c>
      <c r="K127" s="2" t="s">
        <v>77</v>
      </c>
      <c r="L127" s="17" t="s">
        <v>328</v>
      </c>
    </row>
    <row r="128" customFormat="false" ht="15" hidden="false" customHeight="false" outlineLevel="0" collapsed="false">
      <c r="A128" s="2" t="s">
        <v>329</v>
      </c>
      <c r="B128" s="13" t="s">
        <v>330</v>
      </c>
      <c r="C128" s="2" t="s">
        <v>50</v>
      </c>
      <c r="D128" s="2" t="s">
        <v>303</v>
      </c>
      <c r="E128" s="20" t="n">
        <v>179</v>
      </c>
      <c r="F128" s="21"/>
      <c r="G128" s="16" t="n">
        <v>0.1065</v>
      </c>
      <c r="H128" s="15" t="n">
        <v>80</v>
      </c>
      <c r="I128" s="22" t="n">
        <v>1</v>
      </c>
      <c r="J128" s="18" t="n">
        <v>0</v>
      </c>
      <c r="K128" s="2" t="s">
        <v>77</v>
      </c>
      <c r="L128" s="17" t="s">
        <v>331</v>
      </c>
    </row>
    <row r="129" customFormat="false" ht="15" hidden="false" customHeight="false" outlineLevel="0" collapsed="false">
      <c r="A129" s="2" t="s">
        <v>332</v>
      </c>
      <c r="B129" s="13" t="s">
        <v>330</v>
      </c>
      <c r="C129" s="2" t="s">
        <v>45</v>
      </c>
      <c r="D129" s="2" t="s">
        <v>303</v>
      </c>
      <c r="E129" s="20" t="n">
        <v>179</v>
      </c>
      <c r="F129" s="21"/>
      <c r="G129" s="16" t="n">
        <v>0.1562</v>
      </c>
      <c r="H129" s="15" t="n">
        <v>100</v>
      </c>
      <c r="I129" s="22" t="n">
        <v>1</v>
      </c>
      <c r="J129" s="18" t="n">
        <v>0</v>
      </c>
      <c r="K129" s="2" t="s">
        <v>77</v>
      </c>
      <c r="L129" s="17" t="s">
        <v>333</v>
      </c>
    </row>
    <row r="130" customFormat="false" ht="15" hidden="false" customHeight="false" outlineLevel="0" collapsed="false">
      <c r="A130" s="2" t="s">
        <v>334</v>
      </c>
      <c r="B130" s="13" t="s">
        <v>330</v>
      </c>
      <c r="C130" s="2" t="s">
        <v>55</v>
      </c>
      <c r="D130" s="2" t="s">
        <v>303</v>
      </c>
      <c r="E130" s="20" t="n">
        <v>179</v>
      </c>
      <c r="F130" s="21"/>
      <c r="G130" s="16" t="n">
        <v>0.1065</v>
      </c>
      <c r="H130" s="15" t="n">
        <v>40</v>
      </c>
      <c r="I130" s="22" t="n">
        <v>1</v>
      </c>
      <c r="J130" s="18" t="n">
        <v>0</v>
      </c>
      <c r="K130" s="2" t="s">
        <v>77</v>
      </c>
      <c r="L130" s="17" t="s">
        <v>331</v>
      </c>
    </row>
    <row r="131" customFormat="false" ht="15" hidden="false" customHeight="false" outlineLevel="0" collapsed="false">
      <c r="A131" s="2" t="s">
        <v>335</v>
      </c>
      <c r="B131" s="13" t="s">
        <v>330</v>
      </c>
      <c r="C131" s="2" t="s">
        <v>57</v>
      </c>
      <c r="D131" s="2" t="s">
        <v>303</v>
      </c>
      <c r="E131" s="20" t="n">
        <v>179</v>
      </c>
      <c r="F131" s="21"/>
      <c r="G131" s="16" t="n">
        <v>0.071</v>
      </c>
      <c r="H131" s="15" t="n">
        <v>30</v>
      </c>
      <c r="I131" s="22" t="n">
        <v>1</v>
      </c>
      <c r="J131" s="18" t="n">
        <v>0</v>
      </c>
      <c r="K131" s="2" t="s">
        <v>77</v>
      </c>
      <c r="L131" s="17" t="s">
        <v>336</v>
      </c>
    </row>
    <row r="133" customFormat="false" ht="15" hidden="false" customHeight="false" outlineLevel="0" collapsed="false">
      <c r="A133" s="10" t="s">
        <v>337</v>
      </c>
      <c r="B133" s="11"/>
      <c r="C133" s="11"/>
      <c r="D133" s="11"/>
      <c r="E133" s="11"/>
      <c r="F133" s="11"/>
      <c r="G133" s="11"/>
    </row>
    <row r="134" customFormat="false" ht="15" hidden="false" customHeight="false" outlineLevel="0" collapsed="false">
      <c r="A134" s="12" t="s">
        <v>22</v>
      </c>
      <c r="B134" s="12" t="s">
        <v>23</v>
      </c>
      <c r="C134" s="12" t="s">
        <v>24</v>
      </c>
      <c r="D134" s="12" t="s">
        <v>25</v>
      </c>
      <c r="E134" s="12" t="s">
        <v>26</v>
      </c>
      <c r="F134" s="12" t="s">
        <v>27</v>
      </c>
      <c r="G134" s="12" t="s">
        <v>28</v>
      </c>
    </row>
    <row r="135" customFormat="false" ht="26.85" hidden="false" customHeight="false" outlineLevel="0" collapsed="false">
      <c r="A135" s="2" t="s">
        <v>338</v>
      </c>
      <c r="B135" s="13" t="s">
        <v>339</v>
      </c>
      <c r="C135" s="2" t="s">
        <v>50</v>
      </c>
      <c r="D135" s="15" t="n">
        <v>41</v>
      </c>
      <c r="E135" s="2" t="s">
        <v>340</v>
      </c>
      <c r="F135" s="2" t="s">
        <v>77</v>
      </c>
      <c r="G135" s="17" t="s">
        <v>341</v>
      </c>
    </row>
    <row r="136" customFormat="false" ht="26.85" hidden="false" customHeight="false" outlineLevel="0" collapsed="false">
      <c r="A136" s="2" t="s">
        <v>342</v>
      </c>
      <c r="B136" s="13" t="s">
        <v>339</v>
      </c>
      <c r="C136" s="2" t="s">
        <v>45</v>
      </c>
      <c r="D136" s="15" t="n">
        <v>61</v>
      </c>
      <c r="E136" s="2" t="s">
        <v>340</v>
      </c>
      <c r="F136" s="2" t="s">
        <v>77</v>
      </c>
      <c r="G136" s="17" t="s">
        <v>341</v>
      </c>
    </row>
    <row r="137" customFormat="false" ht="26.85" hidden="false" customHeight="false" outlineLevel="0" collapsed="false">
      <c r="A137" s="2" t="s">
        <v>343</v>
      </c>
      <c r="B137" s="13" t="s">
        <v>339</v>
      </c>
      <c r="C137" s="2" t="s">
        <v>55</v>
      </c>
      <c r="D137" s="15" t="n">
        <v>20</v>
      </c>
      <c r="E137" s="2" t="s">
        <v>340</v>
      </c>
      <c r="F137" s="2" t="s">
        <v>77</v>
      </c>
      <c r="G137" s="17" t="s">
        <v>341</v>
      </c>
    </row>
    <row r="138" customFormat="false" ht="26.85" hidden="false" customHeight="false" outlineLevel="0" collapsed="false">
      <c r="A138" s="2" t="s">
        <v>344</v>
      </c>
      <c r="B138" s="13" t="s">
        <v>339</v>
      </c>
      <c r="C138" s="2" t="s">
        <v>57</v>
      </c>
      <c r="D138" s="15" t="n">
        <v>14</v>
      </c>
      <c r="E138" s="2" t="s">
        <v>340</v>
      </c>
      <c r="F138" s="2" t="s">
        <v>77</v>
      </c>
      <c r="G138" s="17" t="s">
        <v>341</v>
      </c>
    </row>
    <row r="139" customFormat="false" ht="26.85" hidden="false" customHeight="false" outlineLevel="0" collapsed="false">
      <c r="A139" s="2" t="s">
        <v>345</v>
      </c>
      <c r="B139" s="13" t="s">
        <v>346</v>
      </c>
      <c r="C139" s="2" t="s">
        <v>31</v>
      </c>
      <c r="D139" s="16" t="n">
        <v>0.12</v>
      </c>
      <c r="E139" s="2" t="s">
        <v>46</v>
      </c>
      <c r="F139" s="2" t="s">
        <v>77</v>
      </c>
      <c r="G139" s="17" t="s">
        <v>347</v>
      </c>
    </row>
    <row r="140" customFormat="false" ht="15" hidden="false" customHeight="false" outlineLevel="0" collapsed="false">
      <c r="A140" s="2" t="s">
        <v>348</v>
      </c>
      <c r="B140" s="13" t="s">
        <v>349</v>
      </c>
      <c r="C140" s="2" t="s">
        <v>31</v>
      </c>
      <c r="D140" s="16" t="n">
        <v>0.5</v>
      </c>
      <c r="E140" s="2" t="s">
        <v>46</v>
      </c>
      <c r="F140" s="2" t="s">
        <v>77</v>
      </c>
      <c r="G140" s="17" t="s">
        <v>350</v>
      </c>
    </row>
    <row r="141" customFormat="false" ht="26.85" hidden="false" customHeight="false" outlineLevel="0" collapsed="false">
      <c r="A141" s="2" t="s">
        <v>351</v>
      </c>
      <c r="B141" s="13" t="s">
        <v>352</v>
      </c>
      <c r="C141" s="2" t="s">
        <v>50</v>
      </c>
      <c r="D141" s="15" t="n">
        <v>20</v>
      </c>
      <c r="E141" s="2" t="s">
        <v>204</v>
      </c>
      <c r="F141" s="2" t="s">
        <v>77</v>
      </c>
      <c r="G141" s="17" t="s">
        <v>353</v>
      </c>
    </row>
    <row r="142" customFormat="false" ht="26.85" hidden="false" customHeight="false" outlineLevel="0" collapsed="false">
      <c r="A142" s="2" t="s">
        <v>354</v>
      </c>
      <c r="B142" s="13" t="s">
        <v>352</v>
      </c>
      <c r="C142" s="2" t="s">
        <v>45</v>
      </c>
      <c r="D142" s="15" t="n">
        <v>30</v>
      </c>
      <c r="E142" s="2" t="s">
        <v>204</v>
      </c>
      <c r="F142" s="2" t="s">
        <v>77</v>
      </c>
      <c r="G142" s="17" t="s">
        <v>353</v>
      </c>
    </row>
    <row r="143" customFormat="false" ht="26.85" hidden="false" customHeight="false" outlineLevel="0" collapsed="false">
      <c r="A143" s="2" t="s">
        <v>355</v>
      </c>
      <c r="B143" s="13" t="s">
        <v>352</v>
      </c>
      <c r="C143" s="2" t="s">
        <v>55</v>
      </c>
      <c r="D143" s="15" t="n">
        <v>10</v>
      </c>
      <c r="E143" s="2" t="s">
        <v>204</v>
      </c>
      <c r="F143" s="2" t="s">
        <v>77</v>
      </c>
      <c r="G143" s="17" t="s">
        <v>353</v>
      </c>
    </row>
    <row r="144" customFormat="false" ht="26.85" hidden="false" customHeight="false" outlineLevel="0" collapsed="false">
      <c r="A144" s="2" t="s">
        <v>356</v>
      </c>
      <c r="B144" s="13" t="s">
        <v>352</v>
      </c>
      <c r="C144" s="2" t="s">
        <v>57</v>
      </c>
      <c r="D144" s="15" t="n">
        <v>6</v>
      </c>
      <c r="E144" s="2" t="s">
        <v>204</v>
      </c>
      <c r="F144" s="2" t="s">
        <v>77</v>
      </c>
      <c r="G144" s="17" t="s">
        <v>353</v>
      </c>
    </row>
    <row r="145" customFormat="false" ht="15" hidden="false" customHeight="false" outlineLevel="0" collapsed="false">
      <c r="A145" s="2" t="s">
        <v>357</v>
      </c>
      <c r="B145" s="13" t="s">
        <v>358</v>
      </c>
      <c r="C145" s="2" t="s">
        <v>31</v>
      </c>
      <c r="D145" s="16" t="n">
        <v>0.45</v>
      </c>
      <c r="E145" s="2" t="s">
        <v>46</v>
      </c>
      <c r="F145" s="2" t="s">
        <v>77</v>
      </c>
      <c r="G145" s="17" t="s">
        <v>359</v>
      </c>
    </row>
    <row r="146" customFormat="false" ht="26.85" hidden="false" customHeight="false" outlineLevel="0" collapsed="false">
      <c r="A146" s="2" t="s">
        <v>360</v>
      </c>
      <c r="B146" s="13" t="s">
        <v>361</v>
      </c>
      <c r="C146" s="2" t="s">
        <v>31</v>
      </c>
      <c r="D146" s="20" t="n">
        <v>0.3</v>
      </c>
      <c r="E146" s="2" t="s">
        <v>126</v>
      </c>
      <c r="F146" s="2" t="s">
        <v>70</v>
      </c>
      <c r="G146" s="17" t="s">
        <v>362</v>
      </c>
    </row>
    <row r="147" customFormat="false" ht="26.85" hidden="false" customHeight="false" outlineLevel="0" collapsed="false">
      <c r="A147" s="2" t="s">
        <v>363</v>
      </c>
      <c r="B147" s="13" t="s">
        <v>364</v>
      </c>
      <c r="C147" s="2" t="s">
        <v>31</v>
      </c>
      <c r="D147" s="18" t="n">
        <v>1000</v>
      </c>
      <c r="E147" s="2" t="s">
        <v>126</v>
      </c>
      <c r="F147" s="2" t="s">
        <v>70</v>
      </c>
      <c r="G147" s="17" t="s">
        <v>365</v>
      </c>
    </row>
    <row r="148" customFormat="false" ht="26.85" hidden="false" customHeight="false" outlineLevel="0" collapsed="false">
      <c r="A148" s="2" t="s">
        <v>366</v>
      </c>
      <c r="B148" s="13" t="s">
        <v>367</v>
      </c>
      <c r="C148" s="2" t="s">
        <v>31</v>
      </c>
      <c r="D148" s="22" t="n">
        <v>1.15</v>
      </c>
      <c r="E148" s="2" t="s">
        <v>368</v>
      </c>
      <c r="F148" s="2" t="s">
        <v>77</v>
      </c>
      <c r="G148" s="17" t="s">
        <v>369</v>
      </c>
    </row>
    <row r="149" customFormat="false" ht="39.55" hidden="false" customHeight="false" outlineLevel="0" collapsed="false">
      <c r="A149" s="2" t="s">
        <v>370</v>
      </c>
      <c r="B149" s="13" t="s">
        <v>371</v>
      </c>
      <c r="C149" s="2" t="s">
        <v>50</v>
      </c>
      <c r="D149" s="15" t="n">
        <v>10000</v>
      </c>
      <c r="E149" s="2" t="s">
        <v>174</v>
      </c>
      <c r="F149" s="2" t="s">
        <v>77</v>
      </c>
      <c r="G149" s="17" t="s">
        <v>372</v>
      </c>
    </row>
    <row r="150" customFormat="false" ht="26.85" hidden="false" customHeight="false" outlineLevel="0" collapsed="false">
      <c r="A150" s="2" t="s">
        <v>373</v>
      </c>
      <c r="B150" s="13" t="s">
        <v>374</v>
      </c>
      <c r="C150" s="2" t="s">
        <v>50</v>
      </c>
      <c r="D150" s="23" t="n">
        <v>0.02</v>
      </c>
      <c r="E150" s="2" t="s">
        <v>46</v>
      </c>
      <c r="F150" s="2" t="s">
        <v>77</v>
      </c>
      <c r="G150" s="17" t="s">
        <v>375</v>
      </c>
    </row>
    <row r="151" customFormat="false" ht="26.85" hidden="false" customHeight="false" outlineLevel="0" collapsed="false">
      <c r="A151" s="2" t="s">
        <v>376</v>
      </c>
      <c r="B151" s="13" t="s">
        <v>377</v>
      </c>
      <c r="C151" s="2" t="s">
        <v>50</v>
      </c>
      <c r="D151" s="18" t="n">
        <v>84</v>
      </c>
      <c r="E151" s="2" t="s">
        <v>126</v>
      </c>
      <c r="F151" s="2" t="s">
        <v>70</v>
      </c>
      <c r="G151" s="17" t="s">
        <v>378</v>
      </c>
    </row>
    <row r="152" customFormat="false" ht="52.2" hidden="false" customHeight="false" outlineLevel="0" collapsed="false">
      <c r="A152" s="2" t="s">
        <v>379</v>
      </c>
      <c r="B152" s="13" t="s">
        <v>380</v>
      </c>
      <c r="C152" s="2" t="s">
        <v>50</v>
      </c>
      <c r="D152" s="16" t="n">
        <v>0.15</v>
      </c>
      <c r="E152" s="2" t="s">
        <v>46</v>
      </c>
      <c r="F152" s="2" t="s">
        <v>66</v>
      </c>
      <c r="G152" s="13" t="s">
        <v>381</v>
      </c>
    </row>
    <row r="153" customFormat="false" ht="15" hidden="false" customHeight="false" outlineLevel="0" collapsed="false">
      <c r="A153" s="2" t="s">
        <v>382</v>
      </c>
      <c r="B153" s="13" t="s">
        <v>383</v>
      </c>
      <c r="C153" s="2" t="s">
        <v>50</v>
      </c>
      <c r="D153" s="22" t="n">
        <v>0.9</v>
      </c>
      <c r="E153" s="2" t="s">
        <v>368</v>
      </c>
      <c r="F153" s="2" t="s">
        <v>66</v>
      </c>
      <c r="G153" s="17" t="s">
        <v>384</v>
      </c>
    </row>
    <row r="154" customFormat="false" ht="26.85" hidden="false" customHeight="false" outlineLevel="0" collapsed="false">
      <c r="A154" s="2" t="s">
        <v>385</v>
      </c>
      <c r="B154" s="13" t="s">
        <v>386</v>
      </c>
      <c r="C154" s="2" t="s">
        <v>50</v>
      </c>
      <c r="D154" s="18" t="n">
        <v>1200</v>
      </c>
      <c r="E154" s="2" t="s">
        <v>126</v>
      </c>
      <c r="F154" s="2" t="s">
        <v>70</v>
      </c>
      <c r="G154" s="17" t="s">
        <v>387</v>
      </c>
    </row>
    <row r="155" customFormat="false" ht="26.85" hidden="false" customHeight="false" outlineLevel="0" collapsed="false">
      <c r="A155" s="2" t="s">
        <v>388</v>
      </c>
      <c r="B155" s="13" t="s">
        <v>389</v>
      </c>
      <c r="C155" s="2" t="s">
        <v>45</v>
      </c>
      <c r="D155" s="18" t="n">
        <v>14</v>
      </c>
      <c r="E155" s="2" t="s">
        <v>126</v>
      </c>
      <c r="F155" s="2" t="s">
        <v>77</v>
      </c>
      <c r="G155" s="17" t="s">
        <v>390</v>
      </c>
    </row>
    <row r="156" customFormat="false" ht="26.85" hidden="false" customHeight="false" outlineLevel="0" collapsed="false">
      <c r="A156" s="2" t="s">
        <v>391</v>
      </c>
      <c r="B156" s="13" t="s">
        <v>392</v>
      </c>
      <c r="C156" s="2" t="s">
        <v>45</v>
      </c>
      <c r="D156" s="16" t="n">
        <v>0.14</v>
      </c>
      <c r="E156" s="2" t="s">
        <v>46</v>
      </c>
      <c r="F156" s="2" t="s">
        <v>70</v>
      </c>
      <c r="G156" s="17" t="s">
        <v>393</v>
      </c>
    </row>
    <row r="157" customFormat="false" ht="15" hidden="false" customHeight="false" outlineLevel="0" collapsed="false">
      <c r="A157" s="2" t="s">
        <v>394</v>
      </c>
      <c r="B157" s="13" t="s">
        <v>395</v>
      </c>
      <c r="C157" s="2" t="s">
        <v>45</v>
      </c>
      <c r="D157" s="15" t="n">
        <v>350</v>
      </c>
      <c r="E157" s="2" t="s">
        <v>204</v>
      </c>
      <c r="F157" s="2" t="s">
        <v>66</v>
      </c>
      <c r="G157" s="17" t="s">
        <v>396</v>
      </c>
    </row>
    <row r="158" customFormat="false" ht="26.85" hidden="false" customHeight="false" outlineLevel="0" collapsed="false">
      <c r="A158" s="2" t="s">
        <v>397</v>
      </c>
      <c r="B158" s="13" t="s">
        <v>398</v>
      </c>
      <c r="C158" s="2" t="s">
        <v>45</v>
      </c>
      <c r="D158" s="22" t="n">
        <v>1</v>
      </c>
      <c r="E158" s="2" t="s">
        <v>368</v>
      </c>
      <c r="F158" s="2" t="s">
        <v>66</v>
      </c>
      <c r="G158" s="13" t="s">
        <v>399</v>
      </c>
    </row>
    <row r="159" customFormat="false" ht="15" hidden="false" customHeight="false" outlineLevel="0" collapsed="false">
      <c r="A159" s="2" t="s">
        <v>400</v>
      </c>
      <c r="B159" s="13" t="s">
        <v>401</v>
      </c>
      <c r="C159" s="2" t="s">
        <v>45</v>
      </c>
      <c r="D159" s="15" t="n">
        <v>15</v>
      </c>
      <c r="E159" s="2" t="s">
        <v>402</v>
      </c>
      <c r="F159" s="2" t="s">
        <v>70</v>
      </c>
      <c r="G159" s="17" t="s">
        <v>403</v>
      </c>
    </row>
    <row r="160" customFormat="false" ht="15" hidden="false" customHeight="false" outlineLevel="0" collapsed="false">
      <c r="A160" s="2" t="s">
        <v>404</v>
      </c>
      <c r="B160" s="13" t="s">
        <v>405</v>
      </c>
      <c r="C160" s="2" t="s">
        <v>45</v>
      </c>
      <c r="D160" s="18" t="n">
        <v>19</v>
      </c>
      <c r="E160" s="2" t="s">
        <v>126</v>
      </c>
      <c r="F160" s="2" t="s">
        <v>70</v>
      </c>
      <c r="G160" s="17" t="s">
        <v>406</v>
      </c>
    </row>
    <row r="161" customFormat="false" ht="15" hidden="false" customHeight="false" outlineLevel="0" collapsed="false">
      <c r="A161" s="2" t="s">
        <v>407</v>
      </c>
      <c r="B161" s="13" t="s">
        <v>408</v>
      </c>
      <c r="C161" s="2" t="s">
        <v>45</v>
      </c>
      <c r="D161" s="18" t="n">
        <v>400</v>
      </c>
      <c r="E161" s="2" t="s">
        <v>126</v>
      </c>
      <c r="F161" s="2" t="s">
        <v>77</v>
      </c>
      <c r="G161" s="17" t="s">
        <v>409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6 D74:D77 D92:D93 D95 D97:D100 D103:D106 G112:G131 D139:D140 D145 D150 D152 D156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70:D73 D78:D81 D85:D91 D94 D96 D101:D102 D107:D108 E112:F131 H112:J131 D135:D138 D141:D144 D146:D149 D151 D153:D155 D157:D161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" type="whole">
      <formula1>0</formula1>
      <formula2>0</formula2>
    </dataValidation>
  </dataValidations>
  <hyperlinks>
    <hyperlink ref="G15" r:id="rId1" display="Brief: 2–4 months. Statutory: decision within three months of a complete file, extendable once (§6(3) BQFG, https://www.buzer.de/6_BQFG.htm); 59% of non-regulated cases met the 3-month deadline in 2020, many others needed at most one more month (https://www.anerkennung-in-deutschland.de/html/de/pro/aktuelles-dauer-der-verfahren.php)."/>
    <hyperlink ref="G20" r:id="rId2" display="Indeed Hiring Lab DE: job searches 'fiel an den Feiertagen auf einen Tiefpunkt von 45 % unter den durchschnittlichen Wert vom 1. bis 15. Dezember' (https://hiringlab.indeed.com/de/blog/2025/02/17/der-stellenmarkt-startet-unausgewogen-in-das-neue-jahr/). So the last planned signature is Fri 18 Dec; 21–23 Dec is kept as buffer for slipped signatures, not planned volume."/>
    <hyperlink ref="G21" r:id="rId3" display="SmartRecruiters Germany 2025 benchmark: median 6 days to review an application (https://ta.smartrecruiters.com/rs/664-NIC-529/images/Germany%20Recruiting%20Benchmarks%202025%20Report%20DE.pdf)."/>
    <hyperlink ref="G22" r:id="rId4" display="SmartRecruiters 2025: median 14 days from application to interview (same PDF) → 14 − 6 = 8. German averages are slower (XING report 2026: 21 days to first interview, 72 days to hire, https://www.socialnet.de/personalblog/wie-lange-dauert-recruiting-wirklich-zahlen-aus-dem-xing-bewerbungsreport-2026.html), so this plan assumes a fast track the client must commit to (risk)."/>
    <hyperlink ref="G23" r:id="rId5" display="No published 'final interview → offer' figure (checked SmartRecruiters DE, Gem, SHRM, NACE). Context: German median time-to-hire is 55 days (SmartRecruiters DE 2025, https://ta.smartrecruiters.com/rs/664-NIC-529/images/Germany%20Recruiting%20Benchmarks%202025%20Report%20DE.pdf); this plan's whole chain T2+T3+T4+T5 = 24 days, so it assumes a sprint process. 3 days = offer approval within 3 working days, which is one of the client asks. Sensitivity: each extra day here moves the last useful application one day earlier and removes ~8 assessment slots (55 ÷ 7)."/>
    <hyperlink ref="G24" r:id="rId6" display="NACE 2025: candidates took on average 9 days to decide on an offer (11 in 2023) (https://www.naceweb.org/talent-acquisition/trends-and-predictions/employers-make-more-offers-as-student-acceptance-rate-rises-response-time-shortens). 7 days = a one-week validity on the offer (client ask), which cuts the 9-day average; German acceptance is high (91%, SmartRecruiters DE 2025)."/>
    <hyperlink ref="G25" r:id="rId7" display="Derivation: supervisors have one extra round (panel with plant management). One round = one more scheduling cycle; the assessment → interview step takes 8 days (T3) including the 1-day test, so +7 days. SHRM 2025 finds no difference in time-to-fill between executive and non-executive hires (https://www.shrm.org/content/dam/en/shrm/research/2025-recruiting-benchmarking-report.pdf), so +7 is the cautious side: setting it to 0 gives supervisors one more week of applications."/>
    <hyperlink ref="G29" r:id="rId8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0" r:id="rId9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1" r:id="rId10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2" r:id="rId11" display="IAB-Stellenerhebung 2/2026: employers rate 28% of applications suitable; about 25% in production occupations and 23% for specialist/expert roles (https://iab-forum.de/iab-stellenerhebung-2-2026-fast-drei-von-vier-bewerbungen-sind-aus-betrieblicher-sicht-ungeeignet/). This is the ceiling. Order by scarcity from the BA Engpassanalyse 2025 (job seekers per vacancy, https://statistik.arbeitsagentur.de/Statistikdaten/Detail/202512/arbeitsmarktberichte/fachkraefte-engpassanalyse/fachkraefte-engpassanalyse-dl-0-202512-zip.zip): supervisors (2639) 0.75 &lt; electricians (2625) 1.20 &lt; automation (2612) 1.46 &lt; mechatronics/industrial mechanics (2611 0.93, 2510 3.39, employment-weighted ≈ 2.9). Values: mechatronics 22% (near the 25% ceiling because the blend includes plentiful industrial mechanics), electricians and automation 15%, supervisors 10% (under the 23% specialist ceiling, scarcest). The size of the scarcity discount is calibrated, not measured; the ×0.7 sensitivity test on Funnel shows it changes cost, not hires."/>
    <hyperlink ref="G33" r:id="rId12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ass = practical/technical interview. Qualified on paper ≠ passes (fault-finding on live automation, DGUV V3 Elektrofachkraft). ~half pass."/>
    <hyperlink ref="G34" r:id="rId13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Most standardised skill set; slightly higher pass rate."/>
    <hyperlink ref="G35" r:id="rId14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PLC/robotics tests are hard to fake; half pass."/>
    <hyperlink ref="G36" r:id="rId15" display="Gem 2025 benchmarks: 35% of onsite interviews led to an offer in 2024 (48% in 2021), vendor data, mostly US (https://lp.gem.com/rs/972-IVV-330/images/2025%20Recruiting%20Benchmarks%20-%20Gem.pdf); we sit somewhat higher because candidates are pre-qualified (own mapping): Leadership + technical; lowest pass rate."/>
    <hyperlink ref="G37" r:id="rId16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8" r:id="rId17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39" r:id="rId18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0" r:id="rId19" display="No public rate for 'passed the final interview but no offer' (checked IAB, Gem, SmartRecruiters, HireRight 2026, which publishes no %). The combined passed → signed (offer × acceptance) is 0.90 × 0.70–0.75 = 63–68% (supervisors 0.85 × 0.70 = 60%), below SmartRecruiters' 91% German offer acceptance (https://ta.smartrecruiters.com/rs/664-NIC-529/images/Germany%20Recruiting%20Benchmarks%202025%20Report%20DE.pdf) and below Königsteiner/StepStone's 71–78%, so the extra 10–15% loss sits inside the published range. Supervisors lose more (approval layers)."/>
    <hyperlink ref="G41" r:id="rId20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Engpassberuf with counter-offers from energy/grid, rail, aerospace; Tesla shift work and IG Metall disputes are known. Acceptance improves if Tesla's offer beats the Brandenburg trade median (€3,030/month, standardised to 10 years' experience, WSI https://www.lohnspiegel.de/gehaltsinfos/elektroniker_in_fuer_betriebstechnik_26252114.html); client to confirm pay band."/>
    <hyperlink ref="G42" r:id="rId21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Bigger pool, fewer counter-offers; German pay vs Polish wages is a strong pull for border commuters."/>
    <hyperlink ref="G43" r:id="rId22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Scarce, many counter-offers (car makers, integrators)."/>
    <hyperlink ref="G44" r:id="rId23" display="German offer acceptance ≈71–78%: Königsteiner 2022 (14% declined a ready-to-sign offer vs 47% receiving one ≈77%: https://www.lebensmittelzeitung.net/handel/karriere/rekrutierung-bewerber-sagen-haeufiger-ab-166449); StepStone 29% of skilled workers decline (≈71%: https://www.tageskarte.io/zahlen/detail/arbeitsmarkt-jeder-dritte-bewerber-lehnt-das-vertragsangebot-ab.html); Glassdoor 21.7% declined (≈78%: https://www.business-punk.com/work/studie-zeigt-deutsche-jobsuchende-lehnen-am-ehesten-angebote-ab/). Shortage roles at the low end (70%): Career step-up helps acceptance; counter-offers from current employer."/>
    <hyperlink ref="G48" r:id="rId24" display="Practice: high-risk projects carry 10–20% contingency (https://mastt.com/blogs/construction-contingency); PMI recommends sizing it to the risk rather than a flat % (https://www.pmi.org/learning/library/safety-numbers-contingency-planning-10120). Risk-based check: the reserve incl. rounding (€17.1k) covers about half of the extra media a 30% miss on share qualified would need (Funnel sensitivity: +€36.6k). Beyond that the binding limit is assessment slots, not money."/>
    <hyperlink ref="G70" r:id="rId25" display="BA employment statistics 31.12.2025, KldB 2625 elektrische Betriebstechnik + 2622: Brandenburg 3,417, Berlin 2,708 (https://statistik.arbeitsagentur.de/Statistikdaten/Detail/202512/iiia6/beschaeftigung-sozbe-bo-heft/bo-heft-12-0-202512-xlsx.xlsx?__blob=publicationFile (Brandenburg; -11- Berlin, -d- Germany)); ~75 km = all of Berlin + ~60% of Brandenburg (own scaling) ≈ 4,800, up to ~8,600 incl. 2630 Fachkraft → 6,000. Previously: Berlin+Brandenburg hold roughly 7% of German employment (approx. 2.6M of ~35M employees subject to social insurance; own approximation of BA employment statistics, not looked up); assumed ~150–200k industrial electricians in DE, lower industrial density in the East → ~7,000 within 75 km of Grünheide. Order of magnitude only."/>
    <hyperlink ref="G71" r:id="rId26" display="BA employment 31.12.2025, KldB 2611 + 2510 Fachkraft + 2511 + 2513 Fachkraft: Brandenburg 14,878, Berlin 17,490 (https://statistik.arbeitsagentur.de/Statistikdaten/Detail/202512/iiia6/beschaeftigung-sozbe-bo-heft/bo-heft-12-0-202512-xlsx.xlsx?__blob=publicationFile (Brandenburg; -11- Berlin, -d- Germany)); ~75 km scaling ≈ 26,400 incl. ~1,000 German/English-speaking Polish border workers (IAB-Regional 1/2020: 825 Polish commuters in machine/vehicle trades in Brandenburg, https://doku.iab.de/regional/BB/2020/regional_bb_0120.pdf). Previously: Mechatroniker + Industriemechaniker are among the largest metal/electrical trades; ~25k within 75 km + ~2k German/English-speaking in Polish border towns (Słubice, Kostrzyn, Gorzów). 1,000–2,000 Poles already work at the plant (https://www.faire-mobilitaet.de/fachinformationen/brancheninformationen/automobilindustrie/polen-tesla/)."/>
    <hyperlink ref="G72" r:id="rId27" display="BA employment 31.12.2025, KldB 2612 Automatisierungstechnik: Brandenburg 1,206, Berlin 1,254 (https://statistik.arbeitsagentur.de/Statistikdaten/Detail/202512/iiia6/beschaeftigung-sozbe-bo-heft/bo-heft-12-0-202512-xlsx.xlsx?__blob=publicationFile (Brandenburg; -11- Berlin, -d- Germany)); ~75 km ≈ 2,000–2,500. Relocators (400) remain own estimate: Smaller local pool, but specialists relocate more: assume ~400 open to moving to Brandenburg in the window (national LinkedIn reach)."/>
    <hyperlink ref="G73" r:id="rId28" display="BA employment 31.12.2025, Aufsicht codes 2519+2619+2629+2639: Brandenburg 1,209, Berlin 1,494 (https://statistik.arbeitsagentur.de/Statistikdaten/Detail/202512/iiia6/beschaeftigung-sozbe-bo-heft/bo-heft-12-0-202512-xlsx.xlsx?__blob=publicationFile (Brandenburg; -11- Berlin, -d- Germany)); ~75 km ≈ 2,200. Relocators: own estimate. Maintenance Meister/shift leads within 75 km; few relocate for a shift-lead job."/>
    <hyperlink ref="G74" r:id="rId29" display="Derivation: persuadable share ≈ one year of voluntary leavers = turnover 12% a year × 41% of exits that are resignations = 4.9% ≈ 5% (IAB-Betriebspanel Brandenburg 2024, https://mweke.brandenburg.de/media/bb1.a.3814.de/Betriebspanel%20Brandenburg%202024%20-%20final.pdf). Cross-check: Gallup Engagement Index 2024, ~11% actively searching (https://gallup.com/file/de/657716/Engagement-Index-Deutschland-Report-2024.pdf)."/>
    <hyperlink ref="G75" r:id="rId30" display="Derivation: persuadable share ≈ one year of voluntary leavers = turnover 12% a year × 41% of exits that are resignations = 4.9% ≈ 5% (IAB-Betriebspanel Brandenburg 2024, https://mweke.brandenburg.de/media/bb1.a.3814.de/Betriebspanel%20Brandenburg%202024%20-%20final.pdf). Cross-check: Gallup Engagement Index 2024, ~11% actively searching (https://gallup.com/file/de/657716/Engagement-Index-Deutschland-Report-2024.pdf)."/>
    <hyperlink ref="G76" r:id="rId31" display="Derivation: persuadable share ≈ one year of voluntary leavers = turnover 12% a year × 41% of exits that are resignations = 4.9% ≈ 5% (IAB-Betriebspanel Brandenburg 2024, https://mweke.brandenburg.de/media/bb1.a.3814.de/Betriebspanel%20Brandenburg%202024%20-%20final.pdf). Cross-check: Gallup Engagement Index 2024, ~11% actively searching (https://gallup.com/file/de/657716/Engagement-Index-Deutschland-Report-2024.pdf)."/>
    <hyperlink ref="G77" r:id="rId32" display="Derivation: persuadable share ≈ one year of voluntary leavers = turnover 12% a year × 41% of exits that are resignations = 4.9% ≈ 5% (IAB-Betriebspanel Brandenburg 2024, https://mweke.brandenburg.de/media/bb1.a.3814.de/Betriebspanel%20Brandenburg%202024%20-%20final.pdf). Cross-check: Gallup Engagement Index 2024, ~11% actively searching (https://gallup.com/file/de/657716/Engagement-Index-Deutschland-Report-2024.pdf)."/>
    <hyperlink ref="G78" r:id="rId33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24,699 × 0.928 × 0.026 × 6/52 × 0.119 = 41. Upper-bound rates used (the all-ages migration rate is 1.19%)."/>
    <hyperlink ref="G79" r:id="rId34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84,727 × 0.928 × 0.026 × 6/52 × 0.119 = 28. Upper-bound rates used (the all-ages migration rate is 1.19%)."/>
    <hyperlink ref="G80" r:id="rId35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49,171 × 0.928 × 0.026 × 6/52 × 0.119 = 16. Upper-bound rates used (the all-ages migration rate is 1.19%)."/>
    <hyperlink ref="G81" r:id="rId36" display="Derivation: national stock (BA, 31.12.2025, bo-heft Germany: https://statistik.arbeitsagentur.de/Statistikdaten/Detail/202512/iiia6/beschaeftigung-sozbe-bo-heft/bo-heft-d-0-202512-xlsx.xlsx?__blob=publicationFile) × 92.8% living outside Berlin-Brandenburg × 2.6% changing Bundesland of work a year (IAB Kurzbericht 4/2000, https://doku.iab.de/kurzber/2000/kb0400.pdf) × 6/52 of a year × 11.9% of inter-state movers choosing Berlin or Brandenburg (Destatis Binnenwanderung 2025, https://www.destatis.de/DE/Themen/Gesellschaft-Umwelt/Bevoelkerung/Wanderungen/Tabellen/_tabellen-liste-nach-bundeslaendern-jahr.html). 10,746 × 0.928 × 0.026 × 6/52 × 0.119 = 4. Upper-bound rates used (the all-ages migration rate is 1.19%)."/>
    <hyperlink ref="G88" r:id="rId37" display="Statistics: 1.5× plan is about three standard errors worse (see R3), so the cell is very likely worse than plan. Practice: 'turn off a Meta ad once it has spent 1.5x your target CPA without a single conversion' (https://sparkugc.com/resources/when-to-kill-a-meta-ad-cpa-rule); here the response is a 50% cut, the full stop comes at R5."/>
    <hyperlink ref="G89" r:id="rId38" display="Practice: 'Pause if CPA over 2x target' (https://roaspig.com/blog/automated-rules-manage-meta-budgets/). At 2× plan the same money buys twice the qualified applicants in a cell running at plan."/>
    <hyperlink ref="G90" r:id="rId39" display="Derivation: equal to the test tranche B2, so the decision falls when the test is spent. Combined with R11 = 3 expected qualified, this matches the practitioner rule 'Spent 3× your target CPA with zero purchases? Kill it' (https://coinis.com/blog/when-to-kill-meta-ads-decision-framework)."/>
    <hyperlink ref="G91" r:id="rId40" display="Statistics: Poisson P(0 | mean 3) = e^−3 = 5%, so a cell that reaches its test spend with zero qualified is wrong at most 1 time in 20 (with mean 2 it would be 13.5%). Matches the '3× target CPA with zero conversions' practice (https://coinis.com/blog/when-to-kill-meta-ads-decision-framework). Cells expecting fewer than 3 are judged on applications (R12)."/>
    <hyperlink ref="G97" r:id="rId41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8" r:id="rId42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99" r:id="rId43" display="Derivation from Pin 2026 reply timing (50% of replies within 4 h, 74.8% within 24 h, 93.9% within 7 days) and replies by message step (43.8% / 33.7% / 15.7%) (https://www.pin.com/blog/recruiting-outreach-benchmark-report/). Waves go out on day 2 (Wed 21 Oct), day 7 (Mon 26 Oct) and day 14 (Mon 2 Nov): week 1 = 0.47 × 0.90 + 0.36 × 0.50 = 60%; week 2 = 0.47 × 0.07 + 0.36 × 0.47 + 0.17 × 0.50 = 29%; week 3 = the rest, 11%."/>
    <hyperlink ref="G100" r:id="rId44" display="Practice: budget rules use +20% ('safe') to +30% ('aggressive') per step (https://roaspig.com/blog/automated-rules-manage-meta-budgets/); Meta warns that large budget edits restart the learning phase (https://www.facebook.com/business/help/112167992830700). +25% once a week also gives Google bidding the 1–2 conversion cycles it needs between changes (https://support.google.com/google-ads/answer/6268637)."/>
    <hyperlink ref="G103" r:id="rId45" display="Display flag only (changes no number). No published standard for 'share of the reachable pool'. Above 1 in 4 of everyone reachable and open to a move, a 30% miss in response rates (the sensitivity test) cannot be absorbed from the same pool. Proxy: BA Engpassanalyse treats fewer than 2 job seekers per vacancy as the tightest band (https://statistik.arbeitsagentur.de/DE/Navigation/Statistiken/Interaktive-Statistiken/Fachkraeftebedarf/Engpassanalyse-Nav.html)."/>
    <hyperlink ref="G105" r:id="rId46" display="Queueing (Kingman / M/M/1): waiting time grows with ρ ÷ (1 − ρ): 4.0× at 80% use, 5.7× at 85%, 9.0× at 90% (https://en.wikipedia.org/wiki/Kingman%27s_formula); 'wait times go up quickly as server utilization exceeds 80%' (https://www.johndcook.com/blog/2009/01/30/server-utilization-joel-on-queuing/). The plan sits at 97%, which is why the client ask is +10–15 slots a week."/>
    <hyperlink ref="L112" r:id="rId47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30 × 27 × 0.13 = 105."/>
    <hyperlink ref="L113" r:id="rId48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45 × 27 × 0.13 = 158."/>
    <hyperlink ref="L114" r:id="rId49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5 × 27 × 0.13 = 53."/>
    <hyperlink ref="L115" r:id="rId50" display="Free: BA Jobbörse posting is free (https://www.arbeitsagentur.de/faktor-a/mitarbeiter-finden/so-funktioniert-deutschlands-groesste-jobboerse); Google for Jobs is free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Volume: openings × 27 applications per vacancy at firms with 250+ staff (IAB, https://iab-forum.de/iab-stellenerhebung-2-2026-fast-drei-von-vier-bewerbungen-sind-aus-betrieblicher-sicht-ungeeignet/) × 13% of applications via the careers page (CareerPlug 2025, https://www.careerplug.com/wp-content/uploads/2025/04/Recruiting-Metrics-Report.pdf) = 10 × 27 × 0.13 = 35."/>
    <hyperlink ref="L116" r:id="rId51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"/>
    <hyperlink ref="L117" r:id="rId52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"/>
    <hyperlink ref="L118" r:id="rId53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"/>
    <hyperlink ref="L119" r:id="rId54" display="Indeed Germany bills per started application since 1 Mar 2024 (https://www.personalwirtschaft.de/?p=162207). DACH median cost per application on Indeed: €161 (TalentBait, 2,549 campaigns, 2024–26: https://www.talentbait.de/recruiting-kanaele-uebersicht/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"/>
    <hyperlink ref="L120" r:id="rId55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"/>
    <hyperlink ref="L121" r:id="rId56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90 = 19.8%. "/>
    <hyperlink ref="L122" r:id="rId57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24 Nov = 36 days → 2 ad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"/>
    <hyperlink ref="L123" r:id="rId58" display="Price €1,449 per 30-day ad (official price list, https://www.stepstone.de/e-recruiting/stellenanzeige-aufgeben/). 12 applications per ad: StepStone Application Quality study 2025, 'durchschnittlich 12 Bewerbungen pro Stelle' (https://www.stepstone.de/e-recruiting/hr-wissen/recruiting/bewerberqualitaet-steigern/). Max ads = 30-day ads that fit the application window: 20 Oct–17 Nov = 29 days → 1 a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"/>
    <hyperlink ref="L124" r:id="rId59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90 = 13.5%. "/>
    <hyperlink ref="L125" r:id="rId60" display="DACH median cost per application on LinkedIn: €96 (TalentBait 2024–26: https://www.talentbait.de/recruiting-kanaele-uebersicht/). LinkedIn job postings count as an online job board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90 = 9.0%. "/>
    <hyperlink ref="L126" r:id="rId61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50 = 7.5%. Volume: Redline (181 trade social campaigns, 2024–26) reports a median of 20 qualified applications per Elektroniker campaign (https://redline-grow.de/bewerbungen-pro-stelle); cap = 400 applications × 7.5% = 30 qualified."/>
    <hyperlink ref="L127" r:id="rId62" display="Social-recruiting cost per application for trades: €84 (TalentBait, 818 campaigns: https://www.talentbait.de/social-media-recruiting)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50 = 11.0%. Volume: Redline (181 trade social campaigns, 2024–26) reports a median of 23 qualified applications per Kfz-Mechatroniker campaign (https://redline-grow.de/bewerbungen-pro-stelle); cap = 200 applications × 11.0% = 22 qualified."/>
    <hyperlink ref="L128" r:id="rId63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"/>
    <hyperlink ref="L129" r:id="rId64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22%) × 0.71 = 15.6%. "/>
    <hyperlink ref="L130" r:id="rId65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5%) × 0.71 = 10.7%. "/>
    <hyperlink ref="L131" r:id="rId66" display="DACH median cost per application from Google Search: €179, 'little volume' (TalentBait 2024–26: https://www.talentbait.de/recruiting-kanaele-uebersicht/). Search ads land on the careers page, so the homepage index applies. Channel quality index from IAB-Stellenerhebung 2025: share of hires where a channel was decisive ÷ share where it was used: job boards 21/57 = 0.37, own homepage 20/70 = 0.29, referrals 27/48 = 0.56 (https://iab-forum.de/online-medien-sind-bei-der-personalsuche-auf-dem-vormarsch/); scaled so these three average 1 → job boards 0.90, homepage 0.71, referrals 1.37. Social media 7/40 = 0.18 vs job boards 16/51 = 0.31 in 2021 (https://iab-forum.de/iab-stellenerhebung-1-2022-174-millionen-offene-stellen-am-arbeitsmarkt/) → 0.57 × 0.90 = 0.50. Share qualified = role baseline Q (10%) × 0.71 = 7.1%. "/>
    <hyperlink ref="G135" r:id="rId67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6" r:id="rId68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7" r:id="rId69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8" r:id="rId70" display="Derivation: German practice keeps rejected applicants' data 6 months, or up to 1 year with talent-pool consent (Haufe: https://www.haufe.de/compliance/management-praxis/aufbewahrung-wie-lange-duerfen-bewerberdaten-gespeichert-werden_230130_261218.html), so the usable pool is ~1 year of runners-up. Maintenance hires a year ≈ 10,703 staff (https://electrek.co/2026/03/04/tesla-giga-berlin-ig-metall-union-vote-collapse/) × 12% turnover (IAB-Betriebspanel Brandenburg 2024) × 5% of staff in maintenance (rule of thumb, https://michelbaudin.com/?p=1454) = 64. Qualified runners-up per hire = 1 ÷ 0.32 qualified → signed − 1 = 2.1. Pool = 64 × 2.1 = 135, split by this campaign's openings (30/45/15/10%). The client's day-1 ATS export replaces it."/>
    <hyperlink ref="G139" r:id="rId71" display="Derivation: geometric mean of the cold automated-email reply rate 4.96% (Pin 2026, https://www.pin.com/blog/recruiting-outreach-benchmark-report/) and the warm enterprise outreach reply rate 29% (Gem, https://www.gem.com/blog/2022-recruiting-benchmarks): √(4.96 × 29) = 12.0%. Past applicants are warm, but re-applying is a stricter step than replying."/>
    <hyperlink ref="G140" r:id="rId72" display="These people met the hard requirements when they applied (that is how the export is filtered). Forrester: rediscovered candidates 'often remain a 70 percent or more match' (via SHRM, https://www.shrm.org/mena/topics-tools/news/technology/talent-rediscovery-tools-help-address-labor-shortages). 50% is set below that 70% because a match is not the same as meeting every requirement again (shifts, availability)."/>
    <hyperlink ref="G141" r:id="rId73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2" r:id="rId74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3" r:id="rId75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4" r:id="rId76" display="Derivation: sized so referrals deliver 11% of hires, the CareerPlug 2025 benchmark (referrals 2% of applicants but 11% of hires, https://www.careerplug.com/wp-content/uploads/2025/04/Recruiting-Metrics-Report.pdf): 11 hires ÷ (45% qualified × 37% qualified → signed incl. ×1.15) = 66 applications, split by openings. Equals 0.6% of the plant's 10,703 staff referring someone in 6 weeks, far below the 20% quarterly participation that marks a healthy programme (https://www.pin.com/blog/employee-referral-program-guide)."/>
    <hyperlink ref="G145" r:id="rId77" display="Referred applicants convert to hires 4–11× better than average in US data (Breezy 2026: 'convert at 8%, which is 4x the rate of any major job board', https://breezy.hr/resources/hiring-reports/source-of-hire-report; Gem 2026: 11×) and 1.37× in German employer data (IAB 2025, decisive ÷ used, https://iab-forum.de/online-medien-sind-bei-der-personalsuche-auf-dem-vormarsch/). 45% = 1.6 × the IAB 28% baseline, inside that range and close to the German figure."/>
    <hyperlink ref="G146" r:id="rId78" display="Three waves × 1 SMS at €0.075 net (seven.io price list, https://www.seven.io/en/prices/) to €0.112 (Twilio Germany, https://www.twilio.com/en-us/sms/pricing/de) = €0.23–0.34; e-mail is near zero → €0.30 per record."/>
    <hyperlink ref="G147" r:id="rId79" display="German practice example: €1,000 per referral, €2,000 for hard-to-fill roles (IW Köln/KOFA, https://www.kofa.de/media/Publikationen/Handlungsempfehlungen/Mitarbeiter_werben_Mitarbeiter.pdf)."/>
    <hyperlink ref="G148" r:id="rId80" display="Published uplift range: referred interviewees are ~40% more likely to get an offer (NY Fed Staff Report 568) and accept 2.7–7.3 points more often (Burks et al., QJE), summarised at https://www.metaview.ai/resources/blog/do-referred-candidates-interview-better. Acceptance alone gives ×1.07 (75.1 ÷ 70); ×1.15 adds a fraction of the offer uplift and stays at the low end of the range."/>
    <hyperlink ref="G149" r:id="rId81" display="BA employment 31.12.2025, KldB 2621 Bauelektrik: Brandenburg 5,905, Berlin 6,204 (https://statistik.arbeitsagentur.de/Statistikdaten/Detail/202512/iiia6/beschaeftigung-sozbe-bo-heft/bo-heft-12-0-202512-xlsx.xlsx?__blob=publicationFile (Brandenburg; -11- Berlin, -d- Germany)); ~75 km scaling ≈ 9,750. Bauelektrik is itself a shortage occupation (BA Engpassanalyse)."/>
    <hyperlink ref="G150" r:id="rId82" display="Derivation: Redline (181 trade social campaigns) reports a mean of 29.5 qualified applications per Elektroniker campaign (https://redline-grow.de/fachkraeftemangel-handwerk) → 30 ÷ 15% qualified = 200 applications ÷ 10,000 construction electricians in reach = 2%."/>
    <hyperlink ref="G151" r:id="rId83" display="Social-recruiting cost per application, trades (Handwerk) average €84 (TalentBait, 818 campaigns, vendor data, https://www.talentbait.de/social-media-recruiting)."/>
    <hyperlink ref="G153" r:id="rId84" display="Derivation: construction electricians lack the PLC/automation part, so they face the automation pass rate instead of the electrician one: PA ÷ PE = 45% ÷ 50% = 0.9. Context: closing the PLC gap fully takes a 141-day course (WBS SPS-Techniker, https://www.wbstraining.de/potsdam-weiterbildung-sps-techniker-mit-hwk-abschluss), hence the in-house bridge."/>
    <hyperlink ref="G154" r:id="rId85" display="Copywriting: €65/hour average freelance rate (freelancermap, https://www.freelancermap.de/freelancer/texterstellung) × ~11 h = €700. Quiz funnel: Perspective Grow €147–184/month (https://www.perspective.co/pricing) × 3 months ≈ €500. Total €1,200."/>
    <hyperlink ref="G155" r:id="rId86" display="Pracuj.pl 30-day ad 1,499 PLN net ≈ €350 (official package page, https://dlafirm.pracuj.pl/cennik-uslug/pakiety-ogloszen) ÷ ~25 applications per ad (own estimate; no published figure) = €14."/>
    <hyperlink ref="G156" r:id="rId87" display="Eurostat Adult Education Survey 2022, Poland, ages 25–64 with vocational upper-secondary education: 58.7% know a foreign language, of whom 23.6% at a good or proficient level → 58.7% × 23.6% = 13.9% ≈ 14% (https://ec.europa.eu/eurostat/api/dissemination/statistics/1.0/data/edat_aes_l23?geo=PL&amp;time=2022&amp;age=Y25-64). Language is the binding filter for this trade; the pre-screen call checks it."/>
    <hyperlink ref="G157" r:id="rId88" display="Derivation: the applications needed to reach the 40% Polish cap (given): 18 hires ÷ (14% qualified × 37% qualified → signed) = 347 → 350. Reachable: about 2,000 Polish metal/machine-trade workers already commute into Brandenburg (IAB Regional 1/2020: 825 + 424 in 2019, https://doku.iab.de/regional/BB/2020/regional_bb_0120.pdf, × 1.59 growth of Polish commuters 2019–23, https://iab-forum.de/immer-mehr-menschen-pendeln-aus-osteuropa-nach-deutschland/); 350 is ~18% of that."/>
    <hyperlink ref="G159" r:id="rId89" display="'A phone screen normally lasts for 15 to 30 minutes' (Indeed, https://www.indeed.com/hire/c/info/what-is-a-phone-screen). 15 minutes = the bottom of the range, for a fixed checklist (certificate, language, shifts, commute)."/>
    <hyperlink ref="G160" r:id="rId90" display="Freelance recruiter in Poland: 60–80 PLN net per hour, B2B (RocketJobs listing, https://rocketjobs.pl/oferta-pracy/intent-tech-recruiter-freelance--warszawa-hr-recruitment-9e0cdcee) → top of range 80 PLN ÷ 4.25 PLN/€ = €19 per hour."/>
    <hyperlink ref="G161" r:id="rId91" display="German statutory translator fee: €1.95 per started 55 characters (§11 JVEG, https://www.buzer.de/11_JVEG.htm); ~6,000 characters × 2 languages ≈ €430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8" hidden="false" customHeight="true" outlineLevel="0" collapsed="false">
      <c r="A4" s="12" t="s">
        <v>283</v>
      </c>
      <c r="B4" s="12" t="s">
        <v>49</v>
      </c>
      <c r="C4" s="12" t="s">
        <v>412</v>
      </c>
      <c r="D4" s="12" t="s">
        <v>413</v>
      </c>
      <c r="E4" s="12" t="s">
        <v>414</v>
      </c>
      <c r="F4" s="12" t="s">
        <v>415</v>
      </c>
      <c r="G4" s="12" t="s">
        <v>416</v>
      </c>
      <c r="H4" s="12" t="s">
        <v>417</v>
      </c>
      <c r="I4" s="12" t="s">
        <v>418</v>
      </c>
      <c r="J4" s="12" t="s">
        <v>419</v>
      </c>
      <c r="K4" s="12" t="s">
        <v>420</v>
      </c>
      <c r="L4" s="12" t="s">
        <v>421</v>
      </c>
      <c r="M4" s="12" t="s">
        <v>422</v>
      </c>
      <c r="N4" s="12" t="s">
        <v>423</v>
      </c>
      <c r="O4" s="12" t="s">
        <v>424</v>
      </c>
      <c r="P4" s="12" t="s">
        <v>425</v>
      </c>
    </row>
    <row r="5" customFormat="false" ht="15" hidden="false" customHeight="false" outlineLevel="0" collapsed="false">
      <c r="A5" s="24" t="s">
        <v>50</v>
      </c>
      <c r="B5" s="25" t="n">
        <f aca="false">Assumptions!$D$11</f>
        <v>30</v>
      </c>
      <c r="C5" s="26" t="n">
        <f aca="false">Assumptions!$D$29</f>
        <v>0.15</v>
      </c>
      <c r="D5" s="26" t="n">
        <f aca="false">Assumptions!$D$33</f>
        <v>0.5</v>
      </c>
      <c r="E5" s="26" t="n">
        <f aca="false">Assumptions!$D$37</f>
        <v>0.9</v>
      </c>
      <c r="F5" s="26" t="n">
        <f aca="false">Assumptions!$D$41</f>
        <v>0.7</v>
      </c>
      <c r="G5" s="27" t="n">
        <f aca="false">D5*E5*F5</f>
        <v>0.315</v>
      </c>
      <c r="H5" s="27" t="n">
        <f aca="false">C5*G5</f>
        <v>0.04725</v>
      </c>
      <c r="I5" s="28" t="n">
        <f aca="false">IF(F5&gt;0,B5/F5,0)</f>
        <v>42.8571428571429</v>
      </c>
      <c r="J5" s="28" t="n">
        <f aca="false">IF(E5&gt;0,I5/E5,0)</f>
        <v>47.6190476190476</v>
      </c>
      <c r="K5" s="28" t="n">
        <f aca="false">IF(D5&gt;0,J5/D5,0)</f>
        <v>95.2380952380952</v>
      </c>
      <c r="L5" s="25" t="n">
        <f aca="false">IF(C5&gt;0,K5/C5,0)</f>
        <v>634.920634920635</v>
      </c>
      <c r="M5" s="25" t="n">
        <f aca="false">SUMIFS(Channels!$W:$W,Channels!$C:$C,A5)</f>
        <v>833.5941381179</v>
      </c>
      <c r="N5" s="27" t="n">
        <f aca="false">IF(M5&gt;0,O5/M5,0)</f>
        <v>0.115786677022486</v>
      </c>
      <c r="O5" s="28" t="n">
        <f aca="false">SUMIFS(Channels!$V:$V,Channels!$C:$C,A5)</f>
        <v>96.5190952380953</v>
      </c>
      <c r="P5" s="27" t="n">
        <f aca="false">IF($B$22&gt;0,O5/$B$22,0)</f>
        <v>0.307106212121212</v>
      </c>
    </row>
    <row r="6" customFormat="false" ht="15" hidden="false" customHeight="false" outlineLevel="0" collapsed="false">
      <c r="A6" s="24" t="s">
        <v>45</v>
      </c>
      <c r="B6" s="25" t="n">
        <f aca="false">Assumptions!$D$12</f>
        <v>45</v>
      </c>
      <c r="C6" s="26" t="n">
        <f aca="false">Assumptions!$D$30</f>
        <v>0.22</v>
      </c>
      <c r="D6" s="26" t="n">
        <f aca="false">Assumptions!$D$34</f>
        <v>0.55</v>
      </c>
      <c r="E6" s="26" t="n">
        <f aca="false">Assumptions!$D$38</f>
        <v>0.9</v>
      </c>
      <c r="F6" s="26" t="n">
        <f aca="false">Assumptions!$D$42</f>
        <v>0.75</v>
      </c>
      <c r="G6" s="27" t="n">
        <f aca="false">D6*E6*F6</f>
        <v>0.37125</v>
      </c>
      <c r="H6" s="27" t="n">
        <f aca="false">C6*G6</f>
        <v>0.081675</v>
      </c>
      <c r="I6" s="28" t="n">
        <f aca="false">IF(F6&gt;0,B6/F6,0)</f>
        <v>60</v>
      </c>
      <c r="J6" s="28" t="n">
        <f aca="false">IF(E6&gt;0,I6/E6,0)</f>
        <v>66.6666666666667</v>
      </c>
      <c r="K6" s="28" t="n">
        <f aca="false">IF(D6&gt;0,J6/D6,0)</f>
        <v>121.212121212121</v>
      </c>
      <c r="L6" s="25" t="n">
        <f aca="false">IF(C6&gt;0,K6/C6,0)</f>
        <v>550.964187327824</v>
      </c>
      <c r="M6" s="25" t="n">
        <f aca="false">SUMIFS(Channels!$W:$W,Channels!$C:$C,A6)</f>
        <v>774.350886502888</v>
      </c>
      <c r="N6" s="27" t="n">
        <f aca="false">IF(M6&gt;0,O6/M6,0)</f>
        <v>0.153209769989304</v>
      </c>
      <c r="O6" s="28" t="n">
        <f aca="false">SUMIFS(Channels!$V:$V,Channels!$C:$C,A6)</f>
        <v>118.638121212121</v>
      </c>
      <c r="P6" s="27" t="n">
        <f aca="false">IF($B$22&gt;0,O6/$B$22,0)</f>
        <v>0.377484931129477</v>
      </c>
    </row>
    <row r="7" customFormat="false" ht="15" hidden="false" customHeight="false" outlineLevel="0" collapsed="false">
      <c r="A7" s="24" t="s">
        <v>55</v>
      </c>
      <c r="B7" s="25" t="n">
        <f aca="false">Assumptions!$D$13</f>
        <v>15</v>
      </c>
      <c r="C7" s="26" t="n">
        <f aca="false">Assumptions!$D$31</f>
        <v>0.15</v>
      </c>
      <c r="D7" s="26" t="n">
        <f aca="false">Assumptions!$D$35</f>
        <v>0.45</v>
      </c>
      <c r="E7" s="26" t="n">
        <f aca="false">Assumptions!$D$39</f>
        <v>0.9</v>
      </c>
      <c r="F7" s="26" t="n">
        <f aca="false">Assumptions!$D$43</f>
        <v>0.7</v>
      </c>
      <c r="G7" s="27" t="n">
        <f aca="false">D7*E7*F7</f>
        <v>0.2835</v>
      </c>
      <c r="H7" s="27" t="n">
        <f aca="false">C7*G7</f>
        <v>0.042525</v>
      </c>
      <c r="I7" s="28" t="n">
        <f aca="false">IF(F7&gt;0,B7/F7,0)</f>
        <v>21.4285714285714</v>
      </c>
      <c r="J7" s="28" t="n">
        <f aca="false">IF(E7&gt;0,I7/E7,0)</f>
        <v>23.8095238095238</v>
      </c>
      <c r="K7" s="28" t="n">
        <f aca="false">IF(D7&gt;0,J7/D7,0)</f>
        <v>52.9100529100529</v>
      </c>
      <c r="L7" s="25" t="n">
        <f aca="false">IF(C7&gt;0,K7/C7,0)</f>
        <v>352.733686067019</v>
      </c>
      <c r="M7" s="25" t="n">
        <f aca="false">SUMIFS(Channels!$W:$W,Channels!$C:$C,A7)</f>
        <v>367.844194947216</v>
      </c>
      <c r="N7" s="27" t="n">
        <f aca="false">IF(M7&gt;0,O7/M7,0)</f>
        <v>0.141513862730721</v>
      </c>
      <c r="O7" s="28" t="n">
        <f aca="false">SUMIFS(Channels!$V:$V,Channels!$C:$C,A7)</f>
        <v>52.0550529100529</v>
      </c>
      <c r="P7" s="27" t="n">
        <f aca="false">IF($B$22&gt;0,O7/$B$22,0)</f>
        <v>0.165629713804714</v>
      </c>
    </row>
    <row r="8" customFormat="false" ht="15" hidden="false" customHeight="false" outlineLevel="0" collapsed="false">
      <c r="A8" s="24" t="s">
        <v>57</v>
      </c>
      <c r="B8" s="25" t="n">
        <f aca="false">Assumptions!$D$14</f>
        <v>10</v>
      </c>
      <c r="C8" s="26" t="n">
        <f aca="false">Assumptions!$D$32</f>
        <v>0.1</v>
      </c>
      <c r="D8" s="26" t="n">
        <f aca="false">Assumptions!$D$36</f>
        <v>0.4</v>
      </c>
      <c r="E8" s="26" t="n">
        <f aca="false">Assumptions!$D$40</f>
        <v>0.85</v>
      </c>
      <c r="F8" s="26" t="n">
        <f aca="false">Assumptions!$D$44</f>
        <v>0.7</v>
      </c>
      <c r="G8" s="27" t="n">
        <f aca="false">D8*E8*F8</f>
        <v>0.238</v>
      </c>
      <c r="H8" s="27" t="n">
        <f aca="false">C8*G8</f>
        <v>0.0238</v>
      </c>
      <c r="I8" s="28" t="n">
        <f aca="false">IF(F8&gt;0,B8/F8,0)</f>
        <v>14.2857142857143</v>
      </c>
      <c r="J8" s="28" t="n">
        <f aca="false">IF(E8&gt;0,I8/E8,0)</f>
        <v>16.8067226890756</v>
      </c>
      <c r="K8" s="28" t="n">
        <f aca="false">IF(D8&gt;0,J8/D8,0)</f>
        <v>42.0168067226891</v>
      </c>
      <c r="L8" s="25" t="n">
        <f aca="false">IF(C8&gt;0,K8/C8,0)</f>
        <v>420.168067226891</v>
      </c>
      <c r="M8" s="25" t="n">
        <f aca="false">SUMIFS(Channels!$W:$W,Channels!$C:$C,A8)</f>
        <v>384.68</v>
      </c>
      <c r="N8" s="27" t="n">
        <f aca="false">IF(M8&gt;0,O8/M8,0)</f>
        <v>0.0941951752105646</v>
      </c>
      <c r="O8" s="28" t="n">
        <f aca="false">SUMIFS(Channels!$V:$V,Channels!$C:$C,A8)</f>
        <v>36.235</v>
      </c>
      <c r="P8" s="27" t="n">
        <f aca="false">IF($B$22&gt;0,O8/$B$22,0)</f>
        <v>0.115293181818182</v>
      </c>
    </row>
    <row r="9" customFormat="false" ht="15" hidden="false" customHeight="false" outlineLevel="0" collapsed="false">
      <c r="A9" s="24" t="s">
        <v>426</v>
      </c>
      <c r="B9" s="29" t="n">
        <f aca="false">SUM(B5:B8)</f>
        <v>100</v>
      </c>
      <c r="G9" s="30" t="n">
        <f aca="false">IF(K9&gt;0,B9/K9,0)</f>
        <v>0.321154020899591</v>
      </c>
      <c r="I9" s="31" t="n">
        <f aca="false">SUM(I5:I8)</f>
        <v>138.571428571429</v>
      </c>
      <c r="J9" s="31" t="n">
        <f aca="false">SUM(J5:J8)</f>
        <v>154.901960784314</v>
      </c>
      <c r="K9" s="31" t="n">
        <f aca="false">SUM(K5:K8)</f>
        <v>311.377076082958</v>
      </c>
      <c r="L9" s="29" t="n">
        <f aca="false">SUM(L5:L8)</f>
        <v>1958.78657554237</v>
      </c>
      <c r="M9" s="29" t="n">
        <f aca="false">SUM(M5:M8)</f>
        <v>2360.469219568</v>
      </c>
      <c r="N9" s="30" t="n">
        <f aca="false">IF(M9&gt;0,O9/M9,0)</f>
        <v>0.12855379212096</v>
      </c>
      <c r="O9" s="31" t="n">
        <f aca="false">SUM(O5:O8)</f>
        <v>303.447269360269</v>
      </c>
      <c r="P9" s="30" t="n">
        <f aca="false">IF($B$22&gt;0,O9/$B$22,0)</f>
        <v>0.965514038873584</v>
      </c>
    </row>
    <row r="10" customFormat="false" ht="15" hidden="false" customHeight="false" outlineLevel="0" collapsed="false">
      <c r="A10" s="2" t="s">
        <v>427</v>
      </c>
    </row>
    <row r="12" customFormat="false" ht="15" hidden="false" customHeight="false" outlineLevel="0" collapsed="false">
      <c r="A12" s="24" t="s">
        <v>428</v>
      </c>
    </row>
    <row r="13" customFormat="false" ht="15" hidden="false" customHeight="false" outlineLevel="0" collapsed="false">
      <c r="A13" s="2" t="s">
        <v>429</v>
      </c>
      <c r="B13" s="32" t="n">
        <f aca="false">Assumptions!$D$7+Assumptions!$D$19</f>
        <v>46317</v>
      </c>
    </row>
    <row r="14" customFormat="false" ht="15" hidden="false" customHeight="false" outlineLevel="0" collapsed="false">
      <c r="A14" s="2" t="s">
        <v>430</v>
      </c>
      <c r="B14" s="32" t="n">
        <f aca="false">Assumptions!$D$20</f>
        <v>46374</v>
      </c>
    </row>
    <row r="15" customFormat="false" ht="15" hidden="false" customHeight="false" outlineLevel="0" collapsed="false">
      <c r="A15" s="2" t="s">
        <v>431</v>
      </c>
      <c r="B15" s="25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432</v>
      </c>
      <c r="B16" s="25" t="n">
        <f aca="false">B15+Assumptions!$D$25</f>
        <v>25</v>
      </c>
    </row>
    <row r="17" customFormat="false" ht="15" hidden="false" customHeight="false" outlineLevel="0" collapsed="false">
      <c r="A17" s="2" t="s">
        <v>433</v>
      </c>
      <c r="B17" s="32" t="n">
        <f aca="false">B14-B15</f>
        <v>46356</v>
      </c>
    </row>
    <row r="18" customFormat="false" ht="15" hidden="false" customHeight="false" outlineLevel="0" collapsed="false">
      <c r="A18" s="2" t="s">
        <v>434</v>
      </c>
      <c r="B18" s="32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3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2" t="n">
        <f aca="false">B18-Assumptions!$D$21</f>
        <v>46343</v>
      </c>
    </row>
    <row r="21" customFormat="false" ht="15" hidden="false" customHeight="false" outlineLevel="0" collapsed="false">
      <c r="A21" s="2" t="s">
        <v>435</v>
      </c>
      <c r="B21" s="25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4" t="n">
        <f aca="false">Assumptions!$D$9*B21/7</f>
        <v>314.285714285714</v>
      </c>
    </row>
    <row r="23" customFormat="false" ht="15" hidden="false" customHeight="false" outlineLevel="0" collapsed="false">
      <c r="A23" s="2" t="s">
        <v>436</v>
      </c>
      <c r="B23" s="25" t="n">
        <f aca="false">O9</f>
        <v>303.447269360269</v>
      </c>
    </row>
    <row r="24" customFormat="false" ht="15" hidden="false" customHeight="false" outlineLevel="0" collapsed="false">
      <c r="A24" s="2" t="s">
        <v>10</v>
      </c>
      <c r="B24" s="35" t="n">
        <f aca="false">IF(B22&gt;0,B23/B22,IF(B23&gt;0,9.99,0))</f>
        <v>0.965514038873584</v>
      </c>
      <c r="C24" s="24" t="str">
        <f aca="false">IF(B24&gt;1,"OVER CAPACITY – plan cannot be assessed",IF(B24&gt;Assumptions!$D$105,"Tight: little headroom","OK"))</f>
        <v>Tight: little headroom</v>
      </c>
    </row>
    <row r="25" customFormat="false" ht="15" hidden="false" customHeight="false" outlineLevel="0" collapsed="false">
      <c r="A25" s="2" t="s">
        <v>437</v>
      </c>
      <c r="B25" s="27" t="n">
        <f aca="false">IF(O9&gt;0,Channels!U35/O9,0)</f>
        <v>0.325428230770329</v>
      </c>
    </row>
    <row r="26" customFormat="false" ht="15" hidden="false" customHeight="false" outlineLevel="0" collapsed="false">
      <c r="A26" s="2" t="s">
        <v>438</v>
      </c>
      <c r="B26" s="34" t="n">
        <f aca="false">B22*B25</f>
        <v>102.277443956389</v>
      </c>
      <c r="C26" s="2" t="s">
        <v>439</v>
      </c>
    </row>
    <row r="28" customFormat="false" ht="15" hidden="false" customHeight="false" outlineLevel="0" collapsed="false">
      <c r="A28" s="24" t="s">
        <v>440</v>
      </c>
    </row>
    <row r="29" customFormat="false" ht="60" hidden="false" customHeight="true" outlineLevel="0" collapsed="false">
      <c r="A29" s="12" t="s">
        <v>283</v>
      </c>
      <c r="B29" s="12" t="s">
        <v>49</v>
      </c>
      <c r="C29" s="12" t="s">
        <v>441</v>
      </c>
      <c r="D29" s="12" t="s">
        <v>442</v>
      </c>
      <c r="E29" s="12" t="s">
        <v>443</v>
      </c>
      <c r="F29" s="12" t="s">
        <v>444</v>
      </c>
      <c r="G29" s="12" t="s">
        <v>445</v>
      </c>
      <c r="H29" s="12" t="s">
        <v>446</v>
      </c>
      <c r="I29" s="12" t="s">
        <v>447</v>
      </c>
      <c r="J29" s="12" t="s">
        <v>448</v>
      </c>
      <c r="K29" s="12" t="s">
        <v>449</v>
      </c>
      <c r="L29" s="12" t="s">
        <v>450</v>
      </c>
    </row>
    <row r="30" customFormat="false" ht="15" hidden="false" customHeight="false" outlineLevel="0" collapsed="false">
      <c r="A30" s="24" t="s">
        <v>50</v>
      </c>
      <c r="B30" s="25" t="n">
        <f aca="false">B5</f>
        <v>30</v>
      </c>
      <c r="C30" s="28" t="n">
        <f aca="false">O5</f>
        <v>96.5190952380953</v>
      </c>
      <c r="D30" s="28" t="n">
        <f aca="false">SUMIFS(Channels!$N:$N,Channels!$C:$C,A30)</f>
        <v>48.4695225</v>
      </c>
      <c r="E30" s="36" t="n">
        <f aca="false">IF(B30&gt;0,D30/B30,0)</f>
        <v>1.61565075</v>
      </c>
      <c r="F30" s="25" t="n">
        <f aca="false">Funnel!F58</f>
        <v>341</v>
      </c>
      <c r="G30" s="27" t="n">
        <f aca="false">Funnel!H58</f>
        <v>0.195070660522273</v>
      </c>
      <c r="H30" s="37" t="n">
        <f aca="false">_xlfn.MAXIFS(Channels!$P:$P,Channels!$C:$C,A30,Channels!$AI:$AI,"&gt;0")</f>
        <v>3786.00823045268</v>
      </c>
      <c r="I30" s="2" t="s">
        <v>451</v>
      </c>
      <c r="J30" s="2" t="s">
        <v>452</v>
      </c>
      <c r="K30" s="36" t="n">
        <f aca="false">IF(B30&gt;0,(D30-SUMIFS(Channels!$N:$N,Channels!$A:$A,"I2-E",Channels!$C:$C,A30))/B30,0)</f>
        <v>1.33215075</v>
      </c>
      <c r="L30" s="36" t="n">
        <f aca="false">IF(B30&gt;0,K30,1000000000)</f>
        <v>1.33215075</v>
      </c>
    </row>
    <row r="31" customFormat="false" ht="15" hidden="false" customHeight="false" outlineLevel="0" collapsed="false">
      <c r="A31" s="24" t="s">
        <v>45</v>
      </c>
      <c r="B31" s="25" t="n">
        <f aca="false">B6</f>
        <v>45</v>
      </c>
      <c r="C31" s="28" t="n">
        <f aca="false">O6</f>
        <v>118.638121212121</v>
      </c>
      <c r="D31" s="28" t="n">
        <f aca="false">SUMIFS(Channels!$N:$N,Channels!$C:$C,A31)</f>
        <v>94.323654</v>
      </c>
      <c r="E31" s="36" t="n">
        <f aca="false">IF(B31&gt;0,D31/B31,0)</f>
        <v>2.0960812</v>
      </c>
      <c r="F31" s="25" t="n">
        <f aca="false">Funnel!F59</f>
        <v>1328</v>
      </c>
      <c r="G31" s="27" t="n">
        <f aca="false">Funnel!H59</f>
        <v>0.0893359346476816</v>
      </c>
      <c r="H31" s="37" t="n">
        <f aca="false">_xlfn.MAXIFS(Channels!$P:$P,Channels!$C:$C,A31,Channels!$AI:$AI,"&gt;0")</f>
        <v>2056.93296602388</v>
      </c>
      <c r="I31" s="2" t="s">
        <v>453</v>
      </c>
      <c r="J31" s="2" t="s">
        <v>454</v>
      </c>
      <c r="K31" s="36" t="n">
        <f aca="false">IF(B31&gt;0,(D31-SUMIFS(Channels!$N:$N,Channels!$A:$A,"I2-E",Channels!$C:$C,A31))/B31,0)</f>
        <v>2.0960812</v>
      </c>
      <c r="L31" s="36" t="n">
        <f aca="false">IF(B31&gt;0,K31,1000000000)</f>
        <v>2.0960812</v>
      </c>
    </row>
    <row r="32" customFormat="false" ht="15" hidden="false" customHeight="false" outlineLevel="0" collapsed="false">
      <c r="A32" s="24" t="s">
        <v>55</v>
      </c>
      <c r="B32" s="25" t="n">
        <f aca="false">B7</f>
        <v>15</v>
      </c>
      <c r="C32" s="28" t="n">
        <f aca="false">O7</f>
        <v>52.0550529100529</v>
      </c>
      <c r="D32" s="28" t="n">
        <f aca="false">SUMIFS(Channels!$N:$N,Channels!$C:$C,A32)</f>
        <v>20.89380825</v>
      </c>
      <c r="E32" s="36" t="n">
        <f aca="false">IF(B32&gt;0,D32/B32,0)</f>
        <v>1.39292055</v>
      </c>
      <c r="F32" s="25" t="n">
        <f aca="false">Funnel!F60</f>
        <v>126</v>
      </c>
      <c r="G32" s="27" t="n">
        <f aca="false">Funnel!H60</f>
        <v>0.413135340555976</v>
      </c>
      <c r="H32" s="37" t="n">
        <f aca="false">_xlfn.MAXIFS(Channels!$P:$P,Channels!$C:$C,A32,Channels!$AI:$AI,"&gt;0")</f>
        <v>4206.67581161408</v>
      </c>
      <c r="I32" s="2" t="s">
        <v>451</v>
      </c>
      <c r="J32" s="2" t="s">
        <v>454</v>
      </c>
      <c r="K32" s="36" t="n">
        <f aca="false">IF(B32&gt;0,(D32-SUMIFS(Channels!$N:$N,Channels!$A:$A,"I2-E",Channels!$C:$C,A32))/B32,0)</f>
        <v>1.39292055</v>
      </c>
      <c r="L32" s="36" t="n">
        <f aca="false">IF(B32&gt;0,K32,1000000000)</f>
        <v>1.39292055</v>
      </c>
    </row>
    <row r="33" customFormat="false" ht="15" hidden="false" customHeight="false" outlineLevel="0" collapsed="false">
      <c r="A33" s="24" t="s">
        <v>57</v>
      </c>
      <c r="B33" s="25" t="n">
        <f aca="false">B8</f>
        <v>10</v>
      </c>
      <c r="C33" s="28" t="n">
        <f aca="false">O8</f>
        <v>36.235</v>
      </c>
      <c r="D33" s="28" t="n">
        <f aca="false">SUMIFS(Channels!$N:$N,Channels!$C:$C,A33)</f>
        <v>8.750308</v>
      </c>
      <c r="E33" s="36" t="n">
        <f aca="false">IF(B33&gt;0,D33/B33,0)</f>
        <v>0.8750308</v>
      </c>
      <c r="F33" s="25" t="n">
        <f aca="false">Funnel!F61</f>
        <v>114</v>
      </c>
      <c r="G33" s="27" t="n">
        <f aca="false">Funnel!H61</f>
        <v>0.317850877192982</v>
      </c>
      <c r="H33" s="37" t="n">
        <f aca="false">_xlfn.MAXIFS(Channels!$P:$P,Channels!$C:$C,A33,Channels!$AI:$AI,"&gt;0")</f>
        <v>10592.9695821991</v>
      </c>
      <c r="I33" s="2" t="s">
        <v>451</v>
      </c>
      <c r="J33" s="2" t="s">
        <v>454</v>
      </c>
      <c r="K33" s="36" t="n">
        <f aca="false">IF(B33&gt;0,(D33-SUMIFS(Channels!$N:$N,Channels!$A:$A,"I2-E",Channels!$C:$C,A33))/B33,0)</f>
        <v>0.8750308</v>
      </c>
      <c r="L33" s="36" t="n">
        <f aca="false">IF(B33&gt;0,K33,1000000000)</f>
        <v>0.8750308</v>
      </c>
    </row>
    <row r="35" customFormat="false" ht="30" hidden="false" customHeight="true" outlineLevel="0" collapsed="false">
      <c r="A35" s="9" t="str">
        <f aca="false">"Verdict (base case; Summary C16 recomputes it live): Electricians. Biggest scarce volume (30); channel coverage ~"&amp;TEXT(E30,"0.0")&amp;"× openings, but only ~"&amp;TEXT(K30,"0.0")&amp;"×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~"&amp;TEXT(E33,"0.0")&amp;"× coverage, but are only 10 hires with an internal-promotion fallback (and the earliest cut-off, B20)."</f>
        <v>Verdict (base case; Summary C16 recomputes it live): Electricians. Biggest scarce volume (30); channel coverage ~1.6× openings, but only ~1.3× without the unproven Handwerk→Industrie initiative (K30) – the lowest of any role; no Polish route and no foreign-trained route by 31 Dec; and energy/grid, rail, aerospace, agencies and Tesla’s own lines want the same certificate. Supervisors need a bigger share of a smaller pool (G33) and have ~0.9× coverage, but are only 10 hires with an internal-promotion fallback (and the earliest cut-off, B20).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4" t="s">
        <v>455</v>
      </c>
    </row>
    <row r="40" customFormat="false" ht="15" hidden="false" customHeight="false" outlineLevel="0" collapsed="false">
      <c r="A40" s="2" t="s">
        <v>456</v>
      </c>
      <c r="B40" s="26" t="n">
        <f aca="false">Assumptions!$D$66</f>
        <v>0.3</v>
      </c>
    </row>
    <row r="41" customFormat="false" ht="45" hidden="false" customHeight="true" outlineLevel="0" collapsed="false">
      <c r="A41" s="12" t="s">
        <v>457</v>
      </c>
      <c r="B41" s="12" t="s">
        <v>458</v>
      </c>
      <c r="C41" s="12" t="s">
        <v>10</v>
      </c>
      <c r="D41" s="12" t="s">
        <v>459</v>
      </c>
      <c r="E41" s="12" t="s">
        <v>460</v>
      </c>
      <c r="F41" s="12" t="s">
        <v>461</v>
      </c>
      <c r="G41" s="12" t="s">
        <v>462</v>
      </c>
      <c r="H41" s="12" t="s">
        <v>463</v>
      </c>
    </row>
    <row r="42" customFormat="false" ht="30" hidden="false" customHeight="true" outlineLevel="0" collapsed="false">
      <c r="A42" s="13" t="s">
        <v>464</v>
      </c>
      <c r="B42" s="25" t="n">
        <f aca="false">O9</f>
        <v>303.447269360269</v>
      </c>
      <c r="C42" s="26" t="n">
        <f aca="false">IF(($B$22)&gt;0,B42/($B$22),IF(B42&gt;0,9.99,0))</f>
        <v>0.965514038873584</v>
      </c>
      <c r="D42" s="34" t="n">
        <f aca="false">MIN($B$9,IF(B42&gt;0,$B$22/B42*$B$9,$B$9),MIN(B5,D30*1)+MIN(B6,D31*1)+MIN(B7,D32*1)+MIN(B8,D33*1))</f>
        <v>98.750308</v>
      </c>
      <c r="E42" s="25" t="n">
        <f aca="false">$B$9-D42</f>
        <v>1.249692</v>
      </c>
      <c r="F42" s="37" t="n">
        <f aca="false">Budget!$C$7*1</f>
        <v>193423.630576062</v>
      </c>
      <c r="G42" s="26" t="n">
        <f aca="false">IF(Budget!$C$7&gt;0,F42/Budget!$C$7-1,0)</f>
        <v>0</v>
      </c>
      <c r="H42" s="13" t="s">
        <v>465</v>
      </c>
    </row>
    <row r="43" customFormat="false" ht="30" hidden="false" customHeight="true" outlineLevel="0" collapsed="false">
      <c r="A43" s="13" t="s">
        <v>466</v>
      </c>
      <c r="B43" s="25" t="n">
        <f aca="false">O9/(1-$B$40)</f>
        <v>433.496099086099</v>
      </c>
      <c r="C43" s="26" t="n">
        <f aca="false">IF(($B$22)&gt;0,B43/($B$22),IF(B43&gt;0,9.99,0))</f>
        <v>1.37930576981941</v>
      </c>
      <c r="D43" s="34" t="n">
        <f aca="false">MIN($B$9,IF(B43&gt;0,$B$22/B43*$B$9,$B$9),MIN(B5,D30*(1-$B$40))+MIN(B6,D31*(1-$B$40))+MIN(B7,D32*(1-$B$40))+MIN(B8,D33*(1-$B$40)))</f>
        <v>72.5002404746651</v>
      </c>
      <c r="E43" s="25" t="n">
        <f aca="false">$B$9-D43</f>
        <v>27.4997595253349</v>
      </c>
      <c r="F43" s="37" t="n">
        <f aca="false">Budget!$C$7*1/(1-$B$40)</f>
        <v>276319.472251517</v>
      </c>
      <c r="G43" s="26" t="n">
        <f aca="false">IF(Budget!$C$7&gt;0,F43/Budget!$C$7-1,0)</f>
        <v>0.428571428571429</v>
      </c>
      <c r="H43" s="13" t="s">
        <v>467</v>
      </c>
    </row>
    <row r="44" customFormat="false" ht="30" hidden="false" customHeight="true" outlineLevel="0" collapsed="false">
      <c r="A44" s="13" t="s">
        <v>468</v>
      </c>
      <c r="B44" s="25" t="n">
        <f aca="false">O9/(1-$B$40)</f>
        <v>433.496099086099</v>
      </c>
      <c r="C44" s="26" t="n">
        <f aca="false">IF(($B$22)&gt;0,B44/($B$22),IF(B44&gt;0,9.99,0))</f>
        <v>1.37930576981941</v>
      </c>
      <c r="D44" s="34" t="n">
        <f aca="false">MIN($B$9,IF(B44&gt;0,$B$22/B44*$B$9,$B$9),MIN(B5,D30*(1-$B$40))+MIN(B6,D31*(1-$B$40))+MIN(B7,D32*(1-$B$40))+MIN(B8,D33*(1-$B$40)))</f>
        <v>72.5002404746651</v>
      </c>
      <c r="E44" s="25" t="n">
        <f aca="false">$B$9-D44</f>
        <v>27.4997595253349</v>
      </c>
      <c r="F44" s="37" t="n">
        <f aca="false">Budget!$C$7*1/(1-$B$40)</f>
        <v>276319.472251517</v>
      </c>
      <c r="G44" s="26" t="n">
        <f aca="false">IF(Budget!$C$7&gt;0,F44/Budget!$C$7-1,0)</f>
        <v>0.428571428571429</v>
      </c>
      <c r="H44" s="13" t="s">
        <v>469</v>
      </c>
    </row>
    <row r="45" customFormat="false" ht="30" hidden="false" customHeight="true" outlineLevel="0" collapsed="false">
      <c r="A45" s="13" t="s">
        <v>470</v>
      </c>
      <c r="B45" s="25" t="n">
        <f aca="false">O9</f>
        <v>303.447269360269</v>
      </c>
      <c r="C45" s="26" t="n">
        <f aca="false">IF(($B$22)&gt;0,B45/($B$22),IF(B45&gt;0,9.99,0))</f>
        <v>0.965514038873584</v>
      </c>
      <c r="D45" s="34" t="n">
        <f aca="false">MIN($B$9,IF(B45&gt;0,$B$22/B45*$B$9,$B$9),MIN(B5,D30*(1-$B$40))+MIN(B6,D31*(1-$B$40))+MIN(B7,D32*(1-$B$40))+MIN(B8,D33*(1-$B$40)))</f>
        <v>95.750881375</v>
      </c>
      <c r="E45" s="25" t="n">
        <f aca="false">$B$9-D45</f>
        <v>4.24911862499999</v>
      </c>
      <c r="F45" s="37" t="n">
        <f aca="false">Budget!$C$7*1/(1-$B$40)</f>
        <v>276319.472251517</v>
      </c>
      <c r="G45" s="26" t="n">
        <f aca="false">IF(Budget!$C$7&gt;0,F45/Budget!$C$7-1,0)</f>
        <v>0.428571428571429</v>
      </c>
      <c r="H45" s="13" t="s">
        <v>471</v>
      </c>
    </row>
    <row r="46" customFormat="false" ht="30" hidden="false" customHeight="true" outlineLevel="0" collapsed="false">
      <c r="A46" s="13" t="s">
        <v>472</v>
      </c>
      <c r="B46" s="25" t="n">
        <f aca="false">O9</f>
        <v>303.447269360269</v>
      </c>
      <c r="C46" s="26" t="n">
        <f aca="false">IF(($B$22)&gt;0,B46/($B$22),IF(B46&gt;0,9.99,0))</f>
        <v>0.965514038873584</v>
      </c>
      <c r="D46" s="34" t="n">
        <f aca="false">MIN($B$9,IF(B46&gt;0,$B$22/B46*$B$9,$B$9),MIN(B5,D30*1)+MIN(B6,D31*1)+MIN(B7,D32*1)+MIN(B8,D33*1))</f>
        <v>98.750308</v>
      </c>
      <c r="E46" s="25" t="n">
        <f aca="false">$B$9-D46</f>
        <v>1.249692</v>
      </c>
      <c r="F46" s="37" t="n">
        <f aca="false">Budget!$C$7*(1+$B$40)</f>
        <v>251450.71974888</v>
      </c>
      <c r="G46" s="26" t="n">
        <f aca="false">IF(Budget!$C$7&gt;0,F46/Budget!$C$7-1,0)</f>
        <v>0.3</v>
      </c>
      <c r="H46" s="13" t="s">
        <v>473</v>
      </c>
    </row>
    <row r="47" customFormat="false" ht="30" hidden="false" customHeight="true" outlineLevel="0" collapsed="false">
      <c r="A47" s="13" t="s">
        <v>474</v>
      </c>
      <c r="B47" s="25" t="n">
        <f aca="false">O9</f>
        <v>303.447269360269</v>
      </c>
      <c r="C47" s="26" t="n">
        <f aca="false">IF(($B$22*(1-$B$40))&gt;0,B47/($B$22*(1-$B$40)),IF(B47&gt;0,9.99,0))</f>
        <v>1.37930576981941</v>
      </c>
      <c r="D47" s="34" t="n">
        <f aca="false">MIN($B$9,IF(B47&gt;0,$B$22*(1-$B$40)/B47*$B$9,$B$9),MIN(B5,D30*1)+MIN(B6,D31*1)+MIN(B7,D32*1)+MIN(B8,D33*1))</f>
        <v>72.5002404746651</v>
      </c>
      <c r="E47" s="25" t="n">
        <f aca="false">$B$9-D47</f>
        <v>27.4997595253349</v>
      </c>
      <c r="F47" s="37" t="n">
        <f aca="false">Budget!$C$7*1</f>
        <v>193423.630576062</v>
      </c>
      <c r="G47" s="26" t="n">
        <f aca="false">IF(Budget!$C$7&gt;0,F47/Budget!$C$7-1,0)</f>
        <v>0</v>
      </c>
      <c r="H47" s="13" t="s">
        <v>475</v>
      </c>
    </row>
    <row r="49" customFormat="false" ht="15" hidden="false" customHeight="false" outlineLevel="0" collapsed="false">
      <c r="A49" s="24" t="s">
        <v>476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477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478</v>
      </c>
    </row>
    <row r="57" customFormat="false" ht="45" hidden="false" customHeight="true" outlineLevel="0" collapsed="false">
      <c r="A57" s="12" t="s">
        <v>283</v>
      </c>
      <c r="B57" s="12" t="s">
        <v>479</v>
      </c>
      <c r="C57" s="12" t="s">
        <v>480</v>
      </c>
      <c r="D57" s="12" t="s">
        <v>481</v>
      </c>
      <c r="E57" s="12" t="s">
        <v>482</v>
      </c>
      <c r="F57" s="12" t="s">
        <v>483</v>
      </c>
      <c r="G57" s="12" t="s">
        <v>484</v>
      </c>
      <c r="H57" s="12" t="s">
        <v>485</v>
      </c>
      <c r="I57" s="12" t="s">
        <v>486</v>
      </c>
      <c r="J57" s="12" t="s">
        <v>487</v>
      </c>
      <c r="K57" s="12" t="s">
        <v>488</v>
      </c>
    </row>
    <row r="58" customFormat="false" ht="15" hidden="false" customHeight="false" outlineLevel="0" collapsed="false">
      <c r="A58" s="24" t="s">
        <v>50</v>
      </c>
      <c r="B58" s="25" t="n">
        <f aca="false">Assumptions!$D$70</f>
        <v>6000</v>
      </c>
      <c r="C58" s="26" t="n">
        <f aca="false">Assumptions!$D$74</f>
        <v>0.05</v>
      </c>
      <c r="D58" s="25" t="n">
        <f aca="false">B58*C58</f>
        <v>300</v>
      </c>
      <c r="E58" s="25" t="n">
        <f aca="false">Assumptions!$D$78</f>
        <v>41</v>
      </c>
      <c r="F58" s="25" t="n">
        <f aca="false">D58+E58</f>
        <v>341</v>
      </c>
      <c r="G58" s="25" t="n">
        <f aca="false">Funnel!O5-SUMIFS(Channels!$V:$V,Channels!$A:$A,"I2-E",Channels!$C:$C,A58)</f>
        <v>66.5190952380953</v>
      </c>
      <c r="H58" s="26" t="n">
        <f aca="false">IF(F58&gt;0,G58/F58,0)</f>
        <v>0.195070660522273</v>
      </c>
      <c r="I58" s="25" t="n">
        <f aca="false">SUMIFS(Channels!$K:$K,Channels!$C:$C,A58)-SUMIFS(Channels!$K:$K,Channels!$A:$A,"I2-E",Channels!$C:$C,A58)</f>
        <v>125.1525</v>
      </c>
      <c r="J58" s="26" t="n">
        <f aca="false">IF(F58&gt;0,I58/F58,0)</f>
        <v>0.367016129032258</v>
      </c>
      <c r="K58" s="2" t="str">
        <f aca="false">IF(H58&gt;Assumptions!$D$103,"Very hard",IF(H58&gt;Assumptions!$D$104,"Tight","Comfortable"))</f>
        <v>Tight</v>
      </c>
    </row>
    <row r="59" customFormat="false" ht="15" hidden="false" customHeight="false" outlineLevel="0" collapsed="false">
      <c r="A59" s="24" t="s">
        <v>45</v>
      </c>
      <c r="B59" s="25" t="n">
        <f aca="false">Assumptions!$D$71</f>
        <v>26000</v>
      </c>
      <c r="C59" s="26" t="n">
        <f aca="false">Assumptions!$D$75</f>
        <v>0.05</v>
      </c>
      <c r="D59" s="25" t="n">
        <f aca="false">B59*C59</f>
        <v>1300</v>
      </c>
      <c r="E59" s="25" t="n">
        <f aca="false">Assumptions!$D$79</f>
        <v>28</v>
      </c>
      <c r="F59" s="25" t="n">
        <f aca="false">D59+E59</f>
        <v>1328</v>
      </c>
      <c r="G59" s="25" t="n">
        <f aca="false">Funnel!O6-SUMIFS(Channels!$V:$V,Channels!$A:$A,"I2-E",Channels!$C:$C,A59)</f>
        <v>118.638121212121</v>
      </c>
      <c r="H59" s="26" t="n">
        <f aca="false">IF(F59&gt;0,G59/F59,0)</f>
        <v>0.0893359346476816</v>
      </c>
      <c r="I59" s="25" t="n">
        <f aca="false">SUMIFS(Channels!$K:$K,Channels!$C:$C,A59)-SUMIFS(Channels!$K:$K,Channels!$A:$A,"I2-E",Channels!$C:$C,A59)</f>
        <v>252.0116</v>
      </c>
      <c r="J59" s="26" t="n">
        <f aca="false">IF(F59&gt;0,I59/F59,0)</f>
        <v>0.189767771084337</v>
      </c>
      <c r="K59" s="2" t="str">
        <f aca="false">IF(H59&gt;Assumptions!$D$103,"Very hard",IF(H59&gt;Assumptions!$D$104,"Tight","Comfortable"))</f>
        <v>Comfortable</v>
      </c>
    </row>
    <row r="60" customFormat="false" ht="15" hidden="false" customHeight="false" outlineLevel="0" collapsed="false">
      <c r="A60" s="24" t="s">
        <v>55</v>
      </c>
      <c r="B60" s="25" t="n">
        <f aca="false">Assumptions!$D$72</f>
        <v>2200</v>
      </c>
      <c r="C60" s="26" t="n">
        <f aca="false">Assumptions!$D$76</f>
        <v>0.05</v>
      </c>
      <c r="D60" s="25" t="n">
        <f aca="false">B60*C60</f>
        <v>110</v>
      </c>
      <c r="E60" s="25" t="n">
        <f aca="false">Assumptions!$D$80</f>
        <v>16</v>
      </c>
      <c r="F60" s="25" t="n">
        <f aca="false">D60+E60</f>
        <v>126</v>
      </c>
      <c r="G60" s="25" t="n">
        <f aca="false">Funnel!O7-SUMIFS(Channels!$V:$V,Channels!$A:$A,"I2-E",Channels!$C:$C,A60)</f>
        <v>52.0550529100529</v>
      </c>
      <c r="H60" s="26" t="n">
        <f aca="false">IF(F60&gt;0,G60/F60,0)</f>
        <v>0.413135340555976</v>
      </c>
      <c r="I60" s="25" t="n">
        <f aca="false">SUMIFS(Channels!$K:$K,Channels!$C:$C,A60)-SUMIFS(Channels!$K:$K,Channels!$A:$A,"I2-E",Channels!$C:$C,A60)</f>
        <v>72.8445</v>
      </c>
      <c r="J60" s="26" t="n">
        <f aca="false">IF(F60&gt;0,I60/F60,0)</f>
        <v>0.578130952380952</v>
      </c>
      <c r="K60" s="2" t="str">
        <f aca="false">IF(H60&gt;Assumptions!$D$103,"Very hard",IF(H60&gt;Assumptions!$D$104,"Tight","Comfortable"))</f>
        <v>Very hard</v>
      </c>
    </row>
    <row r="61" customFormat="false" ht="15" hidden="false" customHeight="false" outlineLevel="0" collapsed="false">
      <c r="A61" s="24" t="s">
        <v>57</v>
      </c>
      <c r="B61" s="25" t="n">
        <f aca="false">Assumptions!$D$73</f>
        <v>2200</v>
      </c>
      <c r="C61" s="26" t="n">
        <f aca="false">Assumptions!$D$77</f>
        <v>0.05</v>
      </c>
      <c r="D61" s="25" t="n">
        <f aca="false">B61*C61</f>
        <v>110</v>
      </c>
      <c r="E61" s="25" t="n">
        <f aca="false">Assumptions!$D$81</f>
        <v>4</v>
      </c>
      <c r="F61" s="25" t="n">
        <f aca="false">D61+E61</f>
        <v>114</v>
      </c>
      <c r="G61" s="25" t="n">
        <f aca="false">Funnel!O8-SUMIFS(Channels!$V:$V,Channels!$A:$A,"I2-E",Channels!$C:$C,A61)</f>
        <v>36.235</v>
      </c>
      <c r="H61" s="26" t="n">
        <f aca="false">IF(F61&gt;0,G61/F61,0)</f>
        <v>0.317850877192982</v>
      </c>
      <c r="I61" s="25" t="n">
        <f aca="false">SUMIFS(Channels!$K:$K,Channels!$C:$C,A61)-SUMIFS(Channels!$K:$K,Channels!$A:$A,"I2-E",Channels!$C:$C,A61)</f>
        <v>36.235</v>
      </c>
      <c r="J61" s="26" t="n">
        <f aca="false">IF(F61&gt;0,I61/F61,0)</f>
        <v>0.317850877192982</v>
      </c>
      <c r="K61" s="2" t="str">
        <f aca="false">IF(H61&gt;Assumptions!$D$103,"Very hard",IF(H61&gt;Assumptions!$D$104,"Tight","Comfortable"))</f>
        <v>Very hard</v>
      </c>
    </row>
    <row r="63" customFormat="false" ht="15" hidden="false" customHeight="true" outlineLevel="0" collapsed="false">
      <c r="A63" s="9" t="s">
        <v>489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490</v>
      </c>
    </row>
    <row r="3" customFormat="false" ht="15" hidden="false" customHeight="false" outlineLevel="0" collapsed="false">
      <c r="A3" s="24" t="s">
        <v>491</v>
      </c>
    </row>
    <row r="4" customFormat="false" ht="15" hidden="false" customHeight="false" outlineLevel="0" collapsed="false">
      <c r="A4" s="12" t="s">
        <v>492</v>
      </c>
      <c r="B4" s="12" t="s">
        <v>50</v>
      </c>
      <c r="C4" s="12" t="s">
        <v>45</v>
      </c>
      <c r="D4" s="12" t="s">
        <v>55</v>
      </c>
      <c r="E4" s="12" t="s">
        <v>57</v>
      </c>
      <c r="F4" s="12" t="s">
        <v>426</v>
      </c>
    </row>
    <row r="5" customFormat="false" ht="15" hidden="false" customHeight="false" outlineLevel="0" collapsed="false">
      <c r="A5" s="2" t="s">
        <v>493</v>
      </c>
      <c r="B5" s="25" t="n">
        <f aca="false">Assumptions!$D$135</f>
        <v>41</v>
      </c>
      <c r="C5" s="25" t="n">
        <f aca="false">Assumptions!$D$136</f>
        <v>61</v>
      </c>
      <c r="D5" s="25" t="n">
        <f aca="false">Assumptions!$D$137</f>
        <v>20</v>
      </c>
      <c r="E5" s="25" t="n">
        <f aca="false">Assumptions!$D$138</f>
        <v>14</v>
      </c>
      <c r="F5" s="29" t="n">
        <f aca="false">SUM(B5:E5)</f>
        <v>136</v>
      </c>
    </row>
    <row r="6" customFormat="false" ht="15" hidden="false" customHeight="false" outlineLevel="0" collapsed="false">
      <c r="A6" s="2" t="s">
        <v>494</v>
      </c>
      <c r="B6" s="26" t="n">
        <f aca="false">Assumptions!$D$139</f>
        <v>0.12</v>
      </c>
      <c r="C6" s="26" t="n">
        <f aca="false">Assumptions!$D$139</f>
        <v>0.12</v>
      </c>
      <c r="D6" s="26" t="n">
        <f aca="false">Assumptions!$D$139</f>
        <v>0.12</v>
      </c>
      <c r="E6" s="26" t="n">
        <f aca="false">Assumptions!$D$139</f>
        <v>0.12</v>
      </c>
    </row>
    <row r="7" customFormat="false" ht="15" hidden="false" customHeight="false" outlineLevel="0" collapsed="false">
      <c r="A7" s="2" t="s">
        <v>495</v>
      </c>
      <c r="B7" s="28" t="n">
        <f aca="false">B5*B6</f>
        <v>4.92</v>
      </c>
      <c r="C7" s="28" t="n">
        <f aca="false">C5*C6</f>
        <v>7.32</v>
      </c>
      <c r="D7" s="28" t="n">
        <f aca="false">D5*D6</f>
        <v>2.4</v>
      </c>
      <c r="E7" s="28" t="n">
        <f aca="false">E5*E6</f>
        <v>1.68</v>
      </c>
      <c r="F7" s="31" t="n">
        <f aca="false">SUM(B7:E7)</f>
        <v>16.32</v>
      </c>
    </row>
    <row r="8" customFormat="false" ht="15" hidden="false" customHeight="false" outlineLevel="0" collapsed="false">
      <c r="A8" s="2" t="s">
        <v>496</v>
      </c>
      <c r="B8" s="26" t="n">
        <f aca="false">Assumptions!$D$140</f>
        <v>0.5</v>
      </c>
      <c r="C8" s="26" t="n">
        <f aca="false">Assumptions!$D$140</f>
        <v>0.5</v>
      </c>
      <c r="D8" s="26" t="n">
        <f aca="false">Assumptions!$D$140</f>
        <v>0.5</v>
      </c>
      <c r="E8" s="26" t="n">
        <f aca="false">Assumptions!$D$140</f>
        <v>0.5</v>
      </c>
    </row>
    <row r="9" customFormat="false" ht="15" hidden="false" customHeight="false" outlineLevel="0" collapsed="false">
      <c r="A9" s="2" t="s">
        <v>497</v>
      </c>
      <c r="B9" s="27" t="n">
        <f aca="false">Funnel!$G$5*Assumptions!$D$148</f>
        <v>0.36225</v>
      </c>
      <c r="C9" s="27" t="n">
        <f aca="false">Funnel!$G$6*Assumptions!$D$148</f>
        <v>0.4269375</v>
      </c>
      <c r="D9" s="27" t="n">
        <f aca="false">Funnel!$G$7*Assumptions!$D$148</f>
        <v>0.326025</v>
      </c>
      <c r="E9" s="27" t="n">
        <f aca="false">Funnel!$G$8*Assumptions!$D$148</f>
        <v>0.2737</v>
      </c>
    </row>
    <row r="10" customFormat="false" ht="15" hidden="false" customHeight="false" outlineLevel="0" collapsed="false">
      <c r="A10" s="2" t="s">
        <v>498</v>
      </c>
      <c r="B10" s="37" t="n">
        <f aca="false">B5*Assumptions!$D$146</f>
        <v>12.3</v>
      </c>
      <c r="C10" s="37" t="n">
        <f aca="false">C5*Assumptions!$D$146</f>
        <v>18.3</v>
      </c>
      <c r="D10" s="37" t="n">
        <f aca="false">D5*Assumptions!$D$146</f>
        <v>6</v>
      </c>
      <c r="E10" s="37" t="n">
        <f aca="false">E5*Assumptions!$D$146</f>
        <v>4.2</v>
      </c>
      <c r="F10" s="38" t="n">
        <f aca="false">SUM(B10:E10)</f>
        <v>40.8</v>
      </c>
    </row>
    <row r="11" customFormat="false" ht="26.85" hidden="false" customHeight="false" outlineLevel="0" collapsed="false">
      <c r="A11" s="2" t="s">
        <v>499</v>
      </c>
      <c r="B11" s="39" t="n">
        <f aca="false">IF(B7&gt;0,B10/B7,0)</f>
        <v>2.5</v>
      </c>
      <c r="C11" s="39" t="n">
        <f aca="false">IF(C7&gt;0,C10/C7,0)</f>
        <v>2.5</v>
      </c>
      <c r="D11" s="39" t="n">
        <f aca="false">IF(D7&gt;0,D10/D7,0)</f>
        <v>2.5</v>
      </c>
      <c r="E11" s="39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500</v>
      </c>
      <c r="B12" s="28" t="n">
        <f aca="false">B7*B8*B9</f>
        <v>0.891135</v>
      </c>
      <c r="C12" s="28" t="n">
        <f aca="false">C7*C8*C9</f>
        <v>1.56259125</v>
      </c>
      <c r="D12" s="28" t="n">
        <f aca="false">D7*D8*D9</f>
        <v>0.39123</v>
      </c>
      <c r="E12" s="28" t="n">
        <f aca="false">E7*E8*E9</f>
        <v>0.229908</v>
      </c>
      <c r="F12" s="31" t="n">
        <f aca="false">SUM(B12:E12)</f>
        <v>3.07486425</v>
      </c>
    </row>
    <row r="13" customFormat="false" ht="15" hidden="false" customHeight="false" outlineLevel="0" collapsed="false">
      <c r="A13" s="2" t="s">
        <v>501</v>
      </c>
      <c r="B13" s="28" t="n">
        <f aca="false">Assumptions!$D$141</f>
        <v>20</v>
      </c>
      <c r="C13" s="28" t="n">
        <f aca="false">Assumptions!$D$142</f>
        <v>30</v>
      </c>
      <c r="D13" s="28" t="n">
        <f aca="false">Assumptions!$D$143</f>
        <v>10</v>
      </c>
      <c r="E13" s="28" t="n">
        <f aca="false">Assumptions!$D$144</f>
        <v>6</v>
      </c>
      <c r="F13" s="31" t="n">
        <f aca="false">SUM(B13:E13)</f>
        <v>66</v>
      </c>
    </row>
    <row r="14" customFormat="false" ht="15" hidden="false" customHeight="false" outlineLevel="0" collapsed="false">
      <c r="A14" s="2" t="s">
        <v>502</v>
      </c>
      <c r="B14" s="26" t="n">
        <f aca="false">Assumptions!$D$145</f>
        <v>0.45</v>
      </c>
      <c r="C14" s="26" t="n">
        <f aca="false">Assumptions!$D$145</f>
        <v>0.45</v>
      </c>
      <c r="D14" s="26" t="n">
        <f aca="false">Assumptions!$D$145</f>
        <v>0.45</v>
      </c>
      <c r="E14" s="26" t="n">
        <f aca="false">Assumptions!$D$145</f>
        <v>0.45</v>
      </c>
    </row>
    <row r="15" customFormat="false" ht="15" hidden="false" customHeight="false" outlineLevel="0" collapsed="false">
      <c r="A15" s="2" t="s">
        <v>503</v>
      </c>
      <c r="B15" s="28" t="n">
        <f aca="false">B13*B14*B9</f>
        <v>3.26025</v>
      </c>
      <c r="C15" s="28" t="n">
        <f aca="false">C13*C14*C9</f>
        <v>5.76365625</v>
      </c>
      <c r="D15" s="28" t="n">
        <f aca="false">D13*D14*D9</f>
        <v>1.4671125</v>
      </c>
      <c r="E15" s="28" t="n">
        <f aca="false">E13*E14*E9</f>
        <v>0.73899</v>
      </c>
      <c r="F15" s="31" t="n">
        <f aca="false">SUM(B15:E15)</f>
        <v>11.23000875</v>
      </c>
    </row>
    <row r="16" customFormat="false" ht="15" hidden="false" customHeight="false" outlineLevel="0" collapsed="false">
      <c r="A16" s="2" t="s">
        <v>504</v>
      </c>
      <c r="B16" s="37" t="n">
        <f aca="false">B15*Assumptions!$D$147</f>
        <v>3260.25</v>
      </c>
      <c r="C16" s="37" t="n">
        <f aca="false">C15*Assumptions!$D$147</f>
        <v>5763.65625</v>
      </c>
      <c r="D16" s="37" t="n">
        <f aca="false">D15*Assumptions!$D$147</f>
        <v>1467.1125</v>
      </c>
      <c r="E16" s="37" t="n">
        <f aca="false">E15*Assumptions!$D$147</f>
        <v>738.99</v>
      </c>
      <c r="F16" s="38" t="n">
        <f aca="false">SUM(B16:E16)</f>
        <v>11230.00875</v>
      </c>
    </row>
    <row r="17" customFormat="false" ht="26.85" hidden="false" customHeight="false" outlineLevel="0" collapsed="false">
      <c r="A17" s="2" t="s">
        <v>505</v>
      </c>
      <c r="B17" s="39" t="n">
        <f aca="false">IF(B13&gt;0,B16/B13,0)</f>
        <v>163.0125</v>
      </c>
      <c r="C17" s="39" t="n">
        <f aca="false">IF(C13&gt;0,C16/C13,0)</f>
        <v>192.121875</v>
      </c>
      <c r="D17" s="39" t="n">
        <f aca="false">IF(D13&gt;0,D16/D13,0)</f>
        <v>146.71125</v>
      </c>
      <c r="E17" s="39" t="n">
        <f aca="false">IF(E13&gt;0,E16/E13,0)</f>
        <v>123.165</v>
      </c>
      <c r="G17" s="13" t="s">
        <v>506</v>
      </c>
    </row>
    <row r="18" customFormat="false" ht="15" hidden="false" customHeight="false" outlineLevel="0" collapsed="false">
      <c r="A18" s="2" t="s">
        <v>507</v>
      </c>
      <c r="B18" s="28" t="n">
        <f aca="false">B12+B15</f>
        <v>4.151385</v>
      </c>
      <c r="C18" s="28" t="n">
        <f aca="false">C12+C15</f>
        <v>7.3262475</v>
      </c>
      <c r="D18" s="28" t="n">
        <f aca="false">D12+D15</f>
        <v>1.8583425</v>
      </c>
      <c r="E18" s="28" t="n">
        <f aca="false">E12+E15</f>
        <v>0.968898</v>
      </c>
      <c r="F18" s="31" t="n">
        <f aca="false">SUM(B18:E18)</f>
        <v>14.304873</v>
      </c>
    </row>
    <row r="19" customFormat="false" ht="15" hidden="false" customHeight="false" outlineLevel="0" collapsed="false">
      <c r="A19" s="2" t="s">
        <v>508</v>
      </c>
      <c r="B19" s="37" t="n">
        <f aca="false">B10+B16</f>
        <v>3272.55</v>
      </c>
      <c r="C19" s="37" t="n">
        <f aca="false">C10+C16</f>
        <v>5781.95625</v>
      </c>
      <c r="D19" s="37" t="n">
        <f aca="false">D10+D16</f>
        <v>1473.1125</v>
      </c>
      <c r="E19" s="37" t="n">
        <f aca="false">E10+E16</f>
        <v>743.19</v>
      </c>
      <c r="F19" s="38" t="n">
        <f aca="false">SUM(B19:E19)</f>
        <v>11270.80875</v>
      </c>
    </row>
    <row r="20" customFormat="false" ht="15" hidden="false" customHeight="false" outlineLevel="0" collapsed="false">
      <c r="A20" s="2" t="s">
        <v>509</v>
      </c>
      <c r="B20" s="37" t="n">
        <f aca="false">IF(B18&gt;0,B19/B18,0)</f>
        <v>788.303180745703</v>
      </c>
      <c r="C20" s="37" t="n">
        <f aca="false">IF(C18&gt;0,C19/C18,0)</f>
        <v>789.211154823803</v>
      </c>
      <c r="D20" s="37" t="n">
        <f aca="false">IF(D18&gt;0,D19/D18,0)</f>
        <v>792.702367835854</v>
      </c>
      <c r="E20" s="37" t="n">
        <f aca="false">IF(E18&gt;0,E19/E18,0)</f>
        <v>767.04668602887</v>
      </c>
      <c r="F20" s="38" t="n">
        <f aca="false">IF(F18&gt;0,F19/F18,0)</f>
        <v>787.89995199538</v>
      </c>
    </row>
    <row r="23" customFormat="false" ht="15" hidden="false" customHeight="false" outlineLevel="0" collapsed="false">
      <c r="A23" s="24" t="s">
        <v>510</v>
      </c>
    </row>
    <row r="24" customFormat="false" ht="15" hidden="false" customHeight="false" outlineLevel="0" collapsed="false">
      <c r="A24" s="2" t="s">
        <v>511</v>
      </c>
      <c r="B24" s="25" t="n">
        <f aca="false">Assumptions!$D$149</f>
        <v>10000</v>
      </c>
    </row>
    <row r="25" customFormat="false" ht="15" hidden="false" customHeight="false" outlineLevel="0" collapsed="false">
      <c r="A25" s="2" t="s">
        <v>512</v>
      </c>
      <c r="B25" s="27" t="n">
        <f aca="false">Assumptions!$D$150</f>
        <v>0.02</v>
      </c>
    </row>
    <row r="26" customFormat="false" ht="15" hidden="false" customHeight="false" outlineLevel="0" collapsed="false">
      <c r="A26" s="2" t="s">
        <v>513</v>
      </c>
      <c r="B26" s="25" t="n">
        <f aca="false">B24*B25</f>
        <v>200</v>
      </c>
    </row>
    <row r="27" customFormat="false" ht="15" hidden="false" customHeight="false" outlineLevel="0" collapsed="false">
      <c r="A27" s="2" t="s">
        <v>514</v>
      </c>
      <c r="B27" s="37" t="n">
        <f aca="false">Assumptions!$D$151</f>
        <v>84</v>
      </c>
    </row>
    <row r="28" customFormat="false" ht="15" hidden="false" customHeight="false" outlineLevel="0" collapsed="false">
      <c r="A28" s="2" t="s">
        <v>515</v>
      </c>
      <c r="B28" s="26" t="n">
        <f aca="false">Assumptions!$D$152</f>
        <v>0.15</v>
      </c>
    </row>
    <row r="29" customFormat="false" ht="15" hidden="false" customHeight="false" outlineLevel="0" collapsed="false">
      <c r="A29" s="2" t="s">
        <v>516</v>
      </c>
      <c r="B29" s="28" t="n">
        <f aca="false">B26*B28</f>
        <v>30</v>
      </c>
    </row>
    <row r="30" customFormat="false" ht="15" hidden="false" customHeight="false" outlineLevel="0" collapsed="false">
      <c r="A30" s="2" t="s">
        <v>517</v>
      </c>
      <c r="B30" s="27" t="n">
        <f aca="false">Funnel!$G$5*Assumptions!$D$153</f>
        <v>0.2835</v>
      </c>
    </row>
    <row r="31" customFormat="false" ht="15" hidden="false" customHeight="false" outlineLevel="0" collapsed="false">
      <c r="A31" s="2" t="s">
        <v>518</v>
      </c>
      <c r="B31" s="28" t="n">
        <f aca="false">B29*B30</f>
        <v>8.505</v>
      </c>
    </row>
    <row r="32" customFormat="false" ht="15" hidden="false" customHeight="false" outlineLevel="0" collapsed="false">
      <c r="A32" s="2" t="s">
        <v>519</v>
      </c>
      <c r="B32" s="37" t="n">
        <f aca="false">B26*B27</f>
        <v>16800</v>
      </c>
    </row>
    <row r="33" customFormat="false" ht="15" hidden="false" customHeight="false" outlineLevel="0" collapsed="false">
      <c r="A33" s="2" t="s">
        <v>520</v>
      </c>
      <c r="B33" s="37" t="n">
        <f aca="false">Assumptions!$D$154</f>
        <v>1200</v>
      </c>
    </row>
    <row r="34" customFormat="false" ht="15" hidden="false" customHeight="false" outlineLevel="0" collapsed="false">
      <c r="A34" s="2" t="s">
        <v>521</v>
      </c>
      <c r="B34" s="37" t="n">
        <f aca="false">IF(B31&gt;0,(B32+B33)/B31,0)</f>
        <v>2116.40211640212</v>
      </c>
    </row>
    <row r="37" customFormat="false" ht="15" hidden="false" customHeight="false" outlineLevel="0" collapsed="false">
      <c r="A37" s="24" t="s">
        <v>522</v>
      </c>
    </row>
    <row r="38" customFormat="false" ht="15" hidden="false" customHeight="false" outlineLevel="0" collapsed="false">
      <c r="A38" s="2" t="s">
        <v>523</v>
      </c>
      <c r="B38" s="39" t="n">
        <f aca="false">B44+B45</f>
        <v>18.75</v>
      </c>
    </row>
    <row r="39" customFormat="false" ht="15" hidden="false" customHeight="false" outlineLevel="0" collapsed="false">
      <c r="A39" s="2" t="s">
        <v>524</v>
      </c>
      <c r="B39" s="26" t="n">
        <f aca="false">Assumptions!$D$156</f>
        <v>0.14</v>
      </c>
    </row>
    <row r="40" customFormat="false" ht="15" hidden="false" customHeight="false" outlineLevel="0" collapsed="false">
      <c r="A40" s="2" t="s">
        <v>513</v>
      </c>
      <c r="B40" s="25" t="n">
        <f aca="false">Assumptions!$D$157</f>
        <v>350</v>
      </c>
    </row>
    <row r="41" customFormat="false" ht="15" hidden="false" customHeight="false" outlineLevel="0" collapsed="false">
      <c r="A41" s="2" t="s">
        <v>525</v>
      </c>
      <c r="B41" s="27" t="n">
        <f aca="false">Funnel!$G$6*Assumptions!$D$158</f>
        <v>0.37125</v>
      </c>
    </row>
    <row r="42" customFormat="false" ht="15" hidden="false" customHeight="false" outlineLevel="0" collapsed="false">
      <c r="A42" s="2" t="s">
        <v>526</v>
      </c>
      <c r="B42" s="28" t="n">
        <f aca="false">Assumptions!$D$10*Assumptions!$D$12</f>
        <v>18</v>
      </c>
    </row>
    <row r="43" customFormat="false" ht="15" hidden="false" customHeight="false" outlineLevel="0" collapsed="false">
      <c r="A43" s="2" t="s">
        <v>527</v>
      </c>
      <c r="B43" s="28" t="n">
        <f aca="false">MIN(B40*B39*B41,B42)</f>
        <v>18</v>
      </c>
    </row>
    <row r="44" customFormat="false" ht="15" hidden="false" customHeight="false" outlineLevel="0" collapsed="false">
      <c r="A44" s="2" t="s">
        <v>528</v>
      </c>
      <c r="B44" s="39" t="n">
        <f aca="false">Assumptions!$D$155</f>
        <v>14</v>
      </c>
    </row>
    <row r="45" customFormat="false" ht="15" hidden="false" customHeight="false" outlineLevel="0" collapsed="false">
      <c r="A45" s="2" t="s">
        <v>529</v>
      </c>
      <c r="B45" s="39" t="n">
        <f aca="false">Assumptions!$D$159/60*Assumptions!$D$160</f>
        <v>4.75</v>
      </c>
    </row>
    <row r="46" customFormat="false" ht="15" hidden="false" customHeight="false" outlineLevel="0" collapsed="false">
      <c r="A46" s="2" t="s">
        <v>530</v>
      </c>
      <c r="B46" s="37" t="n">
        <f aca="false">Assumptions!$D$161</f>
        <v>400</v>
      </c>
    </row>
    <row r="47" customFormat="false" ht="15" hidden="false" customHeight="false" outlineLevel="0" collapsed="false">
      <c r="A47" s="2" t="s">
        <v>531</v>
      </c>
      <c r="B47" s="25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532</v>
      </c>
      <c r="B48" s="37" t="n">
        <f aca="false">IF(B43&gt;0,(B47*B38+B46)/B43,0)</f>
        <v>382.972582972583</v>
      </c>
    </row>
    <row r="51" customFormat="false" ht="15" hidden="false" customHeight="false" outlineLevel="0" collapsed="false">
      <c r="A51" s="24" t="s">
        <v>533</v>
      </c>
    </row>
    <row r="52" customFormat="false" ht="60" hidden="false" customHeight="true" outlineLevel="0" collapsed="false">
      <c r="A52" s="12" t="s">
        <v>534</v>
      </c>
      <c r="B52" s="12" t="s">
        <v>535</v>
      </c>
      <c r="C52" s="12" t="s">
        <v>536</v>
      </c>
      <c r="D52" s="12" t="s">
        <v>537</v>
      </c>
      <c r="E52" s="12" t="s">
        <v>538</v>
      </c>
      <c r="F52" s="12" t="s">
        <v>539</v>
      </c>
      <c r="G52" s="12" t="s">
        <v>540</v>
      </c>
      <c r="H52" s="12" t="s">
        <v>541</v>
      </c>
      <c r="I52" s="12" t="s">
        <v>542</v>
      </c>
      <c r="J52" s="12" t="s">
        <v>543</v>
      </c>
      <c r="K52" s="12" t="s">
        <v>544</v>
      </c>
    </row>
    <row r="53" customFormat="false" ht="48" hidden="false" customHeight="true" outlineLevel="0" collapsed="false">
      <c r="A53" s="24" t="s">
        <v>545</v>
      </c>
      <c r="B53" s="13" t="s">
        <v>546</v>
      </c>
      <c r="C53" s="26" t="n">
        <f aca="false">(Assumptions!$D$97+Assumptions!$D$98)</f>
        <v>0.89</v>
      </c>
      <c r="D53" s="37" t="n">
        <f aca="false">F10</f>
        <v>40.8</v>
      </c>
      <c r="E53" s="28" t="n">
        <f aca="false">(SUMIFS(Channels!$V:$V,Channels!$A:$A,"I1a-E")+SUMIFS(Channels!$V:$V,Channels!$A:$A,"I1a-M")+SUMIFS(Channels!$V:$V,Channels!$A:$A,"I1a-A")+SUMIFS(Channels!$V:$V,Channels!$A:$A,"I1a-S"))*(Assumptions!$D$97+Assumptions!$D$98)+(SUMIFS(Channels!$V:$V,Channels!$A:$A,"I1b-E")+SUMIFS(Channels!$V:$V,Channels!$A:$A,"I1b-M")+SUMIFS(Channels!$V:$V,Channels!$A:$A,"I1b-A")+SUMIFS(Channels!$V:$V,Channels!$A:$A,"I1b-S"))*(Weekly!$D$4+Weekly!$D$5)</f>
        <v>12.6084</v>
      </c>
      <c r="F53" s="2" t="s">
        <v>547</v>
      </c>
      <c r="G53" s="25" t="n">
        <f aca="false">MAX(1,ROUNDDOWN(E53*Assumptions!$D$93,0))</f>
        <v>7</v>
      </c>
      <c r="H53" s="2" t="s">
        <v>548</v>
      </c>
      <c r="I53" s="25" t="n">
        <f aca="false">MIN(G53,MAX(1,ROUNDUP(E53*Assumptions!$D$95,0)))</f>
        <v>4</v>
      </c>
      <c r="J53" s="2" t="s">
        <v>548</v>
      </c>
      <c r="K53" s="13" t="s">
        <v>549</v>
      </c>
    </row>
    <row r="54" customFormat="false" ht="48" hidden="false" customHeight="true" outlineLevel="0" collapsed="false">
      <c r="A54" s="24" t="s">
        <v>550</v>
      </c>
      <c r="B54" s="13" t="s">
        <v>551</v>
      </c>
      <c r="C54" s="26" t="n">
        <f aca="false">(Weekly!$D$4*4/7+Weekly!$D$5+Weekly!$D$6*3/7)</f>
        <v>0.218571428571429</v>
      </c>
      <c r="D54" s="37" t="n">
        <f aca="false">B33+SUMIFS(Channels!$X:$X,Channels!$A:$A,"I2-E")*C54</f>
        <v>4872</v>
      </c>
      <c r="E54" s="28" t="n">
        <f aca="false">SUMIFS(Channels!$V:$V,Channels!$A:$A,"I2-E")*C54</f>
        <v>6.55714285714286</v>
      </c>
      <c r="F54" s="37" t="n">
        <f aca="false">IF(B28&gt;0,B27/B28,0)</f>
        <v>560</v>
      </c>
      <c r="G54" s="25" t="n">
        <f aca="false">MAX(1,ROUNDDOWN(E54*Assumptions!$D$93,0))</f>
        <v>3</v>
      </c>
      <c r="H54" s="37" t="n">
        <f aca="false">ROUND(F54*Assumptions!$D$94/10,0)*10</f>
        <v>700</v>
      </c>
      <c r="I54" s="25" t="n">
        <f aca="false">MIN(G54,MAX(1,ROUNDUP(E54*Assumptions!$D$95,0)))</f>
        <v>2</v>
      </c>
      <c r="J54" s="37" t="n">
        <f aca="false">MAX(H54,ROUND(F54*Assumptions!$D$96/10,0)*10)</f>
        <v>840</v>
      </c>
      <c r="K54" s="13" t="s">
        <v>552</v>
      </c>
    </row>
    <row r="55" customFormat="false" ht="48" hidden="false" customHeight="true" outlineLevel="0" collapsed="false">
      <c r="A55" s="24" t="s">
        <v>553</v>
      </c>
      <c r="B55" s="13" t="s">
        <v>554</v>
      </c>
      <c r="C55" s="26" t="n">
        <f aca="false">(Weekly!$D$5+Weekly!$D$6)</f>
        <v>0.27</v>
      </c>
      <c r="D55" s="37" t="n">
        <f aca="false">B46+SUMIFS(Channels!$X:$X,Channels!$A:$A,"I3-M")*C55</f>
        <v>2153.24675324675</v>
      </c>
      <c r="E55" s="28" t="n">
        <f aca="false">SUMIFS(Channels!$V:$V,Channels!$A:$A,"I3-M")*C55</f>
        <v>13.0909090909091</v>
      </c>
      <c r="F55" s="37" t="n">
        <f aca="false">IF(B39&gt;0,B38/B39,0)</f>
        <v>133.928571428571</v>
      </c>
      <c r="G55" s="25" t="n">
        <f aca="false">MAX(1,ROUNDDOWN(E55*Assumptions!$D$93,0))</f>
        <v>7</v>
      </c>
      <c r="H55" s="37" t="n">
        <f aca="false">ROUND(F55*Assumptions!$D$94/10,0)*10</f>
        <v>170</v>
      </c>
      <c r="I55" s="25" t="n">
        <f aca="false">MIN(G55,MAX(1,ROUNDUP(E55*Assumptions!$D$95,0)))</f>
        <v>4</v>
      </c>
      <c r="J55" s="37" t="n">
        <f aca="false">MAX(H55,ROUND(F55*Assumptions!$D$96/10,0)*10)</f>
        <v>200</v>
      </c>
      <c r="K55" s="13" t="s">
        <v>555</v>
      </c>
    </row>
    <row r="57" customFormat="false" ht="15" hidden="false" customHeight="false" outlineLevel="0" collapsed="false">
      <c r="A57" s="2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557</v>
      </c>
    </row>
    <row r="2" customFormat="false" ht="15" hidden="false" customHeight="false" outlineLevel="0" collapsed="false">
      <c r="A2" s="2" t="s">
        <v>558</v>
      </c>
    </row>
    <row r="3" customFormat="false" ht="15" hidden="false" customHeight="false" outlineLevel="0" collapsed="false">
      <c r="A3" s="2" t="s">
        <v>559</v>
      </c>
    </row>
    <row r="4" customFormat="false" ht="60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560</v>
      </c>
      <c r="E4" s="12" t="s">
        <v>284</v>
      </c>
      <c r="F4" s="12" t="s">
        <v>561</v>
      </c>
      <c r="G4" s="12" t="s">
        <v>562</v>
      </c>
      <c r="H4" s="12" t="s">
        <v>514</v>
      </c>
      <c r="I4" s="12" t="s">
        <v>287</v>
      </c>
      <c r="J4" s="12" t="s">
        <v>513</v>
      </c>
      <c r="K4" s="12" t="s">
        <v>563</v>
      </c>
      <c r="L4" s="12" t="s">
        <v>416</v>
      </c>
      <c r="M4" s="12" t="s">
        <v>564</v>
      </c>
      <c r="N4" s="12" t="s">
        <v>565</v>
      </c>
      <c r="O4" s="12" t="s">
        <v>566</v>
      </c>
      <c r="P4" s="12" t="s">
        <v>567</v>
      </c>
      <c r="Q4" s="12" t="s">
        <v>568</v>
      </c>
      <c r="R4" s="12" t="s">
        <v>569</v>
      </c>
      <c r="S4" s="12" t="s">
        <v>570</v>
      </c>
      <c r="T4" s="12" t="s">
        <v>571</v>
      </c>
      <c r="U4" s="12" t="s">
        <v>572</v>
      </c>
      <c r="V4" s="12" t="s">
        <v>573</v>
      </c>
      <c r="W4" s="12" t="s">
        <v>574</v>
      </c>
      <c r="X4" s="12" t="s">
        <v>575</v>
      </c>
      <c r="Y4" s="12" t="s">
        <v>576</v>
      </c>
      <c r="Z4" s="12" t="s">
        <v>577</v>
      </c>
      <c r="AA4" s="12" t="s">
        <v>578</v>
      </c>
      <c r="AB4" s="12" t="s">
        <v>579</v>
      </c>
      <c r="AC4" s="12" t="s">
        <v>580</v>
      </c>
      <c r="AD4" s="12" t="s">
        <v>581</v>
      </c>
      <c r="AE4" s="12" t="s">
        <v>582</v>
      </c>
      <c r="AF4" s="12" t="s">
        <v>583</v>
      </c>
      <c r="AG4" s="12" t="s">
        <v>584</v>
      </c>
      <c r="AH4" s="12" t="s">
        <v>585</v>
      </c>
      <c r="AI4" s="12" t="s">
        <v>586</v>
      </c>
    </row>
    <row r="5" customFormat="false" ht="15" hidden="false" customHeight="false" outlineLevel="0" collapsed="false">
      <c r="A5" s="2" t="str">
        <f aca="false">Assumptions!A112</f>
        <v>C01</v>
      </c>
      <c r="B5" s="2" t="str">
        <f aca="false">Assumptions!B112</f>
        <v>Organic (Tesla careers, BA Jobbörse, Google for Jobs)</v>
      </c>
      <c r="C5" s="2" t="str">
        <f aca="false">Assumptions!C112</f>
        <v>Electricians</v>
      </c>
      <c r="D5" s="2" t="s">
        <v>282</v>
      </c>
      <c r="E5" s="2" t="str">
        <f aca="false">Assumptions!D112</f>
        <v>Free</v>
      </c>
      <c r="F5" s="39" t="n">
        <f aca="false">Assumptions!E112</f>
        <v>0</v>
      </c>
      <c r="G5" s="25" t="str">
        <f aca="false">IF(E5="Free","",Assumptions!F112)</f>
        <v/>
      </c>
      <c r="H5" s="39" t="n">
        <f aca="false">MAX(0,IF(OR(E5="CPC",E5="Slot"),IF(N(G5)&gt;0,F5/G5,0),F5))</f>
        <v>0</v>
      </c>
      <c r="I5" s="26" t="n">
        <f aca="false">Assumptions!G112</f>
        <v>0.1065</v>
      </c>
      <c r="J5" s="25" t="n">
        <f aca="false">IF(AND(OR(E5="CPC",E5="Slot"),NOT(N(G5)&gt;0)),0,IF(E5="Slot",Assumptions!H112*G5,Assumptions!H112))</f>
        <v>105</v>
      </c>
      <c r="K5" s="28" t="n">
        <f aca="false">J5*I5</f>
        <v>11.1825</v>
      </c>
      <c r="L5" s="27" t="n">
        <f aca="false">INDEX(Funnel!$G$5:$G$8,MATCH(C5,Funnel!$A$5:$A$8,0))*M5</f>
        <v>0.315</v>
      </c>
      <c r="M5" s="40" t="n">
        <f aca="false">Assumptions!I112</f>
        <v>1</v>
      </c>
      <c r="N5" s="28" t="n">
        <f aca="false">K5*L5</f>
        <v>3.5224875</v>
      </c>
      <c r="O5" s="37" t="n">
        <f aca="false">IF(I5&gt;0,H5/I5,0)</f>
        <v>0</v>
      </c>
      <c r="P5" s="37" t="n">
        <f aca="false">IF(N5&gt;0,(N5/L5/I5*H5+Assumptions!J112)/N5,0)</f>
        <v>0</v>
      </c>
      <c r="Q5" s="41" t="n">
        <f aca="false">P5+ROW()/1000000</f>
        <v>5E-006</v>
      </c>
      <c r="R5" s="25" t="n">
        <f aca="false">SUMPRODUCT(($C$5:$C$34=C5)*($Q$5:$Q$34&lt;Q5))+1</f>
        <v>1</v>
      </c>
      <c r="S5" s="28" t="n">
        <f aca="false">SUMPRODUCT(($C$5:$C$34=C5)*($Q$5:$Q$34&lt;Q5)*$AH$5:$AH$34)</f>
        <v>0</v>
      </c>
      <c r="T5" s="28" t="n">
        <f aca="false">INDEX(Funnel!$B$5:$B$8,MATCH(C5,Funnel!$A$5:$A$8,0))-SUMIFS($AG$5:$AG$34,$C$5:$C$34,C5)</f>
        <v>29.4504025230751</v>
      </c>
      <c r="U5" s="42" t="n">
        <f aca="false">AG5+AI5</f>
        <v>3.5224875</v>
      </c>
      <c r="V5" s="28" t="n">
        <f aca="false">IF(L5&gt;0,U5/L5,0)</f>
        <v>11.1825</v>
      </c>
      <c r="W5" s="25" t="n">
        <f aca="false">IF(I5&gt;0,V5/I5,0)</f>
        <v>105</v>
      </c>
      <c r="X5" s="37" t="n">
        <f aca="false">IF(E5="Slot",IF(N(G5)&gt;0,ROUNDUP(W5/G5,0)*MAX(0,F5),0),W5*H5)</f>
        <v>0</v>
      </c>
      <c r="Y5" s="37" t="n">
        <f aca="false">IF(U5&gt;0,Assumptions!J112,0)</f>
        <v>0</v>
      </c>
      <c r="Z5" s="37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37" t="n">
        <f aca="false">X5+Y5</f>
        <v>0</v>
      </c>
      <c r="AB5" s="37" t="n">
        <f aca="false">IF(U5&gt;0,(X5+Y5)/U5,"–")</f>
        <v>0</v>
      </c>
      <c r="AC5" s="25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28" t="n">
        <f aca="false">IF(H5&gt;0,Z5/H5,0)</f>
        <v>0</v>
      </c>
      <c r="AF5" s="28" t="n">
        <f aca="false">AE5*I5</f>
        <v>0</v>
      </c>
      <c r="AG5" s="28" t="n">
        <f aca="false">AF5*L5</f>
        <v>0</v>
      </c>
      <c r="AH5" s="28" t="n">
        <f aca="false">MAX(0,N5-AG5)</f>
        <v>3.5224875</v>
      </c>
      <c r="AI5" s="28" t="n">
        <f aca="false">MIN(AH5,MAX(0,T5-S5))</f>
        <v>3.5224875</v>
      </c>
    </row>
    <row r="6" customFormat="false" ht="15" hidden="false" customHeight="false" outlineLevel="0" collapsed="false">
      <c r="A6" s="2" t="str">
        <f aca="false">Assumptions!A113</f>
        <v>C02</v>
      </c>
      <c r="B6" s="2" t="str">
        <f aca="false">Assumptions!B113</f>
        <v>Organic (Tesla careers, BA Jobbörse, Google for Jobs)</v>
      </c>
      <c r="C6" s="2" t="str">
        <f aca="false">Assumptions!C113</f>
        <v>Mechatronics</v>
      </c>
      <c r="D6" s="2" t="s">
        <v>282</v>
      </c>
      <c r="E6" s="2" t="str">
        <f aca="false">Assumptions!D113</f>
        <v>Free</v>
      </c>
      <c r="F6" s="39" t="n">
        <f aca="false">Assumptions!E113</f>
        <v>0</v>
      </c>
      <c r="G6" s="25" t="str">
        <f aca="false">IF(E6="Free","",Assumptions!F113)</f>
        <v/>
      </c>
      <c r="H6" s="39" t="n">
        <f aca="false">MAX(0,IF(OR(E6="CPC",E6="Slot"),IF(N(G6)&gt;0,F6/G6,0),F6))</f>
        <v>0</v>
      </c>
      <c r="I6" s="26" t="n">
        <f aca="false">Assumptions!G113</f>
        <v>0.1562</v>
      </c>
      <c r="J6" s="25" t="n">
        <f aca="false">IF(AND(OR(E6="CPC",E6="Slot"),NOT(N(G6)&gt;0)),0,IF(E6="Slot",Assumptions!H113*G6,Assumptions!H113))</f>
        <v>158</v>
      </c>
      <c r="K6" s="28" t="n">
        <f aca="false">J6*I6</f>
        <v>24.6796</v>
      </c>
      <c r="L6" s="27" t="n">
        <f aca="false">INDEX(Funnel!$G$5:$G$8,MATCH(C6,Funnel!$A$5:$A$8,0))*M6</f>
        <v>0.37125</v>
      </c>
      <c r="M6" s="40" t="n">
        <f aca="false">Assumptions!I113</f>
        <v>1</v>
      </c>
      <c r="N6" s="28" t="n">
        <f aca="false">K6*L6</f>
        <v>9.1623015</v>
      </c>
      <c r="O6" s="37" t="n">
        <f aca="false">IF(I6&gt;0,H6/I6,0)</f>
        <v>0</v>
      </c>
      <c r="P6" s="37" t="n">
        <f aca="false">IF(N6&gt;0,(N6/L6/I6*H6+Assumptions!J113)/N6,0)</f>
        <v>0</v>
      </c>
      <c r="Q6" s="41" t="n">
        <f aca="false">P6+ROW()/1000000</f>
        <v>6E-006</v>
      </c>
      <c r="R6" s="25" t="n">
        <f aca="false">SUMPRODUCT(($C$5:$C$34=C6)*($Q$5:$Q$34&lt;Q6))+1</f>
        <v>1</v>
      </c>
      <c r="S6" s="28" t="n">
        <f aca="false">SUMPRODUCT(($C$5:$C$34=C6)*($Q$5:$Q$34&lt;Q6)*$AH$5:$AH$34)</f>
        <v>0</v>
      </c>
      <c r="T6" s="28" t="n">
        <f aca="false">INDEX(Funnel!$B$5:$B$8,MATCH(C6,Funnel!$A$5:$A$8,0))-SUMIFS($AG$5:$AG$34,$C$5:$C$34,C6)</f>
        <v>44.0499815041726</v>
      </c>
      <c r="U6" s="42" t="n">
        <f aca="false">AG6+AI6</f>
        <v>9.1623015</v>
      </c>
      <c r="V6" s="28" t="n">
        <f aca="false">IF(L6&gt;0,U6/L6,0)</f>
        <v>24.6796</v>
      </c>
      <c r="W6" s="25" t="n">
        <f aca="false">IF(I6&gt;0,V6/I6,0)</f>
        <v>158</v>
      </c>
      <c r="X6" s="37" t="n">
        <f aca="false">IF(E6="Slot",IF(N(G6)&gt;0,ROUNDUP(W6/G6,0)*MAX(0,F6),0),W6*H6)</f>
        <v>0</v>
      </c>
      <c r="Y6" s="37" t="n">
        <f aca="false">IF(U6&gt;0,Assumptions!J113,0)</f>
        <v>0</v>
      </c>
      <c r="Z6" s="37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37" t="n">
        <f aca="false">X6+Y6</f>
        <v>0</v>
      </c>
      <c r="AB6" s="37" t="n">
        <f aca="false">IF(U6&gt;0,(X6+Y6)/U6,"–")</f>
        <v>0</v>
      </c>
      <c r="AC6" s="25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28" t="n">
        <f aca="false">IF(H6&gt;0,Z6/H6,0)</f>
        <v>0</v>
      </c>
      <c r="AF6" s="28" t="n">
        <f aca="false">AE6*I6</f>
        <v>0</v>
      </c>
      <c r="AG6" s="28" t="n">
        <f aca="false">AF6*L6</f>
        <v>0</v>
      </c>
      <c r="AH6" s="28" t="n">
        <f aca="false">MAX(0,N6-AG6)</f>
        <v>9.1623015</v>
      </c>
      <c r="AI6" s="28" t="n">
        <f aca="false">MIN(AH6,MAX(0,T6-S6))</f>
        <v>9.1623015</v>
      </c>
    </row>
    <row r="7" customFormat="false" ht="15" hidden="false" customHeight="false" outlineLevel="0" collapsed="false">
      <c r="A7" s="2" t="str">
        <f aca="false">Assumptions!A114</f>
        <v>C03</v>
      </c>
      <c r="B7" s="2" t="str">
        <f aca="false">Assumptions!B114</f>
        <v>Organic (Tesla careers, BA Jobbörse, Google for Jobs)</v>
      </c>
      <c r="C7" s="2" t="str">
        <f aca="false">Assumptions!C114</f>
        <v>Automation</v>
      </c>
      <c r="D7" s="2" t="s">
        <v>282</v>
      </c>
      <c r="E7" s="2" t="str">
        <f aca="false">Assumptions!D114</f>
        <v>Free</v>
      </c>
      <c r="F7" s="39" t="n">
        <f aca="false">Assumptions!E114</f>
        <v>0</v>
      </c>
      <c r="G7" s="25" t="str">
        <f aca="false">IF(E7="Free","",Assumptions!F114)</f>
        <v/>
      </c>
      <c r="H7" s="39" t="n">
        <f aca="false">MAX(0,IF(OR(E7="CPC",E7="Slot"),IF(N(G7)&gt;0,F7/G7,0),F7))</f>
        <v>0</v>
      </c>
      <c r="I7" s="26" t="n">
        <f aca="false">Assumptions!G114</f>
        <v>0.1065</v>
      </c>
      <c r="J7" s="25" t="n">
        <f aca="false">IF(AND(OR(E7="CPC",E7="Slot"),NOT(N(G7)&gt;0)),0,IF(E7="Slot",Assumptions!H114*G7,Assumptions!H114))</f>
        <v>53</v>
      </c>
      <c r="K7" s="28" t="n">
        <f aca="false">J7*I7</f>
        <v>5.6445</v>
      </c>
      <c r="L7" s="27" t="n">
        <f aca="false">INDEX(Funnel!$G$5:$G$8,MATCH(C7,Funnel!$A$5:$A$8,0))*M7</f>
        <v>0.2835</v>
      </c>
      <c r="M7" s="40" t="n">
        <f aca="false">Assumptions!I114</f>
        <v>1</v>
      </c>
      <c r="N7" s="28" t="n">
        <f aca="false">K7*L7</f>
        <v>1.60021575</v>
      </c>
      <c r="O7" s="37" t="n">
        <f aca="false">IF(I7&gt;0,H7/I7,0)</f>
        <v>0</v>
      </c>
      <c r="P7" s="37" t="n">
        <f aca="false">IF(N7&gt;0,(N7/L7/I7*H7+Assumptions!J114)/N7,0)</f>
        <v>0</v>
      </c>
      <c r="Q7" s="41" t="n">
        <f aca="false">P7+ROW()/1000000</f>
        <v>7E-006</v>
      </c>
      <c r="R7" s="25" t="n">
        <f aca="false">SUMPRODUCT(($C$5:$C$34=C7)*($Q$5:$Q$34&lt;Q7))+1</f>
        <v>1</v>
      </c>
      <c r="S7" s="28" t="n">
        <f aca="false">SUMPRODUCT(($C$5:$C$34=C7)*($Q$5:$Q$34&lt;Q7)*$AH$5:$AH$34)</f>
        <v>0</v>
      </c>
      <c r="T7" s="28" t="n">
        <f aca="false">INDEX(Funnel!$B$5:$B$8,MATCH(C7,Funnel!$A$5:$A$8,0))-SUMIFS($AG$5:$AG$34,$C$5:$C$34,C7)</f>
        <v>14.3962021145176</v>
      </c>
      <c r="U7" s="42" t="n">
        <f aca="false">AG7+AI7</f>
        <v>1.60021575</v>
      </c>
      <c r="V7" s="28" t="n">
        <f aca="false">IF(L7&gt;0,U7/L7,0)</f>
        <v>5.6445</v>
      </c>
      <c r="W7" s="25" t="n">
        <f aca="false">IF(I7&gt;0,V7/I7,0)</f>
        <v>53</v>
      </c>
      <c r="X7" s="37" t="n">
        <f aca="false">IF(E7="Slot",IF(N(G7)&gt;0,ROUNDUP(W7/G7,0)*MAX(0,F7),0),W7*H7)</f>
        <v>0</v>
      </c>
      <c r="Y7" s="37" t="n">
        <f aca="false">IF(U7&gt;0,Assumptions!J114,0)</f>
        <v>0</v>
      </c>
      <c r="Z7" s="37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37" t="n">
        <f aca="false">X7+Y7</f>
        <v>0</v>
      </c>
      <c r="AB7" s="37" t="n">
        <f aca="false">IF(U7&gt;0,(X7+Y7)/U7,"–")</f>
        <v>0</v>
      </c>
      <c r="AC7" s="25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28" t="n">
        <f aca="false">IF(H7&gt;0,Z7/H7,0)</f>
        <v>0</v>
      </c>
      <c r="AF7" s="28" t="n">
        <f aca="false">AE7*I7</f>
        <v>0</v>
      </c>
      <c r="AG7" s="28" t="n">
        <f aca="false">AF7*L7</f>
        <v>0</v>
      </c>
      <c r="AH7" s="28" t="n">
        <f aca="false">MAX(0,N7-AG7)</f>
        <v>1.60021575</v>
      </c>
      <c r="AI7" s="28" t="n">
        <f aca="false">MIN(AH7,MAX(0,T7-S7))</f>
        <v>1.60021575</v>
      </c>
    </row>
    <row r="8" customFormat="false" ht="15" hidden="false" customHeight="false" outlineLevel="0" collapsed="false">
      <c r="A8" s="2" t="str">
        <f aca="false">Assumptions!A115</f>
        <v>C04</v>
      </c>
      <c r="B8" s="2" t="str">
        <f aca="false">Assumptions!B115</f>
        <v>Organic (Tesla careers, BA Jobbörse, Google for Jobs)</v>
      </c>
      <c r="C8" s="2" t="str">
        <f aca="false">Assumptions!C115</f>
        <v>Supervisors</v>
      </c>
      <c r="D8" s="2" t="s">
        <v>282</v>
      </c>
      <c r="E8" s="2" t="str">
        <f aca="false">Assumptions!D115</f>
        <v>Free</v>
      </c>
      <c r="F8" s="39" t="n">
        <f aca="false">Assumptions!E115</f>
        <v>0</v>
      </c>
      <c r="G8" s="25" t="str">
        <f aca="false">IF(E8="Free","",Assumptions!F115)</f>
        <v/>
      </c>
      <c r="H8" s="39" t="n">
        <f aca="false">MAX(0,IF(OR(E8="CPC",E8="Slot"),IF(N(G8)&gt;0,F8/G8,0),F8))</f>
        <v>0</v>
      </c>
      <c r="I8" s="26" t="n">
        <f aca="false">Assumptions!G115</f>
        <v>0.071</v>
      </c>
      <c r="J8" s="25" t="n">
        <f aca="false">IF(AND(OR(E8="CPC",E8="Slot"),NOT(N(G8)&gt;0)),0,IF(E8="Slot",Assumptions!H115*G8,Assumptions!H115))</f>
        <v>35</v>
      </c>
      <c r="K8" s="28" t="n">
        <f aca="false">J8*I8</f>
        <v>2.485</v>
      </c>
      <c r="L8" s="27" t="n">
        <f aca="false">INDEX(Funnel!$G$5:$G$8,MATCH(C8,Funnel!$A$5:$A$8,0))*M8</f>
        <v>0.238</v>
      </c>
      <c r="M8" s="40" t="n">
        <f aca="false">Assumptions!I115</f>
        <v>1</v>
      </c>
      <c r="N8" s="28" t="n">
        <f aca="false">K8*L8</f>
        <v>0.59143</v>
      </c>
      <c r="O8" s="37" t="n">
        <f aca="false">IF(I8&gt;0,H8/I8,0)</f>
        <v>0</v>
      </c>
      <c r="P8" s="37" t="n">
        <f aca="false">IF(N8&gt;0,(N8/L8/I8*H8+Assumptions!J115)/N8,0)</f>
        <v>0</v>
      </c>
      <c r="Q8" s="41" t="n">
        <f aca="false">P8+ROW()/1000000</f>
        <v>8E-006</v>
      </c>
      <c r="R8" s="25" t="n">
        <f aca="false">SUMPRODUCT(($C$5:$C$34=C8)*($Q$5:$Q$34&lt;Q8))+1</f>
        <v>1</v>
      </c>
      <c r="S8" s="28" t="n">
        <f aca="false">SUMPRODUCT(($C$5:$C$34=C8)*($Q$5:$Q$34&lt;Q8)*$AH$5:$AH$34)</f>
        <v>0</v>
      </c>
      <c r="T8" s="28" t="n">
        <f aca="false">INDEX(Funnel!$B$5:$B$8,MATCH(C8,Funnel!$A$5:$A$8,0))-SUMIFS($AG$5:$AG$34,$C$5:$C$34,C8)</f>
        <v>9.66207196532669</v>
      </c>
      <c r="U8" s="42" t="n">
        <f aca="false">AG8+AI8</f>
        <v>0.59143</v>
      </c>
      <c r="V8" s="28" t="n">
        <f aca="false">IF(L8&gt;0,U8/L8,0)</f>
        <v>2.485</v>
      </c>
      <c r="W8" s="25" t="n">
        <f aca="false">IF(I8&gt;0,V8/I8,0)</f>
        <v>35</v>
      </c>
      <c r="X8" s="37" t="n">
        <f aca="false">IF(E8="Slot",IF(N(G8)&gt;0,ROUNDUP(W8/G8,0)*MAX(0,F8),0),W8*H8)</f>
        <v>0</v>
      </c>
      <c r="Y8" s="37" t="n">
        <f aca="false">IF(U8&gt;0,Assumptions!J115,0)</f>
        <v>0</v>
      </c>
      <c r="Z8" s="37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37" t="n">
        <f aca="false">X8+Y8</f>
        <v>0</v>
      </c>
      <c r="AB8" s="37" t="n">
        <f aca="false">IF(U8&gt;0,(X8+Y8)/U8,"–")</f>
        <v>0</v>
      </c>
      <c r="AC8" s="25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28" t="n">
        <f aca="false">IF(H8&gt;0,Z8/H8,0)</f>
        <v>0</v>
      </c>
      <c r="AF8" s="28" t="n">
        <f aca="false">AE8*I8</f>
        <v>0</v>
      </c>
      <c r="AG8" s="28" t="n">
        <f aca="false">AF8*L8</f>
        <v>0</v>
      </c>
      <c r="AH8" s="28" t="n">
        <f aca="false">MAX(0,N8-AG8)</f>
        <v>0.59143</v>
      </c>
      <c r="AI8" s="28" t="n">
        <f aca="false">MIN(AH8,MAX(0,T8-S8))</f>
        <v>0.59143</v>
      </c>
    </row>
    <row r="9" customFormat="false" ht="15" hidden="false" customHeight="false" outlineLevel="0" collapsed="false">
      <c r="A9" s="2" t="str">
        <f aca="false">Assumptions!A116</f>
        <v>C05</v>
      </c>
      <c r="B9" s="2" t="str">
        <f aca="false">Assumptions!B116</f>
        <v>Programmatic job ads (Joveo: Indeed, Jooble, Talent.com, Kimeta, meinestadt…)</v>
      </c>
      <c r="C9" s="2" t="str">
        <f aca="false">Assumptions!C116</f>
        <v>Electricians</v>
      </c>
      <c r="D9" s="2" t="s">
        <v>282</v>
      </c>
      <c r="E9" s="2" t="str">
        <f aca="false">Assumptions!D116</f>
        <v>CPA</v>
      </c>
      <c r="F9" s="39" t="n">
        <f aca="false">Assumptions!E116</f>
        <v>161</v>
      </c>
      <c r="G9" s="25" t="n">
        <f aca="false">IF(E9="Free","",Assumptions!F116)</f>
        <v>0</v>
      </c>
      <c r="H9" s="39" t="n">
        <f aca="false">MAX(0,IF(OR(E9="CPC",E9="Slot"),IF(N(G9)&gt;0,F9/G9,0),F9))</f>
        <v>161</v>
      </c>
      <c r="I9" s="26" t="n">
        <f aca="false">Assumptions!G116</f>
        <v>0.135</v>
      </c>
      <c r="J9" s="25" t="n">
        <f aca="false">IF(AND(OR(E9="CPC",E9="Slot"),NOT(N(G9)&gt;0)),0,IF(E9="Slot",Assumptions!H116*G9,Assumptions!H116))</f>
        <v>450</v>
      </c>
      <c r="K9" s="28" t="n">
        <f aca="false">J9*I9</f>
        <v>60.75</v>
      </c>
      <c r="L9" s="27" t="n">
        <f aca="false">INDEX(Funnel!$G$5:$G$8,MATCH(C9,Funnel!$A$5:$A$8,0))*M9</f>
        <v>0.315</v>
      </c>
      <c r="M9" s="40" t="n">
        <f aca="false">Assumptions!I116</f>
        <v>1</v>
      </c>
      <c r="N9" s="28" t="n">
        <f aca="false">K9*L9</f>
        <v>19.13625</v>
      </c>
      <c r="O9" s="37" t="n">
        <f aca="false">IF(I9&gt;0,H9/I9,0)</f>
        <v>1192.59259259259</v>
      </c>
      <c r="P9" s="37" t="n">
        <f aca="false">IF(N9&gt;0,(N9/L9/I9*H9+Assumptions!J116)/N9,0)</f>
        <v>3786.00823045268</v>
      </c>
      <c r="Q9" s="41" t="n">
        <f aca="false">P9+ROW()/1000000</f>
        <v>3786.00823945268</v>
      </c>
      <c r="R9" s="25" t="n">
        <f aca="false">SUMPRODUCT(($C$5:$C$34=C9)*($Q$5:$Q$34&lt;Q9))+1</f>
        <v>7</v>
      </c>
      <c r="S9" s="28" t="n">
        <f aca="false">SUMPRODUCT(($C$5:$C$34=C9)*($Q$5:$Q$34&lt;Q9)*$AH$5:$AH$34)</f>
        <v>26.438535</v>
      </c>
      <c r="T9" s="28" t="n">
        <f aca="false">INDEX(Funnel!$B$5:$B$8,MATCH(C9,Funnel!$A$5:$A$8,0))-SUMIFS($AG$5:$AG$34,$C$5:$C$34,C9)</f>
        <v>29.4504025230751</v>
      </c>
      <c r="U9" s="42" t="n">
        <f aca="false">AG9+AI9</f>
        <v>3.20996534916201</v>
      </c>
      <c r="V9" s="28" t="n">
        <f aca="false">IF(L9&gt;0,U9/L9,0)</f>
        <v>10.1903661878159</v>
      </c>
      <c r="W9" s="25" t="n">
        <f aca="false">IF(I9&gt;0,V9/I9,0)</f>
        <v>75.4841939838216</v>
      </c>
      <c r="X9" s="37" t="n">
        <f aca="false">IF(E9="Slot",IF(N(G9)&gt;0,ROUNDUP(W9/G9,0)*MAX(0,F9),0),W9*H9)</f>
        <v>12152.9552313953</v>
      </c>
      <c r="Y9" s="37" t="n">
        <f aca="false">IF(U9&gt;0,Assumptions!J116,0)</f>
        <v>0</v>
      </c>
      <c r="Z9" s="37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37" t="n">
        <f aca="false">X9+Y9</f>
        <v>12152.9552313953</v>
      </c>
      <c r="AB9" s="37" t="n">
        <f aca="false">IF(U9&gt;0,(X9+Y9)/U9,"–")</f>
        <v>3786.00823045267</v>
      </c>
      <c r="AC9" s="25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28" t="n">
        <f aca="false">IF(H9&gt;0,Z9/H9,0)</f>
        <v>4.6583850931677</v>
      </c>
      <c r="AF9" s="28" t="n">
        <f aca="false">AE9*I9</f>
        <v>0.62888198757764</v>
      </c>
      <c r="AG9" s="28" t="n">
        <f aca="false">AF9*L9</f>
        <v>0.198097826086957</v>
      </c>
      <c r="AH9" s="28" t="n">
        <f aca="false">MAX(0,N9-AG9)</f>
        <v>18.938152173913</v>
      </c>
      <c r="AI9" s="28" t="n">
        <f aca="false">MIN(AH9,MAX(0,T9-S9))</f>
        <v>3.01186752307506</v>
      </c>
    </row>
    <row r="10" customFormat="false" ht="15" hidden="false" customHeight="false" outlineLevel="0" collapsed="false">
      <c r="A10" s="2" t="str">
        <f aca="false">Assumptions!A117</f>
        <v>C06</v>
      </c>
      <c r="B10" s="2" t="str">
        <f aca="false">Assumptions!B117</f>
        <v>Programmatic job ads (Joveo: Indeed, Jooble, Talent.com, Kimeta, meinestadt…)</v>
      </c>
      <c r="C10" s="2" t="str">
        <f aca="false">Assumptions!C117</f>
        <v>Mechatronics</v>
      </c>
      <c r="D10" s="2" t="s">
        <v>282</v>
      </c>
      <c r="E10" s="2" t="str">
        <f aca="false">Assumptions!D117</f>
        <v>CPA</v>
      </c>
      <c r="F10" s="39" t="n">
        <f aca="false">Assumptions!E117</f>
        <v>161</v>
      </c>
      <c r="G10" s="25" t="n">
        <f aca="false">IF(E10="Free","",Assumptions!F117)</f>
        <v>0</v>
      </c>
      <c r="H10" s="39" t="n">
        <f aca="false">MAX(0,IF(OR(E10="CPC",E10="Slot"),IF(N(G10)&gt;0,F10/G10,0),F10))</f>
        <v>161</v>
      </c>
      <c r="I10" s="26" t="n">
        <f aca="false">Assumptions!G117</f>
        <v>0.198</v>
      </c>
      <c r="J10" s="25" t="n">
        <f aca="false">IF(AND(OR(E10="CPC",E10="Slot"),NOT(N(G10)&gt;0)),0,IF(E10="Slot",Assumptions!H117*G10,Assumptions!H117))</f>
        <v>600</v>
      </c>
      <c r="K10" s="28" t="n">
        <f aca="false">J10*I10</f>
        <v>118.8</v>
      </c>
      <c r="L10" s="27" t="n">
        <f aca="false">INDEX(Funnel!$G$5:$G$8,MATCH(C10,Funnel!$A$5:$A$8,0))*M10</f>
        <v>0.37125</v>
      </c>
      <c r="M10" s="40" t="n">
        <f aca="false">Assumptions!I117</f>
        <v>1</v>
      </c>
      <c r="N10" s="28" t="n">
        <f aca="false">K10*L10</f>
        <v>44.1045</v>
      </c>
      <c r="O10" s="37" t="n">
        <f aca="false">IF(I10&gt;0,H10/I10,0)</f>
        <v>813.131313131313</v>
      </c>
      <c r="P10" s="37" t="n">
        <f aca="false">IF(N10&gt;0,(N10/L10/I10*H10+Assumptions!J117)/N10,0)</f>
        <v>2190.2526953032</v>
      </c>
      <c r="Q10" s="41" t="n">
        <f aca="false">P10+ROW()/1000000</f>
        <v>2190.2527053032</v>
      </c>
      <c r="R10" s="25" t="n">
        <f aca="false">SUMPRODUCT(($C$5:$C$34=C10)*($Q$5:$Q$34&lt;Q10))+1</f>
        <v>7</v>
      </c>
      <c r="S10" s="28" t="n">
        <f aca="false">SUMPRODUCT(($C$5:$C$34=C10)*($Q$5:$Q$34&lt;Q10)*$AH$5:$AH$34)</f>
        <v>44.0556084642857</v>
      </c>
      <c r="T10" s="28" t="n">
        <f aca="false">INDEX(Funnel!$B$5:$B$8,MATCH(C10,Funnel!$A$5:$A$8,0))-SUMIFS($AG$5:$AG$34,$C$5:$C$34,C10)</f>
        <v>44.0499815041726</v>
      </c>
      <c r="U10" s="42" t="n">
        <f aca="false">AG10+AI10</f>
        <v>0.342426242236025</v>
      </c>
      <c r="V10" s="28" t="n">
        <f aca="false">IF(L10&gt;0,U10/L10,0)</f>
        <v>0.922360248447205</v>
      </c>
      <c r="W10" s="25" t="n">
        <f aca="false">IF(I10&gt;0,V10/I10,0)</f>
        <v>4.6583850931677</v>
      </c>
      <c r="X10" s="37" t="n">
        <f aca="false">IF(E10="Slot",IF(N(G10)&gt;0,ROUNDUP(W10/G10,0)*MAX(0,F10),0),W10*H10)</f>
        <v>750</v>
      </c>
      <c r="Y10" s="37" t="n">
        <f aca="false">IF(U10&gt;0,Assumptions!J117,0)</f>
        <v>0</v>
      </c>
      <c r="Z10" s="37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37" t="n">
        <f aca="false">X10+Y10</f>
        <v>750</v>
      </c>
      <c r="AB10" s="37" t="n">
        <f aca="false">IF(U10&gt;0,(X10+Y10)/U10,"–")</f>
        <v>2190.2526953032</v>
      </c>
      <c r="AC10" s="25" t="n">
        <f aca="false">SUMPRODUCT(--($Q$5:$Q$34&lt;Q10))+1</f>
        <v>17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28" t="n">
        <f aca="false">IF(H10&gt;0,Z10/H10,0)</f>
        <v>4.6583850931677</v>
      </c>
      <c r="AF10" s="28" t="n">
        <f aca="false">AE10*I10</f>
        <v>0.922360248447205</v>
      </c>
      <c r="AG10" s="28" t="n">
        <f aca="false">AF10*L10</f>
        <v>0.342426242236025</v>
      </c>
      <c r="AH10" s="28" t="n">
        <f aca="false">MAX(0,N10-AG10)</f>
        <v>43.762073757764</v>
      </c>
      <c r="AI10" s="28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Assumptions!A118</f>
        <v>C07</v>
      </c>
      <c r="B11" s="2" t="str">
        <f aca="false">Assumptions!B118</f>
        <v>Programmatic job ads (Joveo: Indeed, Jooble, Talent.com, Kimeta, meinestadt…)</v>
      </c>
      <c r="C11" s="2" t="str">
        <f aca="false">Assumptions!C118</f>
        <v>Automation</v>
      </c>
      <c r="D11" s="2" t="s">
        <v>282</v>
      </c>
      <c r="E11" s="2" t="str">
        <f aca="false">Assumptions!D118</f>
        <v>CPA</v>
      </c>
      <c r="F11" s="39" t="n">
        <f aca="false">Assumptions!E118</f>
        <v>161</v>
      </c>
      <c r="G11" s="25" t="n">
        <f aca="false">IF(E11="Free","",Assumptions!F118)</f>
        <v>0</v>
      </c>
      <c r="H11" s="39" t="n">
        <f aca="false">MAX(0,IF(OR(E11="CPC",E11="Slot"),IF(N(G11)&gt;0,F11/G11,0),F11))</f>
        <v>161</v>
      </c>
      <c r="I11" s="26" t="n">
        <f aca="false">Assumptions!G118</f>
        <v>0.135</v>
      </c>
      <c r="J11" s="25" t="n">
        <f aca="false">IF(AND(OR(E11="CPC",E11="Slot"),NOT(N(G11)&gt;0)),0,IF(E11="Slot",Assumptions!H118*G11,Assumptions!H118))</f>
        <v>250</v>
      </c>
      <c r="K11" s="28" t="n">
        <f aca="false">J11*I11</f>
        <v>33.75</v>
      </c>
      <c r="L11" s="27" t="n">
        <f aca="false">INDEX(Funnel!$G$5:$G$8,MATCH(C11,Funnel!$A$5:$A$8,0))*M11</f>
        <v>0.2835</v>
      </c>
      <c r="M11" s="40" t="n">
        <f aca="false">Assumptions!I118</f>
        <v>1</v>
      </c>
      <c r="N11" s="28" t="n">
        <f aca="false">K11*L11</f>
        <v>9.568125</v>
      </c>
      <c r="O11" s="37" t="n">
        <f aca="false">IF(I11&gt;0,H11/I11,0)</f>
        <v>1192.59259259259</v>
      </c>
      <c r="P11" s="37" t="n">
        <f aca="false">IF(N11&gt;0,(N11/L11/I11*H11+Assumptions!J118)/N11,0)</f>
        <v>4206.67581161408</v>
      </c>
      <c r="Q11" s="41" t="n">
        <f aca="false">P11+ROW()/1000000</f>
        <v>4206.67582261408</v>
      </c>
      <c r="R11" s="25" t="n">
        <f aca="false">SUMPRODUCT(($C$5:$C$34=C11)*($Q$5:$Q$34&lt;Q11))+1</f>
        <v>6</v>
      </c>
      <c r="S11" s="28" t="n">
        <f aca="false">SUMPRODUCT(($C$5:$C$34=C11)*($Q$5:$Q$34&lt;Q11)*$AH$5:$AH$34)</f>
        <v>9.81896934375</v>
      </c>
      <c r="T11" s="28" t="n">
        <f aca="false">INDEX(Funnel!$B$5:$B$8,MATCH(C11,Funnel!$A$5:$A$8,0))-SUMIFS($AG$5:$AG$34,$C$5:$C$34,C11)</f>
        <v>14.3962021145176</v>
      </c>
      <c r="U11" s="42" t="n">
        <f aca="false">AG11+AI11</f>
        <v>4.75552081424581</v>
      </c>
      <c r="V11" s="28" t="n">
        <f aca="false">IF(L11&gt;0,U11/L11,0)</f>
        <v>16.7743238597736</v>
      </c>
      <c r="W11" s="25" t="n">
        <f aca="false">IF(I11&gt;0,V11/I11,0)</f>
        <v>124.254250813138</v>
      </c>
      <c r="X11" s="37" t="n">
        <f aca="false">IF(E11="Slot",IF(N(G11)&gt;0,ROUNDUP(W11/G11,0)*MAX(0,F11),0),W11*H11)</f>
        <v>20004.9343809152</v>
      </c>
      <c r="Y11" s="37" t="n">
        <f aca="false">IF(U11&gt;0,Assumptions!J118,0)</f>
        <v>0</v>
      </c>
      <c r="Z11" s="37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37" t="n">
        <f aca="false">X11+Y11</f>
        <v>20004.9343809152</v>
      </c>
      <c r="AB11" s="37" t="n">
        <f aca="false">IF(U11&gt;0,(X11+Y11)/U11,"–")</f>
        <v>4206.67581161408</v>
      </c>
      <c r="AC11" s="25" t="n">
        <f aca="false">SUMPRODUCT(--($Q$5:$Q$34&lt;Q11))+1</f>
        <v>24</v>
      </c>
      <c r="AD11" s="2" t="str">
        <f aca="false">IF(AND(AH11&gt;0,AI11&gt;=AH11*0.999),"Used to capacity",IF(AI11&gt;0,"Marginal (fills the gap)",IF(Z11&gt;0,"Test only (wk 1–2)","Not used")))</f>
        <v>Marginal (fills the gap)</v>
      </c>
      <c r="AE11" s="28" t="n">
        <f aca="false">IF(H11&gt;0,Z11/H11,0)</f>
        <v>4.6583850931677</v>
      </c>
      <c r="AF11" s="28" t="n">
        <f aca="false">AE11*I11</f>
        <v>0.62888198757764</v>
      </c>
      <c r="AG11" s="28" t="n">
        <f aca="false">AF11*L11</f>
        <v>0.178288043478261</v>
      </c>
      <c r="AH11" s="28" t="n">
        <f aca="false">MAX(0,N11-AG11)</f>
        <v>9.38983695652174</v>
      </c>
      <c r="AI11" s="28" t="n">
        <f aca="false">MIN(AH11,MAX(0,T11-S11))</f>
        <v>4.57723277076755</v>
      </c>
    </row>
    <row r="12" customFormat="false" ht="15" hidden="false" customHeight="false" outlineLevel="0" collapsed="false">
      <c r="A12" s="2" t="str">
        <f aca="false">Assumptions!A119</f>
        <v>C08</v>
      </c>
      <c r="B12" s="2" t="str">
        <f aca="false">Assumptions!B119</f>
        <v>Programmatic job ads (Joveo: Indeed, Jooble, Talent.com, Kimeta, meinestadt…)</v>
      </c>
      <c r="C12" s="2" t="str">
        <f aca="false">Assumptions!C119</f>
        <v>Supervisors</v>
      </c>
      <c r="D12" s="2" t="s">
        <v>282</v>
      </c>
      <c r="E12" s="2" t="str">
        <f aca="false">Assumptions!D119</f>
        <v>CPA</v>
      </c>
      <c r="F12" s="39" t="n">
        <f aca="false">Assumptions!E119</f>
        <v>161</v>
      </c>
      <c r="G12" s="25" t="n">
        <f aca="false">IF(E12="Free","",Assumptions!F119)</f>
        <v>0</v>
      </c>
      <c r="H12" s="39" t="n">
        <f aca="false">MAX(0,IF(OR(E12="CPC",E12="Slot"),IF(N(G12)&gt;0,F12/G12,0),F12))</f>
        <v>161</v>
      </c>
      <c r="I12" s="26" t="n">
        <f aca="false">Assumptions!G119</f>
        <v>0.09</v>
      </c>
      <c r="J12" s="25" t="n">
        <f aca="false">IF(AND(OR(E12="CPC",E12="Slot"),NOT(N(G12)&gt;0)),0,IF(E12="Slot",Assumptions!H119*G12,Assumptions!H119))</f>
        <v>200</v>
      </c>
      <c r="K12" s="28" t="n">
        <f aca="false">J12*I12</f>
        <v>18</v>
      </c>
      <c r="L12" s="27" t="n">
        <f aca="false">INDEX(Funnel!$G$5:$G$8,MATCH(C12,Funnel!$A$5:$A$8,0))*M12</f>
        <v>0.238</v>
      </c>
      <c r="M12" s="40" t="n">
        <f aca="false">Assumptions!I119</f>
        <v>1</v>
      </c>
      <c r="N12" s="28" t="n">
        <f aca="false">K12*L12</f>
        <v>4.284</v>
      </c>
      <c r="O12" s="37" t="n">
        <f aca="false">IF(I12&gt;0,H12/I12,0)</f>
        <v>1788.88888888889</v>
      </c>
      <c r="P12" s="37" t="n">
        <f aca="false">IF(N12&gt;0,(N12/L12/I12*H12+Assumptions!J119)/N12,0)</f>
        <v>7516.33986928105</v>
      </c>
      <c r="Q12" s="41" t="n">
        <f aca="false">P12+ROW()/1000000</f>
        <v>7516.33988128105</v>
      </c>
      <c r="R12" s="25" t="n">
        <f aca="false">SUMPRODUCT(($C$5:$C$34=C12)*($Q$5:$Q$34&lt;Q12))+1</f>
        <v>6</v>
      </c>
      <c r="S12" s="28" t="n">
        <f aca="false">SUMPRODUCT(($C$5:$C$34=C12)*($Q$5:$Q$34&lt;Q12)*$AH$5:$AH$34)</f>
        <v>3.79202425</v>
      </c>
      <c r="T12" s="28" t="n">
        <f aca="false">INDEX(Funnel!$B$5:$B$8,MATCH(C12,Funnel!$A$5:$A$8,0))-SUMIFS($AG$5:$AG$34,$C$5:$C$34,C12)</f>
        <v>9.66207196532669</v>
      </c>
      <c r="U12" s="42" t="n">
        <f aca="false">AG12+AI12</f>
        <v>4.284</v>
      </c>
      <c r="V12" s="28" t="n">
        <f aca="false">IF(L12&gt;0,U12/L12,0)</f>
        <v>18</v>
      </c>
      <c r="W12" s="25" t="n">
        <f aca="false">IF(I12&gt;0,V12/I12,0)</f>
        <v>200</v>
      </c>
      <c r="X12" s="37" t="n">
        <f aca="false">IF(E12="Slot",IF(N(G12)&gt;0,ROUNDUP(W12/G12,0)*MAX(0,F12),0),W12*H12)</f>
        <v>32200</v>
      </c>
      <c r="Y12" s="37" t="n">
        <f aca="false">IF(U12&gt;0,Assumptions!J119,0)</f>
        <v>0</v>
      </c>
      <c r="Z12" s="37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37" t="n">
        <f aca="false">X12+Y12</f>
        <v>32200</v>
      </c>
      <c r="AB12" s="37" t="n">
        <f aca="false">IF(U12&gt;0,(X12+Y12)/U12,"–")</f>
        <v>7516.33986928105</v>
      </c>
      <c r="AC12" s="25" t="n">
        <f aca="false">SUMPRODUCT(--($Q$5:$Q$34&lt;Q12))+1</f>
        <v>29</v>
      </c>
      <c r="AD12" s="2" t="str">
        <f aca="false">IF(AND(AH12&gt;0,AI12&gt;=AH12*0.999),"Used to capacity",IF(AI12&gt;0,"Marginal (fills the gap)",IF(Z12&gt;0,"Test only (wk 1–2)","Not used")))</f>
        <v>Used to capacity</v>
      </c>
      <c r="AE12" s="28" t="n">
        <f aca="false">IF(H12&gt;0,Z12/H12,0)</f>
        <v>4.6583850931677</v>
      </c>
      <c r="AF12" s="28" t="n">
        <f aca="false">AE12*I12</f>
        <v>0.419254658385093</v>
      </c>
      <c r="AG12" s="28" t="n">
        <f aca="false">AF12*L12</f>
        <v>0.0997826086956522</v>
      </c>
      <c r="AH12" s="28" t="n">
        <f aca="false">MAX(0,N12-AG12)</f>
        <v>4.18421739130435</v>
      </c>
      <c r="AI12" s="28" t="n">
        <f aca="false">MIN(AH12,MAX(0,T12-S12))</f>
        <v>4.18421739130435</v>
      </c>
    </row>
    <row r="13" customFormat="false" ht="15" hidden="false" customHeight="false" outlineLevel="0" collapsed="false">
      <c r="A13" s="2" t="str">
        <f aca="false">Assumptions!A120</f>
        <v>C09</v>
      </c>
      <c r="B13" s="2" t="str">
        <f aca="false">Assumptions!B120</f>
        <v>StepStone (30-day single ad)</v>
      </c>
      <c r="C13" s="2" t="str">
        <f aca="false">Assumptions!C120</f>
        <v>Electricians</v>
      </c>
      <c r="D13" s="2" t="s">
        <v>282</v>
      </c>
      <c r="E13" s="2" t="str">
        <f aca="false">Assumptions!D120</f>
        <v>Slot</v>
      </c>
      <c r="F13" s="39" t="n">
        <f aca="false">Assumptions!E120</f>
        <v>1449</v>
      </c>
      <c r="G13" s="25" t="n">
        <f aca="false">IF(E13="Free","",Assumptions!F120)</f>
        <v>12</v>
      </c>
      <c r="H13" s="39" t="n">
        <f aca="false">MAX(0,IF(OR(E13="CPC",E13="Slot"),IF(N(G13)&gt;0,F13/G13,0),F13))</f>
        <v>120.75</v>
      </c>
      <c r="I13" s="26" t="n">
        <f aca="false">Assumptions!G120</f>
        <v>0.135</v>
      </c>
      <c r="J13" s="25" t="n">
        <f aca="false">IF(AND(OR(E13="CPC",E13="Slot"),NOT(N(G13)&gt;0)),0,IF(E13="Slot",Assumptions!H120*G13,Assumptions!H120))</f>
        <v>24</v>
      </c>
      <c r="K13" s="28" t="n">
        <f aca="false">J13*I13</f>
        <v>3.24</v>
      </c>
      <c r="L13" s="27" t="n">
        <f aca="false">INDEX(Funnel!$G$5:$G$8,MATCH(C13,Funnel!$A$5:$A$8,0))*M13</f>
        <v>0.315</v>
      </c>
      <c r="M13" s="40" t="n">
        <f aca="false">Assumptions!I120</f>
        <v>1</v>
      </c>
      <c r="N13" s="28" t="n">
        <f aca="false">K13*L13</f>
        <v>1.0206</v>
      </c>
      <c r="O13" s="37" t="n">
        <f aca="false">IF(I13&gt;0,H13/I13,0)</f>
        <v>894.444444444444</v>
      </c>
      <c r="P13" s="37" t="n">
        <f aca="false">IF(N13&gt;0,(N13/L13/I13*H13+Assumptions!J120)/N13,0)</f>
        <v>2839.50617283951</v>
      </c>
      <c r="Q13" s="41" t="n">
        <f aca="false">P13+ROW()/1000000</f>
        <v>2839.50618583951</v>
      </c>
      <c r="R13" s="25" t="n">
        <f aca="false">SUMPRODUCT(($C$5:$C$34=C13)*($Q$5:$Q$34&lt;Q13))+1</f>
        <v>5</v>
      </c>
      <c r="S13" s="28" t="n">
        <f aca="false">SUMPRODUCT(($C$5:$C$34=C13)*($Q$5:$Q$34&lt;Q13)*$AH$5:$AH$34)</f>
        <v>16.1788725</v>
      </c>
      <c r="T13" s="28" t="n">
        <f aca="false">INDEX(Funnel!$B$5:$B$8,MATCH(C13,Funnel!$A$5:$A$8,0))-SUMIFS($AG$5:$AG$34,$C$5:$C$34,C13)</f>
        <v>29.4504025230751</v>
      </c>
      <c r="U13" s="42" t="n">
        <f aca="false">AG13+AI13</f>
        <v>1.0206</v>
      </c>
      <c r="V13" s="28" t="n">
        <f aca="false">IF(L13&gt;0,U13/L13,0)</f>
        <v>3.24</v>
      </c>
      <c r="W13" s="25" t="n">
        <f aca="false">IF(I13&gt;0,V13/I13,0)</f>
        <v>24</v>
      </c>
      <c r="X13" s="37" t="n">
        <f aca="false">IF(E13="Slot",IF(N(G13)&gt;0,ROUNDUP(W13/G13,0)*MAX(0,F13),0),W13*H13)</f>
        <v>2898</v>
      </c>
      <c r="Y13" s="37" t="n">
        <f aca="false">IF(U13&gt;0,Assumptions!J120,0)</f>
        <v>0</v>
      </c>
      <c r="Z13" s="37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37" t="n">
        <f aca="false">X13+Y13</f>
        <v>2898</v>
      </c>
      <c r="AB13" s="37" t="n">
        <f aca="false">IF(U13&gt;0,(X13+Y13)/U13,"–")</f>
        <v>2839.50617283951</v>
      </c>
      <c r="AC13" s="25" t="n">
        <f aca="false">SUMPRODUCT(--($Q$5:$Q$34&lt;Q13))+1</f>
        <v>19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28" t="n">
        <f aca="false">IF(H13&gt;0,Z13/H13,0)</f>
        <v>0</v>
      </c>
      <c r="AF13" s="28" t="n">
        <f aca="false">AE13*I13</f>
        <v>0</v>
      </c>
      <c r="AG13" s="28" t="n">
        <f aca="false">AF13*L13</f>
        <v>0</v>
      </c>
      <c r="AH13" s="28" t="n">
        <f aca="false">MAX(0,N13-AG13)</f>
        <v>1.0206</v>
      </c>
      <c r="AI13" s="28" t="n">
        <f aca="false">MIN(AH13,MAX(0,T13-S13))</f>
        <v>1.0206</v>
      </c>
    </row>
    <row r="14" customFormat="false" ht="15" hidden="false" customHeight="false" outlineLevel="0" collapsed="false">
      <c r="A14" s="2" t="str">
        <f aca="false">Assumptions!A121</f>
        <v>C10</v>
      </c>
      <c r="B14" s="2" t="str">
        <f aca="false">Assumptions!B121</f>
        <v>StepStone (30-day single ad)</v>
      </c>
      <c r="C14" s="2" t="str">
        <f aca="false">Assumptions!C121</f>
        <v>Mechatronics</v>
      </c>
      <c r="D14" s="2" t="s">
        <v>282</v>
      </c>
      <c r="E14" s="2" t="str">
        <f aca="false">Assumptions!D121</f>
        <v>Slot</v>
      </c>
      <c r="F14" s="39" t="n">
        <f aca="false">Assumptions!E121</f>
        <v>1449</v>
      </c>
      <c r="G14" s="25" t="n">
        <f aca="false">IF(E14="Free","",Assumptions!F121)</f>
        <v>12</v>
      </c>
      <c r="H14" s="39" t="n">
        <f aca="false">MAX(0,IF(OR(E14="CPC",E14="Slot"),IF(N(G14)&gt;0,F14/G14,0),F14))</f>
        <v>120.75</v>
      </c>
      <c r="I14" s="26" t="n">
        <f aca="false">Assumptions!G121</f>
        <v>0.198</v>
      </c>
      <c r="J14" s="25" t="n">
        <f aca="false">IF(AND(OR(E14="CPC",E14="Slot"),NOT(N(G14)&gt;0)),0,IF(E14="Slot",Assumptions!H121*G14,Assumptions!H121))</f>
        <v>24</v>
      </c>
      <c r="K14" s="28" t="n">
        <f aca="false">J14*I14</f>
        <v>4.752</v>
      </c>
      <c r="L14" s="27" t="n">
        <f aca="false">INDEX(Funnel!$G$5:$G$8,MATCH(C14,Funnel!$A$5:$A$8,0))*M14</f>
        <v>0.37125</v>
      </c>
      <c r="M14" s="40" t="n">
        <f aca="false">Assumptions!I121</f>
        <v>1</v>
      </c>
      <c r="N14" s="28" t="n">
        <f aca="false">K14*L14</f>
        <v>1.76418</v>
      </c>
      <c r="O14" s="37" t="n">
        <f aca="false">IF(I14&gt;0,H14/I14,0)</f>
        <v>609.848484848485</v>
      </c>
      <c r="P14" s="37" t="n">
        <f aca="false">IF(N14&gt;0,(N14/L14/I14*H14+Assumptions!J121)/N14,0)</f>
        <v>1642.6895214774</v>
      </c>
      <c r="Q14" s="41" t="n">
        <f aca="false">P14+ROW()/1000000</f>
        <v>1642.6895354774</v>
      </c>
      <c r="R14" s="25" t="n">
        <f aca="false">SUMPRODUCT(($C$5:$C$34=C14)*($Q$5:$Q$34&lt;Q14))+1</f>
        <v>5</v>
      </c>
      <c r="S14" s="28" t="n">
        <f aca="false">SUMPRODUCT(($C$5:$C$34=C14)*($Q$5:$Q$34&lt;Q14)*$AH$5:$AH$34)</f>
        <v>34.488549</v>
      </c>
      <c r="T14" s="28" t="n">
        <f aca="false">INDEX(Funnel!$B$5:$B$8,MATCH(C14,Funnel!$A$5:$A$8,0))-SUMIFS($AG$5:$AG$34,$C$5:$C$34,C14)</f>
        <v>44.0499815041726</v>
      </c>
      <c r="U14" s="42" t="n">
        <f aca="false">AG14+AI14</f>
        <v>1.76418</v>
      </c>
      <c r="V14" s="28" t="n">
        <f aca="false">IF(L14&gt;0,U14/L14,0)</f>
        <v>4.752</v>
      </c>
      <c r="W14" s="25" t="n">
        <f aca="false">IF(I14&gt;0,V14/I14,0)</f>
        <v>24</v>
      </c>
      <c r="X14" s="37" t="n">
        <f aca="false">IF(E14="Slot",IF(N(G14)&gt;0,ROUNDUP(W14/G14,0)*MAX(0,F14),0),W14*H14)</f>
        <v>2898</v>
      </c>
      <c r="Y14" s="37" t="n">
        <f aca="false">IF(U14&gt;0,Assumptions!J121,0)</f>
        <v>0</v>
      </c>
      <c r="Z14" s="37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37" t="n">
        <f aca="false">X14+Y14</f>
        <v>2898</v>
      </c>
      <c r="AB14" s="37" t="n">
        <f aca="false">IF(U14&gt;0,(X14+Y14)/U14,"–")</f>
        <v>1642.6895214774</v>
      </c>
      <c r="AC14" s="25" t="n">
        <f aca="false">SUMPRODUCT(--($Q$5:$Q$34&lt;Q14))+1</f>
        <v>14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28" t="n">
        <f aca="false">IF(H14&gt;0,Z14/H14,0)</f>
        <v>0</v>
      </c>
      <c r="AF14" s="28" t="n">
        <f aca="false">AE14*I14</f>
        <v>0</v>
      </c>
      <c r="AG14" s="28" t="n">
        <f aca="false">AF14*L14</f>
        <v>0</v>
      </c>
      <c r="AH14" s="28" t="n">
        <f aca="false">MAX(0,N14-AG14)</f>
        <v>1.76418</v>
      </c>
      <c r="AI14" s="28" t="n">
        <f aca="false">MIN(AH14,MAX(0,T14-S14))</f>
        <v>1.76418</v>
      </c>
    </row>
    <row r="15" customFormat="false" ht="15" hidden="false" customHeight="false" outlineLevel="0" collapsed="false">
      <c r="A15" s="2" t="str">
        <f aca="false">Assumptions!A122</f>
        <v>C11</v>
      </c>
      <c r="B15" s="2" t="str">
        <f aca="false">Assumptions!B122</f>
        <v>StepStone (30-day single ad)</v>
      </c>
      <c r="C15" s="2" t="str">
        <f aca="false">Assumptions!C122</f>
        <v>Automation</v>
      </c>
      <c r="D15" s="2" t="s">
        <v>282</v>
      </c>
      <c r="E15" s="2" t="str">
        <f aca="false">Assumptions!D122</f>
        <v>Slot</v>
      </c>
      <c r="F15" s="39" t="n">
        <f aca="false">Assumptions!E122</f>
        <v>1449</v>
      </c>
      <c r="G15" s="25" t="n">
        <f aca="false">IF(E15="Free","",Assumptions!F122)</f>
        <v>12</v>
      </c>
      <c r="H15" s="39" t="n">
        <f aca="false">MAX(0,IF(OR(E15="CPC",E15="Slot"),IF(N(G15)&gt;0,F15/G15,0),F15))</f>
        <v>120.75</v>
      </c>
      <c r="I15" s="26" t="n">
        <f aca="false">Assumptions!G122</f>
        <v>0.135</v>
      </c>
      <c r="J15" s="25" t="n">
        <f aca="false">IF(AND(OR(E15="CPC",E15="Slot"),NOT(N(G15)&gt;0)),0,IF(E15="Slot",Assumptions!H122*G15,Assumptions!H122))</f>
        <v>24</v>
      </c>
      <c r="K15" s="28" t="n">
        <f aca="false">J15*I15</f>
        <v>3.24</v>
      </c>
      <c r="L15" s="27" t="n">
        <f aca="false">INDEX(Funnel!$G$5:$G$8,MATCH(C15,Funnel!$A$5:$A$8,0))*M15</f>
        <v>0.2835</v>
      </c>
      <c r="M15" s="40" t="n">
        <f aca="false">Assumptions!I122</f>
        <v>1</v>
      </c>
      <c r="N15" s="28" t="n">
        <f aca="false">K15*L15</f>
        <v>0.91854</v>
      </c>
      <c r="O15" s="37" t="n">
        <f aca="false">IF(I15&gt;0,H15/I15,0)</f>
        <v>894.444444444444</v>
      </c>
      <c r="P15" s="37" t="n">
        <f aca="false">IF(N15&gt;0,(N15/L15/I15*H15+Assumptions!J122)/N15,0)</f>
        <v>3155.00685871056</v>
      </c>
      <c r="Q15" s="41" t="n">
        <f aca="false">P15+ROW()/1000000</f>
        <v>3155.00687371056</v>
      </c>
      <c r="R15" s="25" t="n">
        <f aca="false">SUMPRODUCT(($C$5:$C$34=C15)*($Q$5:$Q$34&lt;Q15))+1</f>
        <v>5</v>
      </c>
      <c r="S15" s="28" t="n">
        <f aca="false">SUMPRODUCT(($C$5:$C$34=C15)*($Q$5:$Q$34&lt;Q15)*$AH$5:$AH$34)</f>
        <v>8.90042934375</v>
      </c>
      <c r="T15" s="28" t="n">
        <f aca="false">INDEX(Funnel!$B$5:$B$8,MATCH(C15,Funnel!$A$5:$A$8,0))-SUMIFS($AG$5:$AG$34,$C$5:$C$34,C15)</f>
        <v>14.3962021145176</v>
      </c>
      <c r="U15" s="42" t="n">
        <f aca="false">AG15+AI15</f>
        <v>0.91854</v>
      </c>
      <c r="V15" s="28" t="n">
        <f aca="false">IF(L15&gt;0,U15/L15,0)</f>
        <v>3.24</v>
      </c>
      <c r="W15" s="25" t="n">
        <f aca="false">IF(I15&gt;0,V15/I15,0)</f>
        <v>24</v>
      </c>
      <c r="X15" s="37" t="n">
        <f aca="false">IF(E15="Slot",IF(N(G15)&gt;0,ROUNDUP(W15/G15,0)*MAX(0,F15),0),W15*H15)</f>
        <v>2898</v>
      </c>
      <c r="Y15" s="37" t="n">
        <f aca="false">IF(U15&gt;0,Assumptions!J122,0)</f>
        <v>0</v>
      </c>
      <c r="Z15" s="37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37" t="n">
        <f aca="false">X15+Y15</f>
        <v>2898</v>
      </c>
      <c r="AB15" s="37" t="n">
        <f aca="false">IF(U15&gt;0,(X15+Y15)/U15,"–")</f>
        <v>3155.00685871056</v>
      </c>
      <c r="AC15" s="25" t="n">
        <f aca="false">SUMPRODUCT(--($Q$5:$Q$34&lt;Q15))+1</f>
        <v>21</v>
      </c>
      <c r="AD15" s="2" t="str">
        <f aca="false">IF(AND(AH15&gt;0,AI15&gt;=AH15*0.999),"Used to capacity",IF(AI15&gt;0,"Marginal (fills the gap)",IF(Z15&gt;0,"Test only (wk 1–2)","Not used")))</f>
        <v>Used to capacity</v>
      </c>
      <c r="AE15" s="28" t="n">
        <f aca="false">IF(H15&gt;0,Z15/H15,0)</f>
        <v>0</v>
      </c>
      <c r="AF15" s="28" t="n">
        <f aca="false">AE15*I15</f>
        <v>0</v>
      </c>
      <c r="AG15" s="28" t="n">
        <f aca="false">AF15*L15</f>
        <v>0</v>
      </c>
      <c r="AH15" s="28" t="n">
        <f aca="false">MAX(0,N15-AG15)</f>
        <v>0.91854</v>
      </c>
      <c r="AI15" s="28" t="n">
        <f aca="false">MIN(AH15,MAX(0,T15-S15))</f>
        <v>0.91854</v>
      </c>
    </row>
    <row r="16" customFormat="false" ht="15" hidden="false" customHeight="false" outlineLevel="0" collapsed="false">
      <c r="A16" s="2" t="str">
        <f aca="false">Assumptions!A123</f>
        <v>C12</v>
      </c>
      <c r="B16" s="2" t="str">
        <f aca="false">Assumptions!B123</f>
        <v>StepStone (30-day single ad)</v>
      </c>
      <c r="C16" s="2" t="str">
        <f aca="false">Assumptions!C123</f>
        <v>Supervisors</v>
      </c>
      <c r="D16" s="2" t="s">
        <v>282</v>
      </c>
      <c r="E16" s="2" t="str">
        <f aca="false">Assumptions!D123</f>
        <v>Slot</v>
      </c>
      <c r="F16" s="39" t="n">
        <f aca="false">Assumptions!E123</f>
        <v>1449</v>
      </c>
      <c r="G16" s="25" t="n">
        <f aca="false">IF(E16="Free","",Assumptions!F123)</f>
        <v>12</v>
      </c>
      <c r="H16" s="39" t="n">
        <f aca="false">MAX(0,IF(OR(E16="CPC",E16="Slot"),IF(N(G16)&gt;0,F16/G16,0),F16))</f>
        <v>120.75</v>
      </c>
      <c r="I16" s="26" t="n">
        <f aca="false">Assumptions!G123</f>
        <v>0.09</v>
      </c>
      <c r="J16" s="25" t="n">
        <f aca="false">IF(AND(OR(E16="CPC",E16="Slot"),NOT(N(G16)&gt;0)),0,IF(E16="Slot",Assumptions!H123*G16,Assumptions!H123))</f>
        <v>12</v>
      </c>
      <c r="K16" s="28" t="n">
        <f aca="false">J16*I16</f>
        <v>1.08</v>
      </c>
      <c r="L16" s="27" t="n">
        <f aca="false">INDEX(Funnel!$G$5:$G$8,MATCH(C16,Funnel!$A$5:$A$8,0))*M16</f>
        <v>0.238</v>
      </c>
      <c r="M16" s="40" t="n">
        <f aca="false">Assumptions!I123</f>
        <v>1</v>
      </c>
      <c r="N16" s="28" t="n">
        <f aca="false">K16*L16</f>
        <v>0.25704</v>
      </c>
      <c r="O16" s="37" t="n">
        <f aca="false">IF(I16&gt;0,H16/I16,0)</f>
        <v>1341.66666666667</v>
      </c>
      <c r="P16" s="37" t="n">
        <f aca="false">IF(N16&gt;0,(N16/L16/I16*H16+Assumptions!J123)/N16,0)</f>
        <v>5637.25490196079</v>
      </c>
      <c r="Q16" s="41" t="n">
        <f aca="false">P16+ROW()/1000000</f>
        <v>5637.25491796079</v>
      </c>
      <c r="R16" s="25" t="n">
        <f aca="false">SUMPRODUCT(($C$5:$C$34=C16)*($Q$5:$Q$34&lt;Q16))+1</f>
        <v>5</v>
      </c>
      <c r="S16" s="28" t="n">
        <f aca="false">SUMPRODUCT(($C$5:$C$34=C16)*($Q$5:$Q$34&lt;Q16)*$AH$5:$AH$34)</f>
        <v>3.53498425</v>
      </c>
      <c r="T16" s="28" t="n">
        <f aca="false">INDEX(Funnel!$B$5:$B$8,MATCH(C16,Funnel!$A$5:$A$8,0))-SUMIFS($AG$5:$AG$34,$C$5:$C$34,C16)</f>
        <v>9.66207196532669</v>
      </c>
      <c r="U16" s="42" t="n">
        <f aca="false">AG16+AI16</f>
        <v>0.25704</v>
      </c>
      <c r="V16" s="28" t="n">
        <f aca="false">IF(L16&gt;0,U16/L16,0)</f>
        <v>1.08</v>
      </c>
      <c r="W16" s="25" t="n">
        <f aca="false">IF(I16&gt;0,V16/I16,0)</f>
        <v>12</v>
      </c>
      <c r="X16" s="37" t="n">
        <f aca="false">IF(E16="Slot",IF(N(G16)&gt;0,ROUNDUP(W16/G16,0)*MAX(0,F16),0),W16*H16)</f>
        <v>1449</v>
      </c>
      <c r="Y16" s="37" t="n">
        <f aca="false">IF(U16&gt;0,Assumptions!J123,0)</f>
        <v>0</v>
      </c>
      <c r="Z16" s="37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37" t="n">
        <f aca="false">X16+Y16</f>
        <v>1449</v>
      </c>
      <c r="AB16" s="37" t="n">
        <f aca="false">IF(U16&gt;0,(X16+Y16)/U16,"–")</f>
        <v>5637.25490196078</v>
      </c>
      <c r="AC16" s="25" t="n">
        <f aca="false">SUMPRODUCT(--($Q$5:$Q$34&lt;Q16))+1</f>
        <v>27</v>
      </c>
      <c r="AD16" s="2" t="str">
        <f aca="false">IF(AND(AH16&gt;0,AI16&gt;=AH16*0.999),"Used to capacity",IF(AI16&gt;0,"Marginal (fills the gap)",IF(Z16&gt;0,"Test only (wk 1–2)","Not used")))</f>
        <v>Used to capacity</v>
      </c>
      <c r="AE16" s="28" t="n">
        <f aca="false">IF(H16&gt;0,Z16/H16,0)</f>
        <v>0</v>
      </c>
      <c r="AF16" s="28" t="n">
        <f aca="false">AE16*I16</f>
        <v>0</v>
      </c>
      <c r="AG16" s="28" t="n">
        <f aca="false">AF16*L16</f>
        <v>0</v>
      </c>
      <c r="AH16" s="28" t="n">
        <f aca="false">MAX(0,N16-AG16)</f>
        <v>0.25704</v>
      </c>
      <c r="AI16" s="28" t="n">
        <f aca="false">MIN(AH16,MAX(0,T16-S16))</f>
        <v>0.25704</v>
      </c>
    </row>
    <row r="17" customFormat="false" ht="15" hidden="false" customHeight="false" outlineLevel="0" collapsed="false">
      <c r="A17" s="2" t="str">
        <f aca="false">Assumptions!A124</f>
        <v>C13</v>
      </c>
      <c r="B17" s="2" t="str">
        <f aca="false">Assumptions!B124</f>
        <v>LinkedIn (promoted jobs + InMail)</v>
      </c>
      <c r="C17" s="2" t="str">
        <f aca="false">Assumptions!C124</f>
        <v>Automation</v>
      </c>
      <c r="D17" s="2" t="s">
        <v>282</v>
      </c>
      <c r="E17" s="2" t="str">
        <f aca="false">Assumptions!D124</f>
        <v>CPA</v>
      </c>
      <c r="F17" s="39" t="n">
        <f aca="false">Assumptions!E124</f>
        <v>96</v>
      </c>
      <c r="G17" s="25" t="n">
        <f aca="false">IF(E17="Free","",Assumptions!F124)</f>
        <v>0</v>
      </c>
      <c r="H17" s="39" t="n">
        <f aca="false">MAX(0,IF(OR(E17="CPC",E17="Slot"),IF(N(G17)&gt;0,F17/G17,0),F17))</f>
        <v>96</v>
      </c>
      <c r="I17" s="26" t="n">
        <f aca="false">Assumptions!G124</f>
        <v>0.135</v>
      </c>
      <c r="J17" s="25" t="n">
        <f aca="false">IF(AND(OR(E17="CPC",E17="Slot"),NOT(N(G17)&gt;0)),0,IF(E17="Slot",Assumptions!H124*G17,Assumptions!H124))</f>
        <v>150</v>
      </c>
      <c r="K17" s="28" t="n">
        <f aca="false">J17*I17</f>
        <v>20.25</v>
      </c>
      <c r="L17" s="27" t="n">
        <f aca="false">INDEX(Funnel!$G$5:$G$8,MATCH(C17,Funnel!$A$5:$A$8,0))*M17</f>
        <v>0.2835</v>
      </c>
      <c r="M17" s="40" t="n">
        <f aca="false">Assumptions!I124</f>
        <v>1</v>
      </c>
      <c r="N17" s="28" t="n">
        <f aca="false">K17*L17</f>
        <v>5.740875</v>
      </c>
      <c r="O17" s="37" t="n">
        <f aca="false">IF(I17&gt;0,H17/I17,0)</f>
        <v>711.111111111111</v>
      </c>
      <c r="P17" s="37" t="n">
        <f aca="false">IF(N17&gt;0,(N17/L17/I17*H17+Assumptions!J124)/N17,0)</f>
        <v>2508.32843425436</v>
      </c>
      <c r="Q17" s="41" t="n">
        <f aca="false">P17+ROW()/1000000</f>
        <v>2508.32845125436</v>
      </c>
      <c r="R17" s="25" t="n">
        <f aca="false">SUMPRODUCT(($C$5:$C$34=C17)*($Q$5:$Q$34&lt;Q17))+1</f>
        <v>4</v>
      </c>
      <c r="S17" s="28" t="n">
        <f aca="false">SUMPRODUCT(($C$5:$C$34=C17)*($Q$5:$Q$34&lt;Q17)*$AH$5:$AH$34)</f>
        <v>3.45855825</v>
      </c>
      <c r="T17" s="28" t="n">
        <f aca="false">INDEX(Funnel!$B$5:$B$8,MATCH(C17,Funnel!$A$5:$A$8,0))-SUMIFS($AG$5:$AG$34,$C$5:$C$34,C17)</f>
        <v>14.3962021145176</v>
      </c>
      <c r="U17" s="42" t="n">
        <f aca="false">AG17+AI17</f>
        <v>5.740875</v>
      </c>
      <c r="V17" s="28" t="n">
        <f aca="false">IF(L17&gt;0,U17/L17,0)</f>
        <v>20.25</v>
      </c>
      <c r="W17" s="25" t="n">
        <f aca="false">IF(I17&gt;0,V17/I17,0)</f>
        <v>150</v>
      </c>
      <c r="X17" s="37" t="n">
        <f aca="false">IF(E17="Slot",IF(N(G17)&gt;0,ROUNDUP(W17/G17,0)*MAX(0,F17),0),W17*H17)</f>
        <v>14400</v>
      </c>
      <c r="Y17" s="37" t="n">
        <f aca="false">IF(U17&gt;0,Assumptions!J124,0)</f>
        <v>0</v>
      </c>
      <c r="Z17" s="37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37" t="n">
        <f aca="false">X17+Y17</f>
        <v>14400</v>
      </c>
      <c r="AB17" s="37" t="n">
        <f aca="false">IF(U17&gt;0,(X17+Y17)/U17,"–")</f>
        <v>2508.32843425436</v>
      </c>
      <c r="AC17" s="25" t="n">
        <f aca="false">SUMPRODUCT(--($Q$5:$Q$34&lt;Q17))+1</f>
        <v>18</v>
      </c>
      <c r="AD17" s="2" t="str">
        <f aca="false">IF(AND(AH17&gt;0,AI17&gt;=AH17*0.999),"Used to capacity",IF(AI17&gt;0,"Marginal (fills the gap)",IF(Z17&gt;0,"Test only (wk 1–2)","Not used")))</f>
        <v>Used to capacity</v>
      </c>
      <c r="AE17" s="28" t="n">
        <f aca="false">IF(H17&gt;0,Z17/H17,0)</f>
        <v>7.8125</v>
      </c>
      <c r="AF17" s="28" t="n">
        <f aca="false">AE17*I17</f>
        <v>1.0546875</v>
      </c>
      <c r="AG17" s="28" t="n">
        <f aca="false">AF17*L17</f>
        <v>0.29900390625</v>
      </c>
      <c r="AH17" s="28" t="n">
        <f aca="false">MAX(0,N17-AG17)</f>
        <v>5.44187109375</v>
      </c>
      <c r="AI17" s="28" t="n">
        <f aca="false">MIN(AH17,MAX(0,T17-S17))</f>
        <v>5.44187109375</v>
      </c>
    </row>
    <row r="18" customFormat="false" ht="15" hidden="false" customHeight="false" outlineLevel="0" collapsed="false">
      <c r="A18" s="2" t="str">
        <f aca="false">Assumptions!A125</f>
        <v>C14</v>
      </c>
      <c r="B18" s="2" t="str">
        <f aca="false">Assumptions!B125</f>
        <v>LinkedIn (promoted jobs + InMail)</v>
      </c>
      <c r="C18" s="2" t="str">
        <f aca="false">Assumptions!C125</f>
        <v>Supervisors</v>
      </c>
      <c r="D18" s="2" t="s">
        <v>282</v>
      </c>
      <c r="E18" s="2" t="str">
        <f aca="false">Assumptions!D125</f>
        <v>CPA</v>
      </c>
      <c r="F18" s="39" t="n">
        <f aca="false">Assumptions!E125</f>
        <v>96</v>
      </c>
      <c r="G18" s="25" t="n">
        <f aca="false">IF(E18="Free","",Assumptions!F125)</f>
        <v>0</v>
      </c>
      <c r="H18" s="39" t="n">
        <f aca="false">MAX(0,IF(OR(E18="CPC",E18="Slot"),IF(N(G18)&gt;0,F18/G18,0),F18))</f>
        <v>96</v>
      </c>
      <c r="I18" s="26" t="n">
        <f aca="false">Assumptions!G125</f>
        <v>0.09</v>
      </c>
      <c r="J18" s="25" t="n">
        <f aca="false">IF(AND(OR(E18="CPC",E18="Slot"),NOT(N(G18)&gt;0)),0,IF(E18="Slot",Assumptions!H125*G18,Assumptions!H125))</f>
        <v>100</v>
      </c>
      <c r="K18" s="28" t="n">
        <f aca="false">J18*I18</f>
        <v>9</v>
      </c>
      <c r="L18" s="27" t="n">
        <f aca="false">INDEX(Funnel!$G$5:$G$8,MATCH(C18,Funnel!$A$5:$A$8,0))*M18</f>
        <v>0.238</v>
      </c>
      <c r="M18" s="40" t="n">
        <f aca="false">Assumptions!I125</f>
        <v>1</v>
      </c>
      <c r="N18" s="28" t="n">
        <f aca="false">K18*L18</f>
        <v>2.142</v>
      </c>
      <c r="O18" s="37" t="n">
        <f aca="false">IF(I18&gt;0,H18/I18,0)</f>
        <v>1066.66666666667</v>
      </c>
      <c r="P18" s="37" t="n">
        <f aca="false">IF(N18&gt;0,(N18/L18/I18*H18+Assumptions!J125)/N18,0)</f>
        <v>4481.79271708684</v>
      </c>
      <c r="Q18" s="41" t="n">
        <f aca="false">P18+ROW()/1000000</f>
        <v>4481.79273508684</v>
      </c>
      <c r="R18" s="25" t="n">
        <f aca="false">SUMPRODUCT(($C$5:$C$34=C18)*($Q$5:$Q$34&lt;Q18))+1</f>
        <v>4</v>
      </c>
      <c r="S18" s="28" t="n">
        <f aca="false">SUMPRODUCT(($C$5:$C$34=C18)*($Q$5:$Q$34&lt;Q18)*$AH$5:$AH$34)</f>
        <v>1.560328</v>
      </c>
      <c r="T18" s="28" t="n">
        <f aca="false">INDEX(Funnel!$B$5:$B$8,MATCH(C18,Funnel!$A$5:$A$8,0))-SUMIFS($AG$5:$AG$34,$C$5:$C$34,C18)</f>
        <v>9.66207196532669</v>
      </c>
      <c r="U18" s="42" t="n">
        <f aca="false">AG18+AI18</f>
        <v>2.142</v>
      </c>
      <c r="V18" s="28" t="n">
        <f aca="false">IF(L18&gt;0,U18/L18,0)</f>
        <v>9</v>
      </c>
      <c r="W18" s="25" t="n">
        <f aca="false">IF(I18&gt;0,V18/I18,0)</f>
        <v>100</v>
      </c>
      <c r="X18" s="37" t="n">
        <f aca="false">IF(E18="Slot",IF(N(G18)&gt;0,ROUNDUP(W18/G18,0)*MAX(0,F18),0),W18*H18)</f>
        <v>9600</v>
      </c>
      <c r="Y18" s="37" t="n">
        <f aca="false">IF(U18&gt;0,Assumptions!J125,0)</f>
        <v>0</v>
      </c>
      <c r="Z18" s="37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37" t="n">
        <f aca="false">X18+Y18</f>
        <v>9600</v>
      </c>
      <c r="AB18" s="37" t="n">
        <f aca="false">IF(U18&gt;0,(X18+Y18)/U18,"–")</f>
        <v>4481.79271708684</v>
      </c>
      <c r="AC18" s="25" t="n">
        <f aca="false">SUMPRODUCT(--($Q$5:$Q$34&lt;Q18))+1</f>
        <v>25</v>
      </c>
      <c r="AD18" s="2" t="str">
        <f aca="false">IF(AND(AH18&gt;0,AI18&gt;=AH18*0.999),"Used to capacity",IF(AI18&gt;0,"Marginal (fills the gap)",IF(Z18&gt;0,"Test only (wk 1–2)","Not used")))</f>
        <v>Used to capacity</v>
      </c>
      <c r="AE18" s="28" t="n">
        <f aca="false">IF(H18&gt;0,Z18/H18,0)</f>
        <v>7.8125</v>
      </c>
      <c r="AF18" s="28" t="n">
        <f aca="false">AE18*I18</f>
        <v>0.703125</v>
      </c>
      <c r="AG18" s="28" t="n">
        <f aca="false">AF18*L18</f>
        <v>0.16734375</v>
      </c>
      <c r="AH18" s="28" t="n">
        <f aca="false">MAX(0,N18-AG18)</f>
        <v>1.97465625</v>
      </c>
      <c r="AI18" s="28" t="n">
        <f aca="false">MIN(AH18,MAX(0,T18-S18))</f>
        <v>1.97465625</v>
      </c>
    </row>
    <row r="19" customFormat="false" ht="15" hidden="false" customHeight="false" outlineLevel="0" collapsed="false">
      <c r="A19" s="2" t="str">
        <f aca="false">Assumptions!A126</f>
        <v>C15</v>
      </c>
      <c r="B19" s="2" t="str">
        <f aca="false">Assumptions!B126</f>
        <v>Meta social (FB/IG lead ads, 75 km geo)</v>
      </c>
      <c r="C19" s="2" t="str">
        <f aca="false">Assumptions!C126</f>
        <v>Electricians</v>
      </c>
      <c r="D19" s="2" t="s">
        <v>282</v>
      </c>
      <c r="E19" s="2" t="str">
        <f aca="false">Assumptions!D126</f>
        <v>CPA</v>
      </c>
      <c r="F19" s="39" t="n">
        <f aca="false">Assumptions!E126</f>
        <v>84</v>
      </c>
      <c r="G19" s="25" t="n">
        <f aca="false">IF(E19="Free","",Assumptions!F126)</f>
        <v>0</v>
      </c>
      <c r="H19" s="39" t="n">
        <f aca="false">MAX(0,IF(OR(E19="CPC",E19="Slot"),IF(N(G19)&gt;0,F19/G19,0),F19))</f>
        <v>84</v>
      </c>
      <c r="I19" s="26" t="n">
        <f aca="false">Assumptions!G126</f>
        <v>0.075</v>
      </c>
      <c r="J19" s="25" t="n">
        <f aca="false">IF(AND(OR(E19="CPC",E19="Slot"),NOT(N(G19)&gt;0)),0,IF(E19="Slot",Assumptions!H126*G19,Assumptions!H126))</f>
        <v>400</v>
      </c>
      <c r="K19" s="28" t="n">
        <f aca="false">J19*I19</f>
        <v>30</v>
      </c>
      <c r="L19" s="27" t="n">
        <f aca="false">INDEX(Funnel!$G$5:$G$8,MATCH(C19,Funnel!$A$5:$A$8,0))*M19</f>
        <v>0.315</v>
      </c>
      <c r="M19" s="40" t="n">
        <f aca="false">Assumptions!I126</f>
        <v>1</v>
      </c>
      <c r="N19" s="28" t="n">
        <f aca="false">K19*L19</f>
        <v>9.45</v>
      </c>
      <c r="O19" s="37" t="n">
        <f aca="false">IF(I19&gt;0,H19/I19,0)</f>
        <v>1120</v>
      </c>
      <c r="P19" s="37" t="n">
        <f aca="false">IF(N19&gt;0,(N19/L19/I19*H19+Assumptions!J126)/N19,0)</f>
        <v>3555.55555555556</v>
      </c>
      <c r="Q19" s="41" t="n">
        <f aca="false">P19+ROW()/1000000</f>
        <v>3555.55557455556</v>
      </c>
      <c r="R19" s="25" t="n">
        <f aca="false">SUMPRODUCT(($C$5:$C$34=C19)*($Q$5:$Q$34&lt;Q19))+1</f>
        <v>6</v>
      </c>
      <c r="S19" s="28" t="n">
        <f aca="false">SUMPRODUCT(($C$5:$C$34=C19)*($Q$5:$Q$34&lt;Q19)*$AH$5:$AH$34)</f>
        <v>17.1994725</v>
      </c>
      <c r="T19" s="28" t="n">
        <f aca="false">INDEX(Funnel!$B$5:$B$8,MATCH(C19,Funnel!$A$5:$A$8,0))-SUMIFS($AG$5:$AG$34,$C$5:$C$34,C19)</f>
        <v>29.4504025230751</v>
      </c>
      <c r="U19" s="42" t="n">
        <f aca="false">AG19+AI19</f>
        <v>9.45</v>
      </c>
      <c r="V19" s="28" t="n">
        <f aca="false">IF(L19&gt;0,U19/L19,0)</f>
        <v>30</v>
      </c>
      <c r="W19" s="25" t="n">
        <f aca="false">IF(I19&gt;0,V19/I19,0)</f>
        <v>400</v>
      </c>
      <c r="X19" s="37" t="n">
        <f aca="false">IF(E19="Slot",IF(N(G19)&gt;0,ROUNDUP(W19/G19,0)*MAX(0,F19),0),W19*H19)</f>
        <v>33600</v>
      </c>
      <c r="Y19" s="37" t="n">
        <f aca="false">IF(U19&gt;0,Assumptions!J126,0)</f>
        <v>0</v>
      </c>
      <c r="Z19" s="37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37" t="n">
        <f aca="false">X19+Y19</f>
        <v>33600</v>
      </c>
      <c r="AB19" s="37" t="n">
        <f aca="false">IF(U19&gt;0,(X19+Y19)/U19,"–")</f>
        <v>3555.55555555556</v>
      </c>
      <c r="AC19" s="25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28" t="n">
        <f aca="false">IF(H19&gt;0,Z19/H19,0)</f>
        <v>8.92857142857143</v>
      </c>
      <c r="AF19" s="28" t="n">
        <f aca="false">AE19*I19</f>
        <v>0.669642857142857</v>
      </c>
      <c r="AG19" s="28" t="n">
        <f aca="false">AF19*L19</f>
        <v>0.2109375</v>
      </c>
      <c r="AH19" s="28" t="n">
        <f aca="false">MAX(0,N19-AG19)</f>
        <v>9.2390625</v>
      </c>
      <c r="AI19" s="28" t="n">
        <f aca="false">MIN(AH19,MAX(0,T19-S19))</f>
        <v>9.2390625</v>
      </c>
    </row>
    <row r="20" customFormat="false" ht="15" hidden="false" customHeight="false" outlineLevel="0" collapsed="false">
      <c r="A20" s="2" t="str">
        <f aca="false">Assumptions!A127</f>
        <v>C16</v>
      </c>
      <c r="B20" s="2" t="str">
        <f aca="false">Assumptions!B127</f>
        <v>Meta social (FB/IG lead ads, 75 km geo)</v>
      </c>
      <c r="C20" s="2" t="str">
        <f aca="false">Assumptions!C127</f>
        <v>Mechatronics</v>
      </c>
      <c r="D20" s="2" t="s">
        <v>282</v>
      </c>
      <c r="E20" s="2" t="str">
        <f aca="false">Assumptions!D127</f>
        <v>CPA</v>
      </c>
      <c r="F20" s="39" t="n">
        <f aca="false">Assumptions!E127</f>
        <v>84</v>
      </c>
      <c r="G20" s="25" t="n">
        <f aca="false">IF(E20="Free","",Assumptions!F127)</f>
        <v>0</v>
      </c>
      <c r="H20" s="39" t="n">
        <f aca="false">MAX(0,IF(OR(E20="CPC",E20="Slot"),IF(N(G20)&gt;0,F20/G20,0),F20))</f>
        <v>84</v>
      </c>
      <c r="I20" s="26" t="n">
        <f aca="false">Assumptions!G127</f>
        <v>0.11</v>
      </c>
      <c r="J20" s="25" t="n">
        <f aca="false">IF(AND(OR(E20="CPC",E20="Slot"),NOT(N(G20)&gt;0)),0,IF(E20="Slot",Assumptions!H127*G20,Assumptions!H127))</f>
        <v>200</v>
      </c>
      <c r="K20" s="28" t="n">
        <f aca="false">J20*I20</f>
        <v>22</v>
      </c>
      <c r="L20" s="27" t="n">
        <f aca="false">INDEX(Funnel!$G$5:$G$8,MATCH(C20,Funnel!$A$5:$A$8,0))*M20</f>
        <v>0.37125</v>
      </c>
      <c r="M20" s="40" t="n">
        <f aca="false">Assumptions!I127</f>
        <v>1</v>
      </c>
      <c r="N20" s="28" t="n">
        <f aca="false">K20*L20</f>
        <v>8.1675</v>
      </c>
      <c r="O20" s="37" t="n">
        <f aca="false">IF(I20&gt;0,H20/I20,0)</f>
        <v>763.636363636364</v>
      </c>
      <c r="P20" s="37" t="n">
        <f aca="false">IF(N20&gt;0,(N20/L20/I20*H20+Assumptions!J127)/N20,0)</f>
        <v>2056.93296602388</v>
      </c>
      <c r="Q20" s="41" t="n">
        <f aca="false">P20+ROW()/1000000</f>
        <v>2056.93298602388</v>
      </c>
      <c r="R20" s="25" t="n">
        <f aca="false">SUMPRODUCT(($C$5:$C$34=C20)*($Q$5:$Q$34&lt;Q20))+1</f>
        <v>6</v>
      </c>
      <c r="S20" s="28" t="n">
        <f aca="false">SUMPRODUCT(($C$5:$C$34=C20)*($Q$5:$Q$34&lt;Q20)*$AH$5:$AH$34)</f>
        <v>36.252729</v>
      </c>
      <c r="T20" s="28" t="n">
        <f aca="false">INDEX(Funnel!$B$5:$B$8,MATCH(C20,Funnel!$A$5:$A$8,0))-SUMIFS($AG$5:$AG$34,$C$5:$C$34,C20)</f>
        <v>44.0499815041726</v>
      </c>
      <c r="U20" s="42" t="n">
        <f aca="false">AG20+AI20</f>
        <v>8.16187303988688</v>
      </c>
      <c r="V20" s="28" t="n">
        <f aca="false">IF(L20&gt;0,U20/L20,0)</f>
        <v>21.9848432050825</v>
      </c>
      <c r="W20" s="25" t="n">
        <f aca="false">IF(I20&gt;0,V20/I20,0)</f>
        <v>199.862210955295</v>
      </c>
      <c r="X20" s="37" t="n">
        <f aca="false">IF(E20="Slot",IF(N(G20)&gt;0,ROUNDUP(W20/G20,0)*MAX(0,F20),0),W20*H20)</f>
        <v>16788.4257202448</v>
      </c>
      <c r="Y20" s="37" t="n">
        <f aca="false">IF(U20&gt;0,Assumptions!J127,0)</f>
        <v>0</v>
      </c>
      <c r="Z20" s="37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37" t="n">
        <f aca="false">X20+Y20</f>
        <v>16788.4257202448</v>
      </c>
      <c r="AB20" s="37" t="n">
        <f aca="false">IF(U20&gt;0,(X20+Y20)/U20,"–")</f>
        <v>2056.93296602388</v>
      </c>
      <c r="AC20" s="25" t="n">
        <f aca="false">SUMPRODUCT(--($Q$5:$Q$34&lt;Q20))+1</f>
        <v>15</v>
      </c>
      <c r="AD20" s="2" t="str">
        <f aca="false">IF(AND(AH20&gt;0,AI20&gt;=AH20*0.999),"Used to capacity",IF(AI20&gt;0,"Marginal (fills the gap)",IF(Z20&gt;0,"Test only (wk 1–2)","Not used")))</f>
        <v>Used to capacity</v>
      </c>
      <c r="AE20" s="28" t="n">
        <f aca="false">IF(H20&gt;0,Z20/H20,0)</f>
        <v>8.92857142857143</v>
      </c>
      <c r="AF20" s="28" t="n">
        <f aca="false">AE20*I20</f>
        <v>0.982142857142857</v>
      </c>
      <c r="AG20" s="28" t="n">
        <f aca="false">AF20*L20</f>
        <v>0.364620535714286</v>
      </c>
      <c r="AH20" s="28" t="n">
        <f aca="false">MAX(0,N20-AG20)</f>
        <v>7.80287946428572</v>
      </c>
      <c r="AI20" s="28" t="n">
        <f aca="false">MIN(AH20,MAX(0,T20-S20))</f>
        <v>7.79725250417259</v>
      </c>
    </row>
    <row r="21" customFormat="false" ht="15" hidden="false" customHeight="false" outlineLevel="0" collapsed="false">
      <c r="A21" s="2" t="str">
        <f aca="false">Assumptions!A128</f>
        <v>C17</v>
      </c>
      <c r="B21" s="2" t="str">
        <f aca="false">Assumptions!B128</f>
        <v>Google Search ads (job-intent keywords)</v>
      </c>
      <c r="C21" s="2" t="str">
        <f aca="false">Assumptions!C128</f>
        <v>Electricians</v>
      </c>
      <c r="D21" s="2" t="s">
        <v>282</v>
      </c>
      <c r="E21" s="2" t="str">
        <f aca="false">Assumptions!D128</f>
        <v>CPA</v>
      </c>
      <c r="F21" s="39" t="n">
        <f aca="false">Assumptions!E128</f>
        <v>179</v>
      </c>
      <c r="G21" s="25" t="n">
        <f aca="false">IF(E21="Free","",Assumptions!F128)</f>
        <v>0</v>
      </c>
      <c r="H21" s="39" t="n">
        <f aca="false">MAX(0,IF(OR(E21="CPC",E21="Slot"),IF(N(G21)&gt;0,F21/G21,0),F21))</f>
        <v>179</v>
      </c>
      <c r="I21" s="26" t="n">
        <f aca="false">Assumptions!G128</f>
        <v>0.1065</v>
      </c>
      <c r="J21" s="25" t="n">
        <f aca="false">IF(AND(OR(E21="CPC",E21="Slot"),NOT(N(G21)&gt;0)),0,IF(E21="Slot",Assumptions!H128*G21,Assumptions!H128))</f>
        <v>80</v>
      </c>
      <c r="K21" s="28" t="n">
        <f aca="false">J21*I21</f>
        <v>8.52</v>
      </c>
      <c r="L21" s="27" t="n">
        <f aca="false">INDEX(Funnel!$G$5:$G$8,MATCH(C21,Funnel!$A$5:$A$8,0))*M21</f>
        <v>0.315</v>
      </c>
      <c r="M21" s="40" t="n">
        <f aca="false">Assumptions!I128</f>
        <v>1</v>
      </c>
      <c r="N21" s="28" t="n">
        <f aca="false">K21*L21</f>
        <v>2.6838</v>
      </c>
      <c r="O21" s="37" t="n">
        <f aca="false">IF(I21&gt;0,H21/I21,0)</f>
        <v>1680.75117370892</v>
      </c>
      <c r="P21" s="37" t="n">
        <f aca="false">IF(N21&gt;0,(N21/L21/I21*H21+Assumptions!J128)/N21,0)</f>
        <v>5335.71801177435</v>
      </c>
      <c r="Q21" s="41" t="n">
        <f aca="false">P21+ROW()/1000000</f>
        <v>5335.71803277435</v>
      </c>
      <c r="R21" s="25" t="n">
        <f aca="false">SUMPRODUCT(($C$5:$C$34=C21)*($Q$5:$Q$34&lt;Q21))+1</f>
        <v>8</v>
      </c>
      <c r="S21" s="28" t="n">
        <f aca="false">SUMPRODUCT(($C$5:$C$34=C21)*($Q$5:$Q$34&lt;Q21)*$AH$5:$AH$34)</f>
        <v>45.3766871739131</v>
      </c>
      <c r="T21" s="28" t="n">
        <f aca="false">INDEX(Funnel!$B$5:$B$8,MATCH(C21,Funnel!$A$5:$A$8,0))-SUMIFS($AG$5:$AG$34,$C$5:$C$34,C21)</f>
        <v>29.4504025230751</v>
      </c>
      <c r="U21" s="42" t="n">
        <f aca="false">AG21+AI21</f>
        <v>0.140562150837989</v>
      </c>
      <c r="V21" s="28" t="n">
        <f aca="false">IF(L21&gt;0,U21/L21,0)</f>
        <v>0.44622905027933</v>
      </c>
      <c r="W21" s="25" t="n">
        <f aca="false">IF(I21&gt;0,V21/I21,0)</f>
        <v>4.18994413407821</v>
      </c>
      <c r="X21" s="37" t="n">
        <f aca="false">IF(E21="Slot",IF(N(G21)&gt;0,ROUNDUP(W21/G21,0)*MAX(0,F21),0),W21*H21)</f>
        <v>750</v>
      </c>
      <c r="Y21" s="37" t="n">
        <f aca="false">IF(U21&gt;0,Assumptions!J128,0)</f>
        <v>0</v>
      </c>
      <c r="Z21" s="37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37" t="n">
        <f aca="false">X21+Y21</f>
        <v>750</v>
      </c>
      <c r="AB21" s="37" t="n">
        <f aca="false">IF(U21&gt;0,(X21+Y21)/U21,"–")</f>
        <v>5335.71801177435</v>
      </c>
      <c r="AC21" s="25" t="n">
        <f aca="false">SUMPRODUCT(--($Q$5:$Q$34&lt;Q21))+1</f>
        <v>26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28" t="n">
        <f aca="false">IF(H21&gt;0,Z21/H21,0)</f>
        <v>4.18994413407821</v>
      </c>
      <c r="AF21" s="28" t="n">
        <f aca="false">AE21*I21</f>
        <v>0.44622905027933</v>
      </c>
      <c r="AG21" s="28" t="n">
        <f aca="false">AF21*L21</f>
        <v>0.140562150837989</v>
      </c>
      <c r="AH21" s="28" t="n">
        <f aca="false">MAX(0,N21-AG21)</f>
        <v>2.54323784916201</v>
      </c>
      <c r="AI21" s="28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Assumptions!A129</f>
        <v>C18</v>
      </c>
      <c r="B22" s="2" t="str">
        <f aca="false">Assumptions!B129</f>
        <v>Google Search ads (job-intent keywords)</v>
      </c>
      <c r="C22" s="2" t="str">
        <f aca="false">Assumptions!C129</f>
        <v>Mechatronics</v>
      </c>
      <c r="D22" s="2" t="s">
        <v>282</v>
      </c>
      <c r="E22" s="2" t="str">
        <f aca="false">Assumptions!D129</f>
        <v>CPA</v>
      </c>
      <c r="F22" s="39" t="n">
        <f aca="false">Assumptions!E129</f>
        <v>179</v>
      </c>
      <c r="G22" s="25" t="n">
        <f aca="false">IF(E22="Free","",Assumptions!F129)</f>
        <v>0</v>
      </c>
      <c r="H22" s="39" t="n">
        <f aca="false">MAX(0,IF(OR(E22="CPC",E22="Slot"),IF(N(G22)&gt;0,F22/G22,0),F22))</f>
        <v>179</v>
      </c>
      <c r="I22" s="26" t="n">
        <f aca="false">Assumptions!G129</f>
        <v>0.1562</v>
      </c>
      <c r="J22" s="25" t="n">
        <f aca="false">IF(AND(OR(E22="CPC",E22="Slot"),NOT(N(G22)&gt;0)),0,IF(E22="Slot",Assumptions!H129*G22,Assumptions!H129))</f>
        <v>100</v>
      </c>
      <c r="K22" s="28" t="n">
        <f aca="false">J22*I22</f>
        <v>15.62</v>
      </c>
      <c r="L22" s="27" t="n">
        <f aca="false">INDEX(Funnel!$G$5:$G$8,MATCH(C22,Funnel!$A$5:$A$8,0))*M22</f>
        <v>0.37125</v>
      </c>
      <c r="M22" s="40" t="n">
        <f aca="false">Assumptions!I129</f>
        <v>1</v>
      </c>
      <c r="N22" s="28" t="n">
        <f aca="false">K22*L22</f>
        <v>5.798925</v>
      </c>
      <c r="O22" s="37" t="n">
        <f aca="false">IF(I22&gt;0,H22/I22,0)</f>
        <v>1145.96670934699</v>
      </c>
      <c r="P22" s="37" t="n">
        <f aca="false">IF(N22&gt;0,(N22/L22/I22*H22+Assumptions!J129)/N22,0)</f>
        <v>3086.77901507607</v>
      </c>
      <c r="Q22" s="41" t="n">
        <f aca="false">P22+ROW()/1000000</f>
        <v>3086.77903707607</v>
      </c>
      <c r="R22" s="25" t="n">
        <f aca="false">SUMPRODUCT(($C$5:$C$34=C22)*($Q$5:$Q$34&lt;Q22))+1</f>
        <v>8</v>
      </c>
      <c r="S22" s="28" t="n">
        <f aca="false">SUMPRODUCT(($C$5:$C$34=C22)*($Q$5:$Q$34&lt;Q22)*$AH$5:$AH$34)</f>
        <v>87.8176822220497</v>
      </c>
      <c r="T22" s="28" t="n">
        <f aca="false">INDEX(Funnel!$B$5:$B$8,MATCH(C22,Funnel!$A$5:$A$8,0))-SUMIFS($AG$5:$AG$34,$C$5:$C$34,C22)</f>
        <v>44.0499815041726</v>
      </c>
      <c r="U22" s="42" t="n">
        <f aca="false">AG22+AI22</f>
        <v>0.242971717877095</v>
      </c>
      <c r="V22" s="28" t="n">
        <f aca="false">IF(L22&gt;0,U22/L22,0)</f>
        <v>0.654469273743017</v>
      </c>
      <c r="W22" s="25" t="n">
        <f aca="false">IF(I22&gt;0,V22/I22,0)</f>
        <v>4.18994413407821</v>
      </c>
      <c r="X22" s="37" t="n">
        <f aca="false">IF(E22="Slot",IF(N(G22)&gt;0,ROUNDUP(W22/G22,0)*MAX(0,F22),0),W22*H22)</f>
        <v>750</v>
      </c>
      <c r="Y22" s="37" t="n">
        <f aca="false">IF(U22&gt;0,Assumptions!J129,0)</f>
        <v>0</v>
      </c>
      <c r="Z22" s="37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37" t="n">
        <f aca="false">X22+Y22</f>
        <v>750</v>
      </c>
      <c r="AB22" s="37" t="n">
        <f aca="false">IF(U22&gt;0,(X22+Y22)/U22,"–")</f>
        <v>3086.77901507607</v>
      </c>
      <c r="AC22" s="25" t="n">
        <f aca="false">SUMPRODUCT(--($Q$5:$Q$34&lt;Q22))+1</f>
        <v>20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28" t="n">
        <f aca="false">IF(H22&gt;0,Z22/H22,0)</f>
        <v>4.18994413407821</v>
      </c>
      <c r="AF22" s="28" t="n">
        <f aca="false">AE22*I22</f>
        <v>0.654469273743017</v>
      </c>
      <c r="AG22" s="28" t="n">
        <f aca="false">AF22*L22</f>
        <v>0.242971717877095</v>
      </c>
      <c r="AH22" s="28" t="n">
        <f aca="false">MAX(0,N22-AG22)</f>
        <v>5.55595328212291</v>
      </c>
      <c r="AI22" s="28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Assumptions!A130</f>
        <v>C19</v>
      </c>
      <c r="B23" s="2" t="str">
        <f aca="false">Assumptions!B130</f>
        <v>Google Search ads (job-intent keywords)</v>
      </c>
      <c r="C23" s="2" t="str">
        <f aca="false">Assumptions!C130</f>
        <v>Automation</v>
      </c>
      <c r="D23" s="2" t="s">
        <v>282</v>
      </c>
      <c r="E23" s="2" t="str">
        <f aca="false">Assumptions!D130</f>
        <v>CPA</v>
      </c>
      <c r="F23" s="39" t="n">
        <f aca="false">Assumptions!E130</f>
        <v>179</v>
      </c>
      <c r="G23" s="25" t="n">
        <f aca="false">IF(E23="Free","",Assumptions!F130)</f>
        <v>0</v>
      </c>
      <c r="H23" s="39" t="n">
        <f aca="false">MAX(0,IF(OR(E23="CPC",E23="Slot"),IF(N(G23)&gt;0,F23/G23,0),F23))</f>
        <v>179</v>
      </c>
      <c r="I23" s="26" t="n">
        <f aca="false">Assumptions!G130</f>
        <v>0.1065</v>
      </c>
      <c r="J23" s="25" t="n">
        <f aca="false">IF(AND(OR(E23="CPC",E23="Slot"),NOT(N(G23)&gt;0)),0,IF(E23="Slot",Assumptions!H130*G23,Assumptions!H130))</f>
        <v>40</v>
      </c>
      <c r="K23" s="28" t="n">
        <f aca="false">J23*I23</f>
        <v>4.26</v>
      </c>
      <c r="L23" s="27" t="n">
        <f aca="false">INDEX(Funnel!$G$5:$G$8,MATCH(C23,Funnel!$A$5:$A$8,0))*M23</f>
        <v>0.2835</v>
      </c>
      <c r="M23" s="40" t="n">
        <f aca="false">Assumptions!I130</f>
        <v>1</v>
      </c>
      <c r="N23" s="28" t="n">
        <f aca="false">K23*L23</f>
        <v>1.20771</v>
      </c>
      <c r="O23" s="37" t="n">
        <f aca="false">IF(I23&gt;0,H23/I23,0)</f>
        <v>1680.75117370892</v>
      </c>
      <c r="P23" s="37" t="n">
        <f aca="false">IF(N23&gt;0,(N23/L23/I23*H23+Assumptions!J130)/N23,0)</f>
        <v>5928.57556863817</v>
      </c>
      <c r="Q23" s="41" t="n">
        <f aca="false">P23+ROW()/1000000</f>
        <v>5928.57559163817</v>
      </c>
      <c r="R23" s="25" t="n">
        <f aca="false">SUMPRODUCT(($C$5:$C$34=C23)*($Q$5:$Q$34&lt;Q23))+1</f>
        <v>7</v>
      </c>
      <c r="S23" s="28" t="n">
        <f aca="false">SUMPRODUCT(($C$5:$C$34=C23)*($Q$5:$Q$34&lt;Q23)*$AH$5:$AH$34)</f>
        <v>19.2088063002717</v>
      </c>
      <c r="T23" s="28" t="n">
        <f aca="false">INDEX(Funnel!$B$5:$B$8,MATCH(C23,Funnel!$A$5:$A$8,0))-SUMIFS($AG$5:$AG$34,$C$5:$C$34,C23)</f>
        <v>14.3962021145176</v>
      </c>
      <c r="U23" s="42" t="n">
        <f aca="false">AG23+AI23</f>
        <v>0.12650593575419</v>
      </c>
      <c r="V23" s="28" t="n">
        <f aca="false">IF(L23&gt;0,U23/L23,0)</f>
        <v>0.44622905027933</v>
      </c>
      <c r="W23" s="25" t="n">
        <f aca="false">IF(I23&gt;0,V23/I23,0)</f>
        <v>4.18994413407821</v>
      </c>
      <c r="X23" s="37" t="n">
        <f aca="false">IF(E23="Slot",IF(N(G23)&gt;0,ROUNDUP(W23/G23,0)*MAX(0,F23),0),W23*H23)</f>
        <v>750</v>
      </c>
      <c r="Y23" s="37" t="n">
        <f aca="false">IF(U23&gt;0,Assumptions!J130,0)</f>
        <v>0</v>
      </c>
      <c r="Z23" s="37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37" t="n">
        <f aca="false">X23+Y23</f>
        <v>750</v>
      </c>
      <c r="AB23" s="37" t="n">
        <f aca="false">IF(U23&gt;0,(X23+Y23)/U23,"–")</f>
        <v>5928.57556863817</v>
      </c>
      <c r="AC23" s="25" t="n">
        <f aca="false">SUMPRODUCT(--($Q$5:$Q$34&lt;Q23))+1</f>
        <v>28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28" t="n">
        <f aca="false">IF(H23&gt;0,Z23/H23,0)</f>
        <v>4.18994413407821</v>
      </c>
      <c r="AF23" s="28" t="n">
        <f aca="false">AE23*I23</f>
        <v>0.44622905027933</v>
      </c>
      <c r="AG23" s="28" t="n">
        <f aca="false">AF23*L23</f>
        <v>0.12650593575419</v>
      </c>
      <c r="AH23" s="28" t="n">
        <f aca="false">MAX(0,N23-AG23)</f>
        <v>1.08120406424581</v>
      </c>
      <c r="AI23" s="28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Assumptions!A131</f>
        <v>C20</v>
      </c>
      <c r="B24" s="2" t="str">
        <f aca="false">Assumptions!B131</f>
        <v>Google Search ads (job-intent keywords)</v>
      </c>
      <c r="C24" s="2" t="str">
        <f aca="false">Assumptions!C131</f>
        <v>Supervisors</v>
      </c>
      <c r="D24" s="2" t="s">
        <v>282</v>
      </c>
      <c r="E24" s="2" t="str">
        <f aca="false">Assumptions!D131</f>
        <v>CPA</v>
      </c>
      <c r="F24" s="39" t="n">
        <f aca="false">Assumptions!E131</f>
        <v>179</v>
      </c>
      <c r="G24" s="25" t="n">
        <f aca="false">IF(E24="Free","",Assumptions!F131)</f>
        <v>0</v>
      </c>
      <c r="H24" s="39" t="n">
        <f aca="false">MAX(0,IF(OR(E24="CPC",E24="Slot"),IF(N(G24)&gt;0,F24/G24,0),F24))</f>
        <v>179</v>
      </c>
      <c r="I24" s="26" t="n">
        <f aca="false">Assumptions!G131</f>
        <v>0.071</v>
      </c>
      <c r="J24" s="25" t="n">
        <f aca="false">IF(AND(OR(E24="CPC",E24="Slot"),NOT(N(G24)&gt;0)),0,IF(E24="Slot",Assumptions!H131*G24,Assumptions!H131))</f>
        <v>30</v>
      </c>
      <c r="K24" s="28" t="n">
        <f aca="false">J24*I24</f>
        <v>2.13</v>
      </c>
      <c r="L24" s="27" t="n">
        <f aca="false">INDEX(Funnel!$G$5:$G$8,MATCH(C24,Funnel!$A$5:$A$8,0))*M24</f>
        <v>0.238</v>
      </c>
      <c r="M24" s="40" t="n">
        <f aca="false">Assumptions!I131</f>
        <v>1</v>
      </c>
      <c r="N24" s="28" t="n">
        <f aca="false">K24*L24</f>
        <v>0.50694</v>
      </c>
      <c r="O24" s="37" t="n">
        <f aca="false">IF(I24&gt;0,H24/I24,0)</f>
        <v>2521.12676056338</v>
      </c>
      <c r="P24" s="37" t="n">
        <f aca="false">IF(N24&gt;0,(N24/L24/I24*H24+Assumptions!J131)/N24,0)</f>
        <v>10592.9695821991</v>
      </c>
      <c r="Q24" s="41" t="n">
        <f aca="false">P24+ROW()/1000000</f>
        <v>10592.9696061991</v>
      </c>
      <c r="R24" s="25" t="n">
        <f aca="false">SUMPRODUCT(($C$5:$C$34=C24)*($Q$5:$Q$34&lt;Q24))+1</f>
        <v>7</v>
      </c>
      <c r="S24" s="28" t="n">
        <f aca="false">SUMPRODUCT(($C$5:$C$34=C24)*($Q$5:$Q$34&lt;Q24)*$AH$5:$AH$34)</f>
        <v>7.97624164130435</v>
      </c>
      <c r="T24" s="28" t="n">
        <f aca="false">INDEX(Funnel!$B$5:$B$8,MATCH(C24,Funnel!$A$5:$A$8,0))-SUMIFS($AG$5:$AG$34,$C$5:$C$34,C24)</f>
        <v>9.66207196532669</v>
      </c>
      <c r="U24" s="42" t="n">
        <f aca="false">AG24+AI24</f>
        <v>0.50694</v>
      </c>
      <c r="V24" s="28" t="n">
        <f aca="false">IF(L24&gt;0,U24/L24,0)</f>
        <v>2.13</v>
      </c>
      <c r="W24" s="25" t="n">
        <f aca="false">IF(I24&gt;0,V24/I24,0)</f>
        <v>30</v>
      </c>
      <c r="X24" s="37" t="n">
        <f aca="false">IF(E24="Slot",IF(N(G24)&gt;0,ROUNDUP(W24/G24,0)*MAX(0,F24),0),W24*H24)</f>
        <v>5370</v>
      </c>
      <c r="Y24" s="37" t="n">
        <f aca="false">IF(U24&gt;0,Assumptions!J131,0)</f>
        <v>0</v>
      </c>
      <c r="Z24" s="37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37" t="n">
        <f aca="false">X24+Y24</f>
        <v>5370</v>
      </c>
      <c r="AB24" s="37" t="n">
        <f aca="false">IF(U24&gt;0,(X24+Y24)/U24,"–")</f>
        <v>10592.9695821991</v>
      </c>
      <c r="AC24" s="25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Used to capacity</v>
      </c>
      <c r="AE24" s="28" t="n">
        <f aca="false">IF(H24&gt;0,Z24/H24,0)</f>
        <v>4.18994413407821</v>
      </c>
      <c r="AF24" s="28" t="n">
        <f aca="false">AE24*I24</f>
        <v>0.297486033519553</v>
      </c>
      <c r="AG24" s="28" t="n">
        <f aca="false">AF24*L24</f>
        <v>0.0708016759776536</v>
      </c>
      <c r="AH24" s="28" t="n">
        <f aca="false">MAX(0,N24-AG24)</f>
        <v>0.436138324022346</v>
      </c>
      <c r="AI24" s="28" t="n">
        <f aca="false">MIN(AH24,MAX(0,T24-S24))</f>
        <v>0.436138324022346</v>
      </c>
    </row>
    <row r="25" customFormat="false" ht="15" hidden="false" customHeight="false" outlineLevel="0" collapsed="false">
      <c r="A25" s="2" t="s">
        <v>587</v>
      </c>
      <c r="B25" s="2" t="s">
        <v>588</v>
      </c>
      <c r="C25" s="2" t="s">
        <v>50</v>
      </c>
      <c r="D25" s="2" t="s">
        <v>534</v>
      </c>
      <c r="E25" s="2" t="s">
        <v>303</v>
      </c>
      <c r="F25" s="39" t="n">
        <f aca="false">Initiatives!B11</f>
        <v>2.5</v>
      </c>
      <c r="G25" s="2"/>
      <c r="H25" s="39" t="n">
        <f aca="false">F25</f>
        <v>2.5</v>
      </c>
      <c r="I25" s="26" t="n">
        <f aca="false">Initiatives!B8</f>
        <v>0.5</v>
      </c>
      <c r="J25" s="25" t="n">
        <f aca="false">Initiatives!B7</f>
        <v>4.92</v>
      </c>
      <c r="K25" s="28" t="n">
        <f aca="false">J25*I25</f>
        <v>2.46</v>
      </c>
      <c r="L25" s="27" t="n">
        <f aca="false">INDEX(Funnel!$G$5:$G$8,MATCH(C25,Funnel!$A$5:$A$8,0))*M25</f>
        <v>0.36225</v>
      </c>
      <c r="M25" s="40" t="n">
        <f aca="false">Assumptions!$D$148</f>
        <v>1.15</v>
      </c>
      <c r="N25" s="28" t="n">
        <f aca="false">K25*L25</f>
        <v>0.891135</v>
      </c>
      <c r="O25" s="37" t="n">
        <f aca="false">IF(I25&gt;0,H25/I25,0)</f>
        <v>5</v>
      </c>
      <c r="P25" s="37" t="n">
        <f aca="false">IF(N25&gt;0,(N25/L25/I25*H25+0)/N25,0)</f>
        <v>13.8026224982747</v>
      </c>
      <c r="Q25" s="41" t="n">
        <f aca="false">P25+ROW()/1000000</f>
        <v>13.8026474982747</v>
      </c>
      <c r="R25" s="25" t="n">
        <f aca="false">SUMPRODUCT(($C$5:$C$34=C25)*($Q$5:$Q$34&lt;Q25))+1</f>
        <v>2</v>
      </c>
      <c r="S25" s="28" t="n">
        <f aca="false">SUMPRODUCT(($C$5:$C$34=C25)*($Q$5:$Q$34&lt;Q25)*$AH$5:$AH$34)</f>
        <v>3.5224875</v>
      </c>
      <c r="T25" s="28" t="n">
        <f aca="false">INDEX(Funnel!$B$5:$B$8,MATCH(C25,Funnel!$A$5:$A$8,0))-SUMIFS($AG$5:$AG$34,$C$5:$C$34,C25)</f>
        <v>29.4504025230751</v>
      </c>
      <c r="U25" s="42" t="n">
        <f aca="false">AG25+AI25</f>
        <v>0.891135</v>
      </c>
      <c r="V25" s="28" t="n">
        <f aca="false">IF(L25&gt;0,U25/L25,0)</f>
        <v>2.46</v>
      </c>
      <c r="W25" s="25" t="n">
        <f aca="false">IF(I25&gt;0,V25/I25,0)</f>
        <v>4.92</v>
      </c>
      <c r="X25" s="37" t="n">
        <f aca="false">IF(E25="Slot",IF(N(G25)&gt;0,ROUNDUP(W25/G25,0)*MAX(0,F25),0),W25*H25)</f>
        <v>12.3</v>
      </c>
      <c r="Y25" s="37" t="n">
        <f aca="false">IF(U25&gt;0,0,0)</f>
        <v>0</v>
      </c>
      <c r="Z25" s="37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37" t="n">
        <f aca="false">X25+Y25</f>
        <v>12.3</v>
      </c>
      <c r="AB25" s="37" t="n">
        <f aca="false">IF(U25&gt;0,(X25+Y25)/U25,"–")</f>
        <v>13.8026224982747</v>
      </c>
      <c r="AC25" s="25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28" t="n">
        <f aca="false">IF(H25&gt;0,Z25/H25,0)</f>
        <v>0</v>
      </c>
      <c r="AF25" s="28" t="n">
        <f aca="false">AE25*I25</f>
        <v>0</v>
      </c>
      <c r="AG25" s="28" t="n">
        <f aca="false">AF25*L25</f>
        <v>0</v>
      </c>
      <c r="AH25" s="28" t="n">
        <f aca="false">MAX(0,N25-AG25)</f>
        <v>0.891135</v>
      </c>
      <c r="AI25" s="28" t="n">
        <f aca="false">MIN(AH25,MAX(0,T25-S25))</f>
        <v>0.891135</v>
      </c>
    </row>
    <row r="26" customFormat="false" ht="15" hidden="false" customHeight="false" outlineLevel="0" collapsed="false">
      <c r="A26" s="2" t="s">
        <v>589</v>
      </c>
      <c r="B26" s="2" t="s">
        <v>588</v>
      </c>
      <c r="C26" s="2" t="s">
        <v>45</v>
      </c>
      <c r="D26" s="2" t="s">
        <v>534</v>
      </c>
      <c r="E26" s="2" t="s">
        <v>303</v>
      </c>
      <c r="F26" s="39" t="n">
        <f aca="false">Initiatives!C11</f>
        <v>2.5</v>
      </c>
      <c r="G26" s="2"/>
      <c r="H26" s="39" t="n">
        <f aca="false">F26</f>
        <v>2.5</v>
      </c>
      <c r="I26" s="26" t="n">
        <f aca="false">Initiatives!C8</f>
        <v>0.5</v>
      </c>
      <c r="J26" s="25" t="n">
        <f aca="false">Initiatives!C7</f>
        <v>7.32</v>
      </c>
      <c r="K26" s="28" t="n">
        <f aca="false">J26*I26</f>
        <v>3.66</v>
      </c>
      <c r="L26" s="27" t="n">
        <f aca="false">INDEX(Funnel!$G$5:$G$8,MATCH(C26,Funnel!$A$5:$A$8,0))*M26</f>
        <v>0.4269375</v>
      </c>
      <c r="M26" s="40" t="n">
        <f aca="false">Assumptions!$D$148</f>
        <v>1.15</v>
      </c>
      <c r="N26" s="28" t="n">
        <f aca="false">K26*L26</f>
        <v>1.56259125</v>
      </c>
      <c r="O26" s="37" t="n">
        <f aca="false">IF(I26&gt;0,H26/I26,0)</f>
        <v>5</v>
      </c>
      <c r="P26" s="37" t="n">
        <f aca="false">IF(N26&gt;0,(N26/L26/I26*H26+0)/N26,0)</f>
        <v>11.7113160591421</v>
      </c>
      <c r="Q26" s="41" t="n">
        <f aca="false">P26+ROW()/1000000</f>
        <v>11.7113420591421</v>
      </c>
      <c r="R26" s="25" t="n">
        <f aca="false">SUMPRODUCT(($C$5:$C$34=C26)*($Q$5:$Q$34&lt;Q26))+1</f>
        <v>2</v>
      </c>
      <c r="S26" s="28" t="n">
        <f aca="false">SUMPRODUCT(($C$5:$C$34=C26)*($Q$5:$Q$34&lt;Q26)*$AH$5:$AH$34)</f>
        <v>9.1623015</v>
      </c>
      <c r="T26" s="28" t="n">
        <f aca="false">INDEX(Funnel!$B$5:$B$8,MATCH(C26,Funnel!$A$5:$A$8,0))-SUMIFS($AG$5:$AG$34,$C$5:$C$34,C26)</f>
        <v>44.0499815041726</v>
      </c>
      <c r="U26" s="42" t="n">
        <f aca="false">AG26+AI26</f>
        <v>1.56259125</v>
      </c>
      <c r="V26" s="28" t="n">
        <f aca="false">IF(L26&gt;0,U26/L26,0)</f>
        <v>3.66</v>
      </c>
      <c r="W26" s="25" t="n">
        <f aca="false">IF(I26&gt;0,V26/I26,0)</f>
        <v>7.32</v>
      </c>
      <c r="X26" s="37" t="n">
        <f aca="false">IF(E26="Slot",IF(N(G26)&gt;0,ROUNDUP(W26/G26,0)*MAX(0,F26),0),W26*H26)</f>
        <v>18.3</v>
      </c>
      <c r="Y26" s="37" t="n">
        <f aca="false">IF(U26&gt;0,0,0)</f>
        <v>0</v>
      </c>
      <c r="Z26" s="37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37" t="n">
        <f aca="false">X26+Y26</f>
        <v>18.3</v>
      </c>
      <c r="AB26" s="37" t="n">
        <f aca="false">IF(U26&gt;0,(X26+Y26)/U26,"–")</f>
        <v>11.7113160591421</v>
      </c>
      <c r="AC26" s="25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28" t="n">
        <f aca="false">IF(H26&gt;0,Z26/H26,0)</f>
        <v>0</v>
      </c>
      <c r="AF26" s="28" t="n">
        <f aca="false">AE26*I26</f>
        <v>0</v>
      </c>
      <c r="AG26" s="28" t="n">
        <f aca="false">AF26*L26</f>
        <v>0</v>
      </c>
      <c r="AH26" s="28" t="n">
        <f aca="false">MAX(0,N26-AG26)</f>
        <v>1.56259125</v>
      </c>
      <c r="AI26" s="28" t="n">
        <f aca="false">MIN(AH26,MAX(0,T26-S26))</f>
        <v>1.56259125</v>
      </c>
    </row>
    <row r="27" customFormat="false" ht="15" hidden="false" customHeight="false" outlineLevel="0" collapsed="false">
      <c r="A27" s="2" t="s">
        <v>590</v>
      </c>
      <c r="B27" s="2" t="s">
        <v>588</v>
      </c>
      <c r="C27" s="2" t="s">
        <v>55</v>
      </c>
      <c r="D27" s="2" t="s">
        <v>534</v>
      </c>
      <c r="E27" s="2" t="s">
        <v>303</v>
      </c>
      <c r="F27" s="39" t="n">
        <f aca="false">Initiatives!D11</f>
        <v>2.5</v>
      </c>
      <c r="G27" s="2"/>
      <c r="H27" s="39" t="n">
        <f aca="false">F27</f>
        <v>2.5</v>
      </c>
      <c r="I27" s="26" t="n">
        <f aca="false">Initiatives!D8</f>
        <v>0.5</v>
      </c>
      <c r="J27" s="25" t="n">
        <f aca="false">Initiatives!D7</f>
        <v>2.4</v>
      </c>
      <c r="K27" s="28" t="n">
        <f aca="false">J27*I27</f>
        <v>1.2</v>
      </c>
      <c r="L27" s="27" t="n">
        <f aca="false">INDEX(Funnel!$G$5:$G$8,MATCH(C27,Funnel!$A$5:$A$8,0))*M27</f>
        <v>0.326025</v>
      </c>
      <c r="M27" s="40" t="n">
        <f aca="false">Assumptions!$D$148</f>
        <v>1.15</v>
      </c>
      <c r="N27" s="28" t="n">
        <f aca="false">K27*L27</f>
        <v>0.39123</v>
      </c>
      <c r="O27" s="37" t="n">
        <f aca="false">IF(I27&gt;0,H27/I27,0)</f>
        <v>5</v>
      </c>
      <c r="P27" s="37" t="n">
        <f aca="false">IF(N27&gt;0,(N27/L27/I27*H27+0)/N27,0)</f>
        <v>15.3362472203052</v>
      </c>
      <c r="Q27" s="41" t="n">
        <f aca="false">P27+ROW()/1000000</f>
        <v>15.3362742203052</v>
      </c>
      <c r="R27" s="25" t="n">
        <f aca="false">SUMPRODUCT(($C$5:$C$34=C27)*($Q$5:$Q$34&lt;Q27))+1</f>
        <v>2</v>
      </c>
      <c r="S27" s="28" t="n">
        <f aca="false">SUMPRODUCT(($C$5:$C$34=C27)*($Q$5:$Q$34&lt;Q27)*$AH$5:$AH$34)</f>
        <v>1.60021575</v>
      </c>
      <c r="T27" s="28" t="n">
        <f aca="false">INDEX(Funnel!$B$5:$B$8,MATCH(C27,Funnel!$A$5:$A$8,0))-SUMIFS($AG$5:$AG$34,$C$5:$C$34,C27)</f>
        <v>14.3962021145176</v>
      </c>
      <c r="U27" s="42" t="n">
        <f aca="false">AG27+AI27</f>
        <v>0.39123</v>
      </c>
      <c r="V27" s="28" t="n">
        <f aca="false">IF(L27&gt;0,U27/L27,0)</f>
        <v>1.2</v>
      </c>
      <c r="W27" s="25" t="n">
        <f aca="false">IF(I27&gt;0,V27/I27,0)</f>
        <v>2.4</v>
      </c>
      <c r="X27" s="37" t="n">
        <f aca="false">IF(E27="Slot",IF(N(G27)&gt;0,ROUNDUP(W27/G27,0)*MAX(0,F27),0),W27*H27)</f>
        <v>6</v>
      </c>
      <c r="Y27" s="37" t="n">
        <f aca="false">IF(U27&gt;0,0,0)</f>
        <v>0</v>
      </c>
      <c r="Z27" s="37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37" t="n">
        <f aca="false">X27+Y27</f>
        <v>6</v>
      </c>
      <c r="AB27" s="37" t="n">
        <f aca="false">IF(U27&gt;0,(X27+Y27)/U27,"–")</f>
        <v>15.3362472203052</v>
      </c>
      <c r="AC27" s="25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28" t="n">
        <f aca="false">IF(H27&gt;0,Z27/H27,0)</f>
        <v>0</v>
      </c>
      <c r="AF27" s="28" t="n">
        <f aca="false">AE27*I27</f>
        <v>0</v>
      </c>
      <c r="AG27" s="28" t="n">
        <f aca="false">AF27*L27</f>
        <v>0</v>
      </c>
      <c r="AH27" s="28" t="n">
        <f aca="false">MAX(0,N27-AG27)</f>
        <v>0.39123</v>
      </c>
      <c r="AI27" s="28" t="n">
        <f aca="false">MIN(AH27,MAX(0,T27-S27))</f>
        <v>0.39123</v>
      </c>
    </row>
    <row r="28" customFormat="false" ht="15" hidden="false" customHeight="false" outlineLevel="0" collapsed="false">
      <c r="A28" s="2" t="s">
        <v>591</v>
      </c>
      <c r="B28" s="2" t="s">
        <v>588</v>
      </c>
      <c r="C28" s="2" t="s">
        <v>57</v>
      </c>
      <c r="D28" s="2" t="s">
        <v>534</v>
      </c>
      <c r="E28" s="2" t="s">
        <v>303</v>
      </c>
      <c r="F28" s="39" t="n">
        <f aca="false">Initiatives!E11</f>
        <v>2.5</v>
      </c>
      <c r="G28" s="2"/>
      <c r="H28" s="39" t="n">
        <f aca="false">F28</f>
        <v>2.5</v>
      </c>
      <c r="I28" s="26" t="n">
        <f aca="false">Initiatives!E8</f>
        <v>0.5</v>
      </c>
      <c r="J28" s="25" t="n">
        <f aca="false">Initiatives!E7</f>
        <v>1.68</v>
      </c>
      <c r="K28" s="28" t="n">
        <f aca="false">J28*I28</f>
        <v>0.84</v>
      </c>
      <c r="L28" s="27" t="n">
        <f aca="false">INDEX(Funnel!$G$5:$G$8,MATCH(C28,Funnel!$A$5:$A$8,0))*M28</f>
        <v>0.2737</v>
      </c>
      <c r="M28" s="40" t="n">
        <f aca="false">Assumptions!$D$148</f>
        <v>1.15</v>
      </c>
      <c r="N28" s="28" t="n">
        <f aca="false">K28*L28</f>
        <v>0.229908</v>
      </c>
      <c r="O28" s="37" t="n">
        <f aca="false">IF(I28&gt;0,H28/I28,0)</f>
        <v>5</v>
      </c>
      <c r="P28" s="37" t="n">
        <f aca="false">IF(N28&gt;0,(N28/L28/I28*H28+0)/N28,0)</f>
        <v>18.2681768359518</v>
      </c>
      <c r="Q28" s="41" t="n">
        <f aca="false">P28+ROW()/1000000</f>
        <v>18.2682048359518</v>
      </c>
      <c r="R28" s="25" t="n">
        <f aca="false">SUMPRODUCT(($C$5:$C$34=C28)*($Q$5:$Q$34&lt;Q28))+1</f>
        <v>2</v>
      </c>
      <c r="S28" s="28" t="n">
        <f aca="false">SUMPRODUCT(($C$5:$C$34=C28)*($Q$5:$Q$34&lt;Q28)*$AH$5:$AH$34)</f>
        <v>0.59143</v>
      </c>
      <c r="T28" s="28" t="n">
        <f aca="false">INDEX(Funnel!$B$5:$B$8,MATCH(C28,Funnel!$A$5:$A$8,0))-SUMIFS($AG$5:$AG$34,$C$5:$C$34,C28)</f>
        <v>9.66207196532669</v>
      </c>
      <c r="U28" s="42" t="n">
        <f aca="false">AG28+AI28</f>
        <v>0.229908</v>
      </c>
      <c r="V28" s="28" t="n">
        <f aca="false">IF(L28&gt;0,U28/L28,0)</f>
        <v>0.84</v>
      </c>
      <c r="W28" s="25" t="n">
        <f aca="false">IF(I28&gt;0,V28/I28,0)</f>
        <v>1.68</v>
      </c>
      <c r="X28" s="37" t="n">
        <f aca="false">IF(E28="Slot",IF(N(G28)&gt;0,ROUNDUP(W28/G28,0)*MAX(0,F28),0),W28*H28)</f>
        <v>4.2</v>
      </c>
      <c r="Y28" s="37" t="n">
        <f aca="false">IF(U28&gt;0,0,0)</f>
        <v>0</v>
      </c>
      <c r="Z28" s="37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37" t="n">
        <f aca="false">X28+Y28</f>
        <v>4.2</v>
      </c>
      <c r="AB28" s="37" t="n">
        <f aca="false">IF(U28&gt;0,(X28+Y28)/U28,"–")</f>
        <v>18.2681768359518</v>
      </c>
      <c r="AC28" s="25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28" t="n">
        <f aca="false">IF(H28&gt;0,Z28/H28,0)</f>
        <v>0</v>
      </c>
      <c r="AF28" s="28" t="n">
        <f aca="false">AE28*I28</f>
        <v>0</v>
      </c>
      <c r="AG28" s="28" t="n">
        <f aca="false">AF28*L28</f>
        <v>0</v>
      </c>
      <c r="AH28" s="28" t="n">
        <f aca="false">MAX(0,N28-AG28)</f>
        <v>0.229908</v>
      </c>
      <c r="AI28" s="28" t="n">
        <f aca="false">MIN(AH28,MAX(0,T28-S28))</f>
        <v>0.229908</v>
      </c>
    </row>
    <row r="29" customFormat="false" ht="15" hidden="false" customHeight="false" outlineLevel="0" collapsed="false">
      <c r="A29" s="2" t="s">
        <v>592</v>
      </c>
      <c r="B29" s="2" t="s">
        <v>593</v>
      </c>
      <c r="C29" s="2" t="s">
        <v>50</v>
      </c>
      <c r="D29" s="2" t="s">
        <v>534</v>
      </c>
      <c r="E29" s="2" t="s">
        <v>303</v>
      </c>
      <c r="F29" s="39" t="n">
        <f aca="false">Initiatives!B17</f>
        <v>163.0125</v>
      </c>
      <c r="G29" s="2"/>
      <c r="H29" s="39" t="n">
        <f aca="false">F29</f>
        <v>163.0125</v>
      </c>
      <c r="I29" s="26" t="n">
        <f aca="false">Initiatives!B14</f>
        <v>0.45</v>
      </c>
      <c r="J29" s="25" t="n">
        <f aca="false">Initiatives!B13</f>
        <v>20</v>
      </c>
      <c r="K29" s="28" t="n">
        <f aca="false">J29*I29</f>
        <v>9</v>
      </c>
      <c r="L29" s="27" t="n">
        <f aca="false">INDEX(Funnel!$G$5:$G$8,MATCH(C29,Funnel!$A$5:$A$8,0))*M29</f>
        <v>0.36225</v>
      </c>
      <c r="M29" s="40" t="n">
        <f aca="false">Assumptions!$D$148</f>
        <v>1.15</v>
      </c>
      <c r="N29" s="28" t="n">
        <f aca="false">K29*L29</f>
        <v>3.26025</v>
      </c>
      <c r="O29" s="37" t="n">
        <f aca="false">IF(I29&gt;0,H29/I29,0)</f>
        <v>362.25</v>
      </c>
      <c r="P29" s="37" t="n">
        <f aca="false">IF(N29&gt;0,(N29/L29/I29*H29+0)/N29,0)</f>
        <v>1000</v>
      </c>
      <c r="Q29" s="41" t="n">
        <f aca="false">P29+ROW()/1000000</f>
        <v>1000.000029</v>
      </c>
      <c r="R29" s="25" t="n">
        <f aca="false">SUMPRODUCT(($C$5:$C$34=C29)*($Q$5:$Q$34&lt;Q29))+1</f>
        <v>3</v>
      </c>
      <c r="S29" s="28" t="n">
        <f aca="false">SUMPRODUCT(($C$5:$C$34=C29)*($Q$5:$Q$34&lt;Q29)*$AH$5:$AH$34)</f>
        <v>4.4136225</v>
      </c>
      <c r="T29" s="28" t="n">
        <f aca="false">INDEX(Funnel!$B$5:$B$8,MATCH(C29,Funnel!$A$5:$A$8,0))-SUMIFS($AG$5:$AG$34,$C$5:$C$34,C29)</f>
        <v>29.4504025230751</v>
      </c>
      <c r="U29" s="42" t="n">
        <f aca="false">AG29+AI29</f>
        <v>3.26025</v>
      </c>
      <c r="V29" s="28" t="n">
        <f aca="false">IF(L29&gt;0,U29/L29,0)</f>
        <v>9</v>
      </c>
      <c r="W29" s="25" t="n">
        <f aca="false">IF(I29&gt;0,V29/I29,0)</f>
        <v>20</v>
      </c>
      <c r="X29" s="37" t="n">
        <f aca="false">IF(E29="Slot",IF(N(G29)&gt;0,ROUNDUP(W29/G29,0)*MAX(0,F29),0),W29*H29)</f>
        <v>3260.25</v>
      </c>
      <c r="Y29" s="37" t="n">
        <f aca="false">IF(U29&gt;0,0,0)</f>
        <v>0</v>
      </c>
      <c r="Z29" s="37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37" t="n">
        <f aca="false">X29+Y29</f>
        <v>3260.25</v>
      </c>
      <c r="AB29" s="37" t="n">
        <f aca="false">IF(U29&gt;0,(X29+Y29)/U29,"–")</f>
        <v>1000</v>
      </c>
      <c r="AC29" s="25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28" t="n">
        <f aca="false">IF(H29&gt;0,Z29/H29,0)</f>
        <v>0</v>
      </c>
      <c r="AF29" s="28" t="n">
        <f aca="false">AE29*I29</f>
        <v>0</v>
      </c>
      <c r="AG29" s="28" t="n">
        <f aca="false">AF29*L29</f>
        <v>0</v>
      </c>
      <c r="AH29" s="28" t="n">
        <f aca="false">MAX(0,N29-AG29)</f>
        <v>3.26025</v>
      </c>
      <c r="AI29" s="28" t="n">
        <f aca="false">MIN(AH29,MAX(0,T29-S29))</f>
        <v>3.26025</v>
      </c>
    </row>
    <row r="30" customFormat="false" ht="15" hidden="false" customHeight="false" outlineLevel="0" collapsed="false">
      <c r="A30" s="2" t="s">
        <v>594</v>
      </c>
      <c r="B30" s="2" t="s">
        <v>593</v>
      </c>
      <c r="C30" s="2" t="s">
        <v>45</v>
      </c>
      <c r="D30" s="2" t="s">
        <v>534</v>
      </c>
      <c r="E30" s="2" t="s">
        <v>303</v>
      </c>
      <c r="F30" s="39" t="n">
        <f aca="false">Initiatives!C17</f>
        <v>192.121875</v>
      </c>
      <c r="G30" s="2"/>
      <c r="H30" s="39" t="n">
        <f aca="false">F30</f>
        <v>192.121875</v>
      </c>
      <c r="I30" s="26" t="n">
        <f aca="false">Initiatives!C14</f>
        <v>0.45</v>
      </c>
      <c r="J30" s="25" t="n">
        <f aca="false">Initiatives!C13</f>
        <v>30</v>
      </c>
      <c r="K30" s="28" t="n">
        <f aca="false">J30*I30</f>
        <v>13.5</v>
      </c>
      <c r="L30" s="27" t="n">
        <f aca="false">INDEX(Funnel!$G$5:$G$8,MATCH(C30,Funnel!$A$5:$A$8,0))*M30</f>
        <v>0.4269375</v>
      </c>
      <c r="M30" s="40" t="n">
        <f aca="false">Assumptions!$D$148</f>
        <v>1.15</v>
      </c>
      <c r="N30" s="28" t="n">
        <f aca="false">K30*L30</f>
        <v>5.76365625</v>
      </c>
      <c r="O30" s="37" t="n">
        <f aca="false">IF(I30&gt;0,H30/I30,0)</f>
        <v>426.9375</v>
      </c>
      <c r="P30" s="37" t="n">
        <f aca="false">IF(N30&gt;0,(N30/L30/I30*H30+0)/N30,0)</f>
        <v>1000</v>
      </c>
      <c r="Q30" s="41" t="n">
        <f aca="false">P30+ROW()/1000000</f>
        <v>1000.00003</v>
      </c>
      <c r="R30" s="25" t="n">
        <f aca="false">SUMPRODUCT(($C$5:$C$34=C30)*($Q$5:$Q$34&lt;Q30))+1</f>
        <v>4</v>
      </c>
      <c r="S30" s="28" t="n">
        <f aca="false">SUMPRODUCT(($C$5:$C$34=C30)*($Q$5:$Q$34&lt;Q30)*$AH$5:$AH$34)</f>
        <v>28.72489275</v>
      </c>
      <c r="T30" s="28" t="n">
        <f aca="false">INDEX(Funnel!$B$5:$B$8,MATCH(C30,Funnel!$A$5:$A$8,0))-SUMIFS($AG$5:$AG$34,$C$5:$C$34,C30)</f>
        <v>44.0499815041726</v>
      </c>
      <c r="U30" s="42" t="n">
        <f aca="false">AG30+AI30</f>
        <v>5.76365625</v>
      </c>
      <c r="V30" s="28" t="n">
        <f aca="false">IF(L30&gt;0,U30/L30,0)</f>
        <v>13.5</v>
      </c>
      <c r="W30" s="25" t="n">
        <f aca="false">IF(I30&gt;0,V30/I30,0)</f>
        <v>30</v>
      </c>
      <c r="X30" s="37" t="n">
        <f aca="false">IF(E30="Slot",IF(N(G30)&gt;0,ROUNDUP(W30/G30,0)*MAX(0,F30),0),W30*H30)</f>
        <v>5763.65625</v>
      </c>
      <c r="Y30" s="37" t="n">
        <f aca="false">IF(U30&gt;0,0,0)</f>
        <v>0</v>
      </c>
      <c r="Z30" s="37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37" t="n">
        <f aca="false">X30+Y30</f>
        <v>5763.65625</v>
      </c>
      <c r="AB30" s="37" t="n">
        <f aca="false">IF(U30&gt;0,(X30+Y30)/U30,"–")</f>
        <v>1000</v>
      </c>
      <c r="AC30" s="25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28" t="n">
        <f aca="false">IF(H30&gt;0,Z30/H30,0)</f>
        <v>0</v>
      </c>
      <c r="AF30" s="28" t="n">
        <f aca="false">AE30*I30</f>
        <v>0</v>
      </c>
      <c r="AG30" s="28" t="n">
        <f aca="false">AF30*L30</f>
        <v>0</v>
      </c>
      <c r="AH30" s="28" t="n">
        <f aca="false">MAX(0,N30-AG30)</f>
        <v>5.76365625</v>
      </c>
      <c r="AI30" s="28" t="n">
        <f aca="false">MIN(AH30,MAX(0,T30-S30))</f>
        <v>5.76365625</v>
      </c>
    </row>
    <row r="31" customFormat="false" ht="15" hidden="false" customHeight="false" outlineLevel="0" collapsed="false">
      <c r="A31" s="2" t="s">
        <v>595</v>
      </c>
      <c r="B31" s="2" t="s">
        <v>593</v>
      </c>
      <c r="C31" s="2" t="s">
        <v>55</v>
      </c>
      <c r="D31" s="2" t="s">
        <v>534</v>
      </c>
      <c r="E31" s="2" t="s">
        <v>303</v>
      </c>
      <c r="F31" s="39" t="n">
        <f aca="false">Initiatives!D17</f>
        <v>146.71125</v>
      </c>
      <c r="G31" s="2"/>
      <c r="H31" s="39" t="n">
        <f aca="false">F31</f>
        <v>146.71125</v>
      </c>
      <c r="I31" s="26" t="n">
        <f aca="false">Initiatives!D14</f>
        <v>0.45</v>
      </c>
      <c r="J31" s="25" t="n">
        <f aca="false">Initiatives!D13</f>
        <v>10</v>
      </c>
      <c r="K31" s="28" t="n">
        <f aca="false">J31*I31</f>
        <v>4.5</v>
      </c>
      <c r="L31" s="27" t="n">
        <f aca="false">INDEX(Funnel!$G$5:$G$8,MATCH(C31,Funnel!$A$5:$A$8,0))*M31</f>
        <v>0.326025</v>
      </c>
      <c r="M31" s="40" t="n">
        <f aca="false">Assumptions!$D$148</f>
        <v>1.15</v>
      </c>
      <c r="N31" s="28" t="n">
        <f aca="false">K31*L31</f>
        <v>1.4671125</v>
      </c>
      <c r="O31" s="37" t="n">
        <f aca="false">IF(I31&gt;0,H31/I31,0)</f>
        <v>326.025</v>
      </c>
      <c r="P31" s="37" t="n">
        <f aca="false">IF(N31&gt;0,(N31/L31/I31*H31+0)/N31,0)</f>
        <v>1000</v>
      </c>
      <c r="Q31" s="41" t="n">
        <f aca="false">P31+ROW()/1000000</f>
        <v>1000.000031</v>
      </c>
      <c r="R31" s="25" t="n">
        <f aca="false">SUMPRODUCT(($C$5:$C$34=C31)*($Q$5:$Q$34&lt;Q31))+1</f>
        <v>3</v>
      </c>
      <c r="S31" s="28" t="n">
        <f aca="false">SUMPRODUCT(($C$5:$C$34=C31)*($Q$5:$Q$34&lt;Q31)*$AH$5:$AH$34)</f>
        <v>1.99144575</v>
      </c>
      <c r="T31" s="28" t="n">
        <f aca="false">INDEX(Funnel!$B$5:$B$8,MATCH(C31,Funnel!$A$5:$A$8,0))-SUMIFS($AG$5:$AG$34,$C$5:$C$34,C31)</f>
        <v>14.3962021145176</v>
      </c>
      <c r="U31" s="42" t="n">
        <f aca="false">AG31+AI31</f>
        <v>1.4671125</v>
      </c>
      <c r="V31" s="28" t="n">
        <f aca="false">IF(L31&gt;0,U31/L31,0)</f>
        <v>4.5</v>
      </c>
      <c r="W31" s="25" t="n">
        <f aca="false">IF(I31&gt;0,V31/I31,0)</f>
        <v>10</v>
      </c>
      <c r="X31" s="37" t="n">
        <f aca="false">IF(E31="Slot",IF(N(G31)&gt;0,ROUNDUP(W31/G31,0)*MAX(0,F31),0),W31*H31)</f>
        <v>1467.1125</v>
      </c>
      <c r="Y31" s="37" t="n">
        <f aca="false">IF(U31&gt;0,0,0)</f>
        <v>0</v>
      </c>
      <c r="Z31" s="37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37" t="n">
        <f aca="false">X31+Y31</f>
        <v>1467.1125</v>
      </c>
      <c r="AB31" s="37" t="n">
        <f aca="false">IF(U31&gt;0,(X31+Y31)/U31,"–")</f>
        <v>1000</v>
      </c>
      <c r="AC31" s="25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28" t="n">
        <f aca="false">IF(H31&gt;0,Z31/H31,0)</f>
        <v>0</v>
      </c>
      <c r="AF31" s="28" t="n">
        <f aca="false">AE31*I31</f>
        <v>0</v>
      </c>
      <c r="AG31" s="28" t="n">
        <f aca="false">AF31*L31</f>
        <v>0</v>
      </c>
      <c r="AH31" s="28" t="n">
        <f aca="false">MAX(0,N31-AG31)</f>
        <v>1.4671125</v>
      </c>
      <c r="AI31" s="28" t="n">
        <f aca="false">MIN(AH31,MAX(0,T31-S31))</f>
        <v>1.4671125</v>
      </c>
    </row>
    <row r="32" customFormat="false" ht="15" hidden="false" customHeight="false" outlineLevel="0" collapsed="false">
      <c r="A32" s="2" t="s">
        <v>596</v>
      </c>
      <c r="B32" s="2" t="s">
        <v>593</v>
      </c>
      <c r="C32" s="2" t="s">
        <v>57</v>
      </c>
      <c r="D32" s="2" t="s">
        <v>534</v>
      </c>
      <c r="E32" s="2" t="s">
        <v>303</v>
      </c>
      <c r="F32" s="39" t="n">
        <f aca="false">Initiatives!E17</f>
        <v>123.165</v>
      </c>
      <c r="G32" s="2"/>
      <c r="H32" s="39" t="n">
        <f aca="false">F32</f>
        <v>123.165</v>
      </c>
      <c r="I32" s="26" t="n">
        <f aca="false">Initiatives!E14</f>
        <v>0.45</v>
      </c>
      <c r="J32" s="25" t="n">
        <f aca="false">Initiatives!E13</f>
        <v>6</v>
      </c>
      <c r="K32" s="28" t="n">
        <f aca="false">J32*I32</f>
        <v>2.7</v>
      </c>
      <c r="L32" s="27" t="n">
        <f aca="false">INDEX(Funnel!$G$5:$G$8,MATCH(C32,Funnel!$A$5:$A$8,0))*M32</f>
        <v>0.2737</v>
      </c>
      <c r="M32" s="40" t="n">
        <f aca="false">Assumptions!$D$148</f>
        <v>1.15</v>
      </c>
      <c r="N32" s="28" t="n">
        <f aca="false">K32*L32</f>
        <v>0.73899</v>
      </c>
      <c r="O32" s="37" t="n">
        <f aca="false">IF(I32&gt;0,H32/I32,0)</f>
        <v>273.7</v>
      </c>
      <c r="P32" s="37" t="n">
        <f aca="false">IF(N32&gt;0,(N32/L32/I32*H32+0)/N32,0)</f>
        <v>1000</v>
      </c>
      <c r="Q32" s="41" t="n">
        <f aca="false">P32+ROW()/1000000</f>
        <v>1000.000032</v>
      </c>
      <c r="R32" s="25" t="n">
        <f aca="false">SUMPRODUCT(($C$5:$C$34=C32)*($Q$5:$Q$34&lt;Q32))+1</f>
        <v>3</v>
      </c>
      <c r="S32" s="28" t="n">
        <f aca="false">SUMPRODUCT(($C$5:$C$34=C32)*($Q$5:$Q$34&lt;Q32)*$AH$5:$AH$34)</f>
        <v>0.821338</v>
      </c>
      <c r="T32" s="28" t="n">
        <f aca="false">INDEX(Funnel!$B$5:$B$8,MATCH(C32,Funnel!$A$5:$A$8,0))-SUMIFS($AG$5:$AG$34,$C$5:$C$34,C32)</f>
        <v>9.66207196532669</v>
      </c>
      <c r="U32" s="42" t="n">
        <f aca="false">AG32+AI32</f>
        <v>0.73899</v>
      </c>
      <c r="V32" s="28" t="n">
        <f aca="false">IF(L32&gt;0,U32/L32,0)</f>
        <v>2.7</v>
      </c>
      <c r="W32" s="25" t="n">
        <f aca="false">IF(I32&gt;0,V32/I32,0)</f>
        <v>6</v>
      </c>
      <c r="X32" s="37" t="n">
        <f aca="false">IF(E32="Slot",IF(N(G32)&gt;0,ROUNDUP(W32/G32,0)*MAX(0,F32),0),W32*H32)</f>
        <v>738.99</v>
      </c>
      <c r="Y32" s="37" t="n">
        <f aca="false">IF(U32&gt;0,0,0)</f>
        <v>0</v>
      </c>
      <c r="Z32" s="37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37" t="n">
        <f aca="false">X32+Y32</f>
        <v>738.99</v>
      </c>
      <c r="AB32" s="37" t="n">
        <f aca="false">IF(U32&gt;0,(X32+Y32)/U32,"–")</f>
        <v>1000</v>
      </c>
      <c r="AC32" s="25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28" t="n">
        <f aca="false">IF(H32&gt;0,Z32/H32,0)</f>
        <v>0</v>
      </c>
      <c r="AF32" s="28" t="n">
        <f aca="false">AE32*I32</f>
        <v>0</v>
      </c>
      <c r="AG32" s="28" t="n">
        <f aca="false">AF32*L32</f>
        <v>0</v>
      </c>
      <c r="AH32" s="28" t="n">
        <f aca="false">MAX(0,N32-AG32)</f>
        <v>0.73899</v>
      </c>
      <c r="AI32" s="28" t="n">
        <f aca="false">MIN(AH32,MAX(0,T32-S32))</f>
        <v>0.73899</v>
      </c>
    </row>
    <row r="33" customFormat="false" ht="15" hidden="false" customHeight="false" outlineLevel="0" collapsed="false">
      <c r="A33" s="2" t="s">
        <v>597</v>
      </c>
      <c r="B33" s="2" t="s">
        <v>598</v>
      </c>
      <c r="C33" s="2" t="s">
        <v>50</v>
      </c>
      <c r="D33" s="2" t="s">
        <v>534</v>
      </c>
      <c r="E33" s="2" t="s">
        <v>303</v>
      </c>
      <c r="F33" s="39" t="n">
        <f aca="false">Initiatives!B27</f>
        <v>84</v>
      </c>
      <c r="G33" s="2"/>
      <c r="H33" s="39" t="n">
        <f aca="false">F33</f>
        <v>84</v>
      </c>
      <c r="I33" s="26" t="n">
        <f aca="false">Initiatives!B28</f>
        <v>0.15</v>
      </c>
      <c r="J33" s="25" t="n">
        <f aca="false">Initiatives!B26</f>
        <v>200</v>
      </c>
      <c r="K33" s="28" t="n">
        <f aca="false">J33*I33</f>
        <v>30</v>
      </c>
      <c r="L33" s="27" t="n">
        <f aca="false">INDEX(Funnel!$G$5:$G$8,MATCH(C33,Funnel!$A$5:$A$8,0))*M33</f>
        <v>0.2835</v>
      </c>
      <c r="M33" s="40" t="n">
        <f aca="false">Assumptions!$D$153</f>
        <v>0.9</v>
      </c>
      <c r="N33" s="28" t="n">
        <f aca="false">K33*L33</f>
        <v>8.505</v>
      </c>
      <c r="O33" s="37" t="n">
        <f aca="false">IF(I33&gt;0,H33/I33,0)</f>
        <v>560</v>
      </c>
      <c r="P33" s="37" t="n">
        <f aca="false">IF(N33&gt;0,(N33/L33/I33*H33+Initiatives!B33)/N33,0)</f>
        <v>2116.40211640212</v>
      </c>
      <c r="Q33" s="41" t="n">
        <f aca="false">P33+ROW()/1000000</f>
        <v>2116.40214940212</v>
      </c>
      <c r="R33" s="25" t="n">
        <f aca="false">SUMPRODUCT(($C$5:$C$34=C33)*($Q$5:$Q$34&lt;Q33))+1</f>
        <v>4</v>
      </c>
      <c r="S33" s="28" t="n">
        <f aca="false">SUMPRODUCT(($C$5:$C$34=C33)*($Q$5:$Q$34&lt;Q33)*$AH$5:$AH$34)</f>
        <v>7.6738725</v>
      </c>
      <c r="T33" s="28" t="n">
        <f aca="false">INDEX(Funnel!$B$5:$B$8,MATCH(C33,Funnel!$A$5:$A$8,0))-SUMIFS($AG$5:$AG$34,$C$5:$C$34,C33)</f>
        <v>29.4504025230751</v>
      </c>
      <c r="U33" s="42" t="n">
        <f aca="false">AG33+AI33</f>
        <v>8.505</v>
      </c>
      <c r="V33" s="28" t="n">
        <f aca="false">IF(L33&gt;0,U33/L33,0)</f>
        <v>30</v>
      </c>
      <c r="W33" s="25" t="n">
        <f aca="false">IF(I33&gt;0,V33/I33,0)</f>
        <v>200</v>
      </c>
      <c r="X33" s="37" t="n">
        <f aca="false">IF(E33="Slot",IF(N(G33)&gt;0,ROUNDUP(W33/G33,0)*MAX(0,F33),0),W33*H33)</f>
        <v>16800</v>
      </c>
      <c r="Y33" s="37" t="n">
        <f aca="false">IF(U33&gt;0,Initiatives!B33,0)</f>
        <v>1200</v>
      </c>
      <c r="Z33" s="37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37" t="n">
        <f aca="false">X33+Y33</f>
        <v>18000</v>
      </c>
      <c r="AB33" s="37" t="n">
        <f aca="false">IF(U33&gt;0,(X33+Y33)/U33,"–")</f>
        <v>2116.40211640212</v>
      </c>
      <c r="AC33" s="25" t="n">
        <f aca="false">SUMPRODUCT(--($Q$5:$Q$34&lt;Q33))+1</f>
        <v>16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28" t="n">
        <f aca="false">IF(H33&gt;0,Z33/H33,0)</f>
        <v>0</v>
      </c>
      <c r="AF33" s="28" t="n">
        <f aca="false">AE33*I33</f>
        <v>0</v>
      </c>
      <c r="AG33" s="28" t="n">
        <f aca="false">AF33*L33</f>
        <v>0</v>
      </c>
      <c r="AH33" s="28" t="n">
        <f aca="false">MAX(0,N33-AG33)</f>
        <v>8.505</v>
      </c>
      <c r="AI33" s="28" t="n">
        <f aca="false">MIN(AH33,MAX(0,T33-S33))</f>
        <v>8.505</v>
      </c>
    </row>
    <row r="34" customFormat="false" ht="15" hidden="false" customHeight="false" outlineLevel="0" collapsed="false">
      <c r="A34" s="2" t="s">
        <v>599</v>
      </c>
      <c r="B34" s="2" t="s">
        <v>600</v>
      </c>
      <c r="C34" s="2" t="s">
        <v>45</v>
      </c>
      <c r="D34" s="2" t="s">
        <v>534</v>
      </c>
      <c r="E34" s="2" t="s">
        <v>303</v>
      </c>
      <c r="F34" s="39" t="n">
        <f aca="false">Initiatives!B38</f>
        <v>18.75</v>
      </c>
      <c r="G34" s="2"/>
      <c r="H34" s="39" t="n">
        <f aca="false">F34</f>
        <v>18.75</v>
      </c>
      <c r="I34" s="26" t="n">
        <f aca="false">Initiatives!B39</f>
        <v>0.14</v>
      </c>
      <c r="J34" s="25" t="n">
        <f aca="false">Initiatives!B40</f>
        <v>350</v>
      </c>
      <c r="K34" s="28" t="n">
        <f aca="false">J34*I34</f>
        <v>49</v>
      </c>
      <c r="L34" s="27" t="n">
        <f aca="false">INDEX(Funnel!$G$5:$G$8,MATCH(C34,Funnel!$A$5:$A$8,0))*M34</f>
        <v>0.37125</v>
      </c>
      <c r="M34" s="40" t="n">
        <f aca="false">Assumptions!$D$158</f>
        <v>1</v>
      </c>
      <c r="N34" s="28" t="n">
        <f aca="false">MIN(K34*L34,Initiatives!B42)</f>
        <v>18</v>
      </c>
      <c r="O34" s="37" t="n">
        <f aca="false">IF(I34&gt;0,H34/I34,0)</f>
        <v>133.928571428571</v>
      </c>
      <c r="P34" s="37" t="n">
        <f aca="false">IF(N34&gt;0,(N34/L34/I34*H34+Initiatives!B46)/N34,0)</f>
        <v>382.972582972583</v>
      </c>
      <c r="Q34" s="41" t="n">
        <f aca="false">P34+ROW()/1000000</f>
        <v>382.972616972583</v>
      </c>
      <c r="R34" s="25" t="n">
        <f aca="false">SUMPRODUCT(($C$5:$C$34=C34)*($Q$5:$Q$34&lt;Q34))+1</f>
        <v>3</v>
      </c>
      <c r="S34" s="28" t="n">
        <f aca="false">SUMPRODUCT(($C$5:$C$34=C34)*($Q$5:$Q$34&lt;Q34)*$AH$5:$AH$34)</f>
        <v>10.72489275</v>
      </c>
      <c r="T34" s="28" t="n">
        <f aca="false">INDEX(Funnel!$B$5:$B$8,MATCH(C34,Funnel!$A$5:$A$8,0))-SUMIFS($AG$5:$AG$34,$C$5:$C$34,C34)</f>
        <v>44.0499815041726</v>
      </c>
      <c r="U34" s="42" t="n">
        <f aca="false">AG34+AI34</f>
        <v>18</v>
      </c>
      <c r="V34" s="28" t="n">
        <f aca="false">IF(L34&gt;0,U34/L34,0)</f>
        <v>48.4848484848485</v>
      </c>
      <c r="W34" s="25" t="n">
        <f aca="false">IF(I34&gt;0,V34/I34,0)</f>
        <v>346.320346320346</v>
      </c>
      <c r="X34" s="37" t="n">
        <f aca="false">IF(E34="Slot",IF(N(G34)&gt;0,ROUNDUP(W34/G34,0)*MAX(0,F34),0),W34*H34)</f>
        <v>6493.50649350649</v>
      </c>
      <c r="Y34" s="37" t="n">
        <f aca="false">IF(U34&gt;0,Initiatives!B46,0)</f>
        <v>400</v>
      </c>
      <c r="Z34" s="37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37" t="n">
        <f aca="false">X34+Y34</f>
        <v>6893.50649350649</v>
      </c>
      <c r="AB34" s="37" t="n">
        <f aca="false">IF(U34&gt;0,(X34+Y34)/U34,"–")</f>
        <v>382.972582972583</v>
      </c>
      <c r="AC34" s="25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28" t="n">
        <f aca="false">IF(H34&gt;0,Z34/H34,0)</f>
        <v>0</v>
      </c>
      <c r="AF34" s="28" t="n">
        <f aca="false">AE34*I34</f>
        <v>0</v>
      </c>
      <c r="AG34" s="28" t="n">
        <f aca="false">AF34*L34</f>
        <v>0</v>
      </c>
      <c r="AH34" s="28" t="n">
        <f aca="false">MAX(0,N34-AG34)</f>
        <v>18</v>
      </c>
      <c r="AI34" s="28" t="n">
        <f aca="false">MIN(AH34,MAX(0,T34-S34))</f>
        <v>18</v>
      </c>
    </row>
    <row r="35" customFormat="false" ht="15" hidden="false" customHeight="false" outlineLevel="0" collapsed="false">
      <c r="A35" s="24" t="s">
        <v>426</v>
      </c>
      <c r="J35" s="29" t="n">
        <f aca="false">SUM(J5:J34)</f>
        <v>3667.32</v>
      </c>
      <c r="K35" s="31" t="n">
        <f aca="false">SUM(K5:K34)</f>
        <v>516.2436</v>
      </c>
      <c r="N35" s="31" t="n">
        <f aca="false">SUM(N5:N34)</f>
        <v>172.43729275</v>
      </c>
      <c r="U35" s="31" t="n">
        <f aca="false">SUM(U5:U34)</f>
        <v>98.750308</v>
      </c>
      <c r="V35" s="31" t="n">
        <f aca="false">SUM(V5:V34)</f>
        <v>303.447269360269</v>
      </c>
      <c r="W35" s="29" t="n">
        <f aca="false">SUM(W5:W34)</f>
        <v>2360.469219568</v>
      </c>
      <c r="X35" s="38" t="n">
        <f aca="false">SUM(X5:X34)</f>
        <v>191823.630576062</v>
      </c>
      <c r="Y35" s="38" t="n">
        <f aca="false">SUM(Y5:Y34)</f>
        <v>1600</v>
      </c>
      <c r="Z35" s="38" t="n">
        <f aca="false">SUM(Z5:Z34)</f>
        <v>9000</v>
      </c>
      <c r="AA35" s="38" t="n">
        <f aca="false">SUM(AA5:AA34)</f>
        <v>193423.630576062</v>
      </c>
      <c r="AB35" s="38" t="n">
        <f aca="false">IF(U35&gt;0,(X35+Y35)/U35,0)</f>
        <v>1958.71420042621</v>
      </c>
      <c r="AE35" s="29" t="n">
        <f aca="false">SUM(AE5:AE34)</f>
        <v>68.8754597661265</v>
      </c>
      <c r="AF35" s="31" t="n">
        <f aca="false">SUM(AF5:AF34)</f>
        <v>7.85339050409452</v>
      </c>
      <c r="AG35" s="31" t="n">
        <f aca="false">SUM(AG5:AG34)</f>
        <v>2.44134189290811</v>
      </c>
      <c r="AI35" s="31" t="n">
        <f aca="false">SUM(AI5:AI34)</f>
        <v>96.3089661070919</v>
      </c>
    </row>
    <row r="37" customFormat="false" ht="15" hidden="false" customHeight="false" outlineLevel="0" collapsed="false">
      <c r="A37" s="24" t="s">
        <v>601</v>
      </c>
    </row>
    <row r="38" customFormat="false" ht="64.9" hidden="false" customHeight="false" outlineLevel="0" collapsed="false">
      <c r="A38" s="12"/>
      <c r="B38" s="12" t="s">
        <v>283</v>
      </c>
      <c r="C38" s="12" t="s">
        <v>49</v>
      </c>
      <c r="D38" s="12" t="s">
        <v>602</v>
      </c>
      <c r="E38" s="12" t="s">
        <v>603</v>
      </c>
    </row>
    <row r="39" customFormat="false" ht="15" hidden="false" customHeight="false" outlineLevel="0" collapsed="false">
      <c r="B39" s="2" t="s">
        <v>50</v>
      </c>
      <c r="C39" s="25" t="n">
        <f aca="false">Funnel!B5</f>
        <v>30</v>
      </c>
      <c r="D39" s="28" t="n">
        <f aca="false">SUMIFS($U$5:$U$34,$C$5:$C$34,B39)</f>
        <v>30</v>
      </c>
      <c r="E39" s="28" t="n">
        <f aca="false">IF(C39-D39&gt;0.05,C39-D39,0)</f>
        <v>0</v>
      </c>
    </row>
    <row r="40" customFormat="false" ht="15" hidden="false" customHeight="false" outlineLevel="0" collapsed="false">
      <c r="B40" s="2" t="s">
        <v>45</v>
      </c>
      <c r="C40" s="25" t="n">
        <f aca="false">Funnel!B6</f>
        <v>45</v>
      </c>
      <c r="D40" s="28" t="n">
        <f aca="false">SUMIFS($U$5:$U$34,$C$5:$C$34,B40)</f>
        <v>45</v>
      </c>
      <c r="E40" s="28" t="n">
        <f aca="false">IF(C40-D40&gt;0.05,C40-D40,0)</f>
        <v>0</v>
      </c>
    </row>
    <row r="41" customFormat="false" ht="15" hidden="false" customHeight="false" outlineLevel="0" collapsed="false">
      <c r="B41" s="2" t="s">
        <v>55</v>
      </c>
      <c r="C41" s="25" t="n">
        <f aca="false">Funnel!B7</f>
        <v>15</v>
      </c>
      <c r="D41" s="28" t="n">
        <f aca="false">SUMIFS($U$5:$U$34,$C$5:$C$34,B41)</f>
        <v>15</v>
      </c>
      <c r="E41" s="28" t="n">
        <f aca="false">IF(C41-D41&gt;0.05,C41-D41,0)</f>
        <v>0</v>
      </c>
    </row>
    <row r="42" customFormat="false" ht="15" hidden="false" customHeight="false" outlineLevel="0" collapsed="false">
      <c r="B42" s="2" t="s">
        <v>57</v>
      </c>
      <c r="C42" s="25" t="n">
        <f aca="false">Funnel!B8</f>
        <v>10</v>
      </c>
      <c r="D42" s="28" t="n">
        <f aca="false">SUMIFS($U$5:$U$34,$C$5:$C$34,B42)</f>
        <v>8.750308</v>
      </c>
      <c r="E42" s="28" t="n">
        <f aca="false">IF(C42-D42&gt;0.05,C42-D42,0)</f>
        <v>1.249692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604</v>
      </c>
    </row>
    <row r="4" customFormat="false" ht="15" hidden="false" customHeight="false" outlineLevel="0" collapsed="false">
      <c r="B4" s="2" t="s">
        <v>605</v>
      </c>
      <c r="C4" s="37" t="n">
        <f aca="false">SUMIFS(Channels!X5:X34,Channels!D5:D34,"Channel")</f>
        <v>157259.315332555</v>
      </c>
    </row>
    <row r="5" customFormat="false" ht="15" hidden="false" customHeight="false" outlineLevel="0" collapsed="false">
      <c r="B5" s="2" t="s">
        <v>606</v>
      </c>
      <c r="C5" s="37" t="n">
        <f aca="false">SUMIFS(Channels!X5:X34,Channels!D5:D34,"Initiative")</f>
        <v>34564.3152435065</v>
      </c>
    </row>
    <row r="6" customFormat="false" ht="15" hidden="false" customHeight="false" outlineLevel="0" collapsed="false">
      <c r="B6" s="2" t="s">
        <v>607</v>
      </c>
      <c r="C6" s="37" t="n">
        <f aca="false">Channels!Y35</f>
        <v>1600</v>
      </c>
    </row>
    <row r="7" customFormat="false" ht="15" hidden="false" customHeight="false" outlineLevel="0" collapsed="false">
      <c r="B7" s="2" t="s">
        <v>608</v>
      </c>
      <c r="C7" s="37" t="n">
        <f aca="false">C4+C5+C6</f>
        <v>193423.630576062</v>
      </c>
    </row>
    <row r="8" customFormat="false" ht="15" hidden="false" customHeight="false" outlineLevel="0" collapsed="false">
      <c r="B8" s="2" t="s">
        <v>609</v>
      </c>
      <c r="C8" s="37" t="n">
        <f aca="false">Channels!Z35</f>
        <v>9000</v>
      </c>
    </row>
    <row r="9" customFormat="false" ht="15" hidden="false" customHeight="false" outlineLevel="0" collapsed="false">
      <c r="B9" s="2" t="s">
        <v>610</v>
      </c>
      <c r="C9" s="37" t="n">
        <f aca="false">C7</f>
        <v>193423.630576062</v>
      </c>
    </row>
    <row r="10" customFormat="false" ht="15" hidden="false" customHeight="false" outlineLevel="0" collapsed="false">
      <c r="B10" s="2" t="s">
        <v>611</v>
      </c>
      <c r="C10" s="37" t="n">
        <f aca="false">IF(Assumptions!$D$48&lt;1,C9/(1-Assumptions!$D$48)*Assumptions!$D$48,0)</f>
        <v>34133.5818663638</v>
      </c>
    </row>
    <row r="11" customFormat="false" ht="15" hidden="false" customHeight="false" outlineLevel="0" collapsed="false">
      <c r="B11" s="2" t="s">
        <v>612</v>
      </c>
      <c r="C11" s="37" t="n">
        <f aca="false">C9+C10</f>
        <v>227557.212442426</v>
      </c>
    </row>
    <row r="12" customFormat="false" ht="15" hidden="false" customHeight="false" outlineLevel="0" collapsed="false">
      <c r="B12" s="24" t="s">
        <v>613</v>
      </c>
      <c r="C12" s="4" t="n">
        <f aca="false">IF(Assumptions!$D$51&gt;0,ROUNDUP(C11/Assumptions!$D$51,0)*Assumptions!$D$51,C11)</f>
        <v>230000</v>
      </c>
    </row>
    <row r="13" customFormat="false" ht="15" hidden="false" customHeight="false" outlineLevel="0" collapsed="false">
      <c r="B13" s="2" t="s">
        <v>614</v>
      </c>
      <c r="C13" s="42" t="n">
        <f aca="false">MIN(Channels!U35,Funnel!B26)</f>
        <v>98.750308</v>
      </c>
    </row>
    <row r="14" customFormat="false" ht="15" hidden="false" customHeight="false" outlineLevel="0" collapsed="false">
      <c r="B14" s="2" t="s">
        <v>615</v>
      </c>
      <c r="C14" s="43" t="n">
        <f aca="false">IF(C13&gt;0,C9/C13,0)</f>
        <v>1958.71420042621</v>
      </c>
    </row>
    <row r="15" customFormat="false" ht="15" hidden="false" customHeight="false" outlineLevel="0" collapsed="false">
      <c r="B15" s="2" t="s">
        <v>616</v>
      </c>
      <c r="C15" s="37" t="n">
        <f aca="false">IF(C13&gt;0,C12/C13,0)</f>
        <v>2329.10665959644</v>
      </c>
    </row>
    <row r="16" customFormat="false" ht="15" hidden="false" customHeight="false" outlineLevel="0" collapsed="false">
      <c r="B16" s="2" t="s">
        <v>617</v>
      </c>
      <c r="C16" s="26" t="n">
        <f aca="false">IF(C12&gt;0,Weekly!N5/C12,0)</f>
        <v>0.228383825776918</v>
      </c>
    </row>
    <row r="19" customFormat="false" ht="15" hidden="false" customHeight="false" outlineLevel="0" collapsed="false">
      <c r="B19" s="24" t="s">
        <v>618</v>
      </c>
    </row>
    <row r="20" customFormat="false" ht="26.85" hidden="false" customHeight="false" outlineLevel="0" collapsed="false">
      <c r="A20" s="12"/>
      <c r="B20" s="12" t="s">
        <v>283</v>
      </c>
      <c r="C20" s="12" t="s">
        <v>619</v>
      </c>
      <c r="D20" s="12" t="s">
        <v>576</v>
      </c>
      <c r="E20" s="12" t="s">
        <v>620</v>
      </c>
      <c r="F20" s="12" t="s">
        <v>578</v>
      </c>
      <c r="G20" s="12" t="s">
        <v>621</v>
      </c>
      <c r="H20" s="12" t="s">
        <v>622</v>
      </c>
      <c r="I20" s="12" t="s">
        <v>623</v>
      </c>
    </row>
    <row r="21" customFormat="false" ht="15" hidden="false" customHeight="false" outlineLevel="0" collapsed="false">
      <c r="B21" s="2" t="s">
        <v>50</v>
      </c>
      <c r="C21" s="37" t="n">
        <f aca="false">SUMIFS(Channels!$X$5:$X$34,Channels!$C$5:$C$34,B21)</f>
        <v>69473.5052313953</v>
      </c>
      <c r="D21" s="37" t="n">
        <f aca="false">SUMIFS(Channels!$Y$5:$Y$34,Channels!$C$5:$C$34,B21)</f>
        <v>1200</v>
      </c>
      <c r="E21" s="37" t="n">
        <f aca="false">SUMIFS(Channels!$Z$5:$Z$34,Channels!$C$5:$C$34,B21)</f>
        <v>2250</v>
      </c>
      <c r="F21" s="37" t="n">
        <f aca="false">C21+D21</f>
        <v>70673.5052313953</v>
      </c>
      <c r="G21" s="28" t="n">
        <f aca="false">SUMIFS(Channels!$U$5:$U$34,Channels!$C$5:$C$34,B21)</f>
        <v>30</v>
      </c>
      <c r="H21" s="37" t="n">
        <f aca="false">IF(G21&gt;0,F21/G21,0)</f>
        <v>2355.78350771318</v>
      </c>
      <c r="I21" s="28" t="n">
        <f aca="false">SUMIFS(Channels!$V$5:$V$34,Channels!$C$5:$C$34,B21)</f>
        <v>96.5190952380953</v>
      </c>
    </row>
    <row r="22" customFormat="false" ht="15" hidden="false" customHeight="false" outlineLevel="0" collapsed="false">
      <c r="B22" s="2" t="s">
        <v>45</v>
      </c>
      <c r="C22" s="37" t="n">
        <f aca="false">SUMIFS(Channels!$X$5:$X$34,Channels!$C$5:$C$34,B22)</f>
        <v>33461.8884637513</v>
      </c>
      <c r="D22" s="37" t="n">
        <f aca="false">SUMIFS(Channels!$Y$5:$Y$34,Channels!$C$5:$C$34,B22)</f>
        <v>400</v>
      </c>
      <c r="E22" s="37" t="n">
        <f aca="false">SUMIFS(Channels!$Z$5:$Z$34,Channels!$C$5:$C$34,B22)</f>
        <v>2250</v>
      </c>
      <c r="F22" s="37" t="n">
        <f aca="false">C22+D22</f>
        <v>33861.8884637513</v>
      </c>
      <c r="G22" s="28" t="n">
        <f aca="false">SUMIFS(Channels!$U$5:$U$34,Channels!$C$5:$C$34,B22)</f>
        <v>45</v>
      </c>
      <c r="H22" s="37" t="n">
        <f aca="false">IF(G22&gt;0,F22/G22,0)</f>
        <v>752.486410305585</v>
      </c>
      <c r="I22" s="28" t="n">
        <f aca="false">SUMIFS(Channels!$V$5:$V$34,Channels!$C$5:$C$34,B22)</f>
        <v>118.638121212121</v>
      </c>
    </row>
    <row r="23" customFormat="false" ht="15" hidden="false" customHeight="false" outlineLevel="0" collapsed="false">
      <c r="B23" s="2" t="s">
        <v>55</v>
      </c>
      <c r="C23" s="37" t="n">
        <f aca="false">SUMIFS(Channels!$X$5:$X$34,Channels!$C$5:$C$34,B23)</f>
        <v>39526.0468809152</v>
      </c>
      <c r="D23" s="37" t="n">
        <f aca="false">SUMIFS(Channels!$Y$5:$Y$34,Channels!$C$5:$C$34,B23)</f>
        <v>0</v>
      </c>
      <c r="E23" s="37" t="n">
        <f aca="false">SUMIFS(Channels!$Z$5:$Z$34,Channels!$C$5:$C$34,B23)</f>
        <v>2250</v>
      </c>
      <c r="F23" s="37" t="n">
        <f aca="false">C23+D23</f>
        <v>39526.0468809152</v>
      </c>
      <c r="G23" s="28" t="n">
        <f aca="false">SUMIFS(Channels!$U$5:$U$34,Channels!$C$5:$C$34,B23)</f>
        <v>15</v>
      </c>
      <c r="H23" s="37" t="n">
        <f aca="false">IF(G23&gt;0,F23/G23,0)</f>
        <v>2635.06979206101</v>
      </c>
      <c r="I23" s="28" t="n">
        <f aca="false">SUMIFS(Channels!$V$5:$V$34,Channels!$C$5:$C$34,B23)</f>
        <v>52.0550529100529</v>
      </c>
    </row>
    <row r="24" customFormat="false" ht="15" hidden="false" customHeight="false" outlineLevel="0" collapsed="false">
      <c r="B24" s="2" t="s">
        <v>57</v>
      </c>
      <c r="C24" s="37" t="n">
        <f aca="false">SUMIFS(Channels!$X$5:$X$34,Channels!$C$5:$C$34,B24)</f>
        <v>49362.19</v>
      </c>
      <c r="D24" s="37" t="n">
        <f aca="false">SUMIFS(Channels!$Y$5:$Y$34,Channels!$C$5:$C$34,B24)</f>
        <v>0</v>
      </c>
      <c r="E24" s="37" t="n">
        <f aca="false">SUMIFS(Channels!$Z$5:$Z$34,Channels!$C$5:$C$34,B24)</f>
        <v>2250</v>
      </c>
      <c r="F24" s="37" t="n">
        <f aca="false">C24+D24</f>
        <v>49362.19</v>
      </c>
      <c r="G24" s="28" t="n">
        <f aca="false">SUMIFS(Channels!$U$5:$U$34,Channels!$C$5:$C$34,B24)</f>
        <v>8.750308</v>
      </c>
      <c r="H24" s="37" t="n">
        <f aca="false">IF(G24&gt;0,F24/G24,0)</f>
        <v>5641.19457280818</v>
      </c>
      <c r="I24" s="28" t="n">
        <f aca="false">SUMIFS(Channels!$V$5:$V$34,Channels!$C$5:$C$34,B24)</f>
        <v>36.235</v>
      </c>
    </row>
    <row r="25" customFormat="false" ht="15" hidden="false" customHeight="false" outlineLevel="0" collapsed="false">
      <c r="B25" s="24" t="s">
        <v>426</v>
      </c>
      <c r="C25" s="38" t="n">
        <f aca="false">SUM(C21:C24)</f>
        <v>191823.630576062</v>
      </c>
      <c r="D25" s="38" t="n">
        <f aca="false">SUM(D21:D24)</f>
        <v>1600</v>
      </c>
      <c r="E25" s="38" t="n">
        <f aca="false">SUM(E21:E24)</f>
        <v>9000</v>
      </c>
      <c r="F25" s="38" t="n">
        <f aca="false">SUM(F21:F24)</f>
        <v>193423.630576062</v>
      </c>
      <c r="G25" s="31" t="n">
        <f aca="false">SUM(G21:G24)</f>
        <v>98.750308</v>
      </c>
      <c r="H25" s="38" t="n">
        <f aca="false">IF(G25&gt;0,F25/G25,0)</f>
        <v>1958.71420042621</v>
      </c>
      <c r="I25" s="31" t="n">
        <f aca="false">SUM(I21:I24)</f>
        <v>303.447269360269</v>
      </c>
    </row>
    <row r="27" customFormat="false" ht="15" hidden="false" customHeight="false" outlineLevel="0" collapsed="false">
      <c r="B27" s="24" t="s">
        <v>624</v>
      </c>
    </row>
    <row r="28" customFormat="false" ht="26.85" hidden="false" customHeight="false" outlineLevel="0" collapsed="false">
      <c r="A28" s="12"/>
      <c r="B28" s="12" t="s">
        <v>282</v>
      </c>
      <c r="C28" s="12" t="s">
        <v>578</v>
      </c>
      <c r="D28" s="12" t="s">
        <v>621</v>
      </c>
      <c r="E28" s="12" t="s">
        <v>622</v>
      </c>
      <c r="F28" s="12" t="s">
        <v>625</v>
      </c>
    </row>
    <row r="29" customFormat="false" ht="15" hidden="false" customHeight="false" outlineLevel="0" collapsed="false">
      <c r="B29" s="2" t="s">
        <v>292</v>
      </c>
      <c r="C29" s="37" t="n">
        <f aca="false">SUMIFS(Channels!$AA$5:$AA$34,Channels!$B$5:$B$34,B29)</f>
        <v>0</v>
      </c>
      <c r="D29" s="28" t="n">
        <f aca="false">SUMIFS(Channels!$U$5:$U$34,Channels!$B$5:$B$34,B29)</f>
        <v>14.87643475</v>
      </c>
      <c r="E29" s="37" t="n">
        <f aca="false">IF(D29&gt;0,C29/D29,"–")</f>
        <v>0</v>
      </c>
      <c r="F29" s="26" t="n">
        <f aca="false">IF($C$9&gt;0,C29/$C$9,0)</f>
        <v>0</v>
      </c>
    </row>
    <row r="30" customFormat="false" ht="15" hidden="false" customHeight="false" outlineLevel="0" collapsed="false">
      <c r="B30" s="2" t="s">
        <v>302</v>
      </c>
      <c r="C30" s="37" t="n">
        <f aca="false">SUMIFS(Channels!$AA$5:$AA$34,Channels!$B$5:$B$34,B30)</f>
        <v>65107.8896123105</v>
      </c>
      <c r="D30" s="28" t="n">
        <f aca="false">SUMIFS(Channels!$U$5:$U$34,Channels!$B$5:$B$34,B30)</f>
        <v>12.5919124056439</v>
      </c>
      <c r="E30" s="37" t="n">
        <f aca="false">IF(D30&gt;0,C30/D30,"–")</f>
        <v>5170.61170018371</v>
      </c>
      <c r="F30" s="26" t="n">
        <f aca="false">IF($C$9&gt;0,C30/$C$9,0)</f>
        <v>0.336607732045995</v>
      </c>
    </row>
    <row r="31" customFormat="false" ht="15" hidden="false" customHeight="false" outlineLevel="0" collapsed="false">
      <c r="B31" s="2" t="s">
        <v>311</v>
      </c>
      <c r="C31" s="37" t="n">
        <f aca="false">SUMIFS(Channels!$AA$5:$AA$34,Channels!$B$5:$B$34,B31)</f>
        <v>10143</v>
      </c>
      <c r="D31" s="28" t="n">
        <f aca="false">SUMIFS(Channels!$U$5:$U$34,Channels!$B$5:$B$34,B31)</f>
        <v>3.96036</v>
      </c>
      <c r="E31" s="37" t="n">
        <f aca="false">IF(D31&gt;0,C31/D31,"–")</f>
        <v>2561.13080629034</v>
      </c>
      <c r="F31" s="26" t="n">
        <f aca="false">IF($C$9&gt;0,C31/$C$9,0)</f>
        <v>0.052439301081216</v>
      </c>
    </row>
    <row r="32" customFormat="false" ht="15" hidden="false" customHeight="false" outlineLevel="0" collapsed="false">
      <c r="B32" s="2" t="s">
        <v>320</v>
      </c>
      <c r="C32" s="37" t="n">
        <f aca="false">SUMIFS(Channels!$AA$5:$AA$34,Channels!$B$5:$B$34,B32)</f>
        <v>24000</v>
      </c>
      <c r="D32" s="28" t="n">
        <f aca="false">SUMIFS(Channels!$U$5:$U$34,Channels!$B$5:$B$34,B32)</f>
        <v>7.882875</v>
      </c>
      <c r="E32" s="37" t="n">
        <f aca="false">IF(D32&gt;0,C32/D32,"–")</f>
        <v>3044.5744731459</v>
      </c>
      <c r="F32" s="26" t="n">
        <f aca="false">IF($C$9&gt;0,C32/$C$9,0)</f>
        <v>0.124079978896696</v>
      </c>
    </row>
    <row r="33" customFormat="false" ht="15" hidden="false" customHeight="false" outlineLevel="0" collapsed="false">
      <c r="B33" s="2" t="s">
        <v>325</v>
      </c>
      <c r="C33" s="37" t="n">
        <f aca="false">SUMIFS(Channels!$AA$5:$AA$34,Channels!$B$5:$B$34,B33)</f>
        <v>50388.4257202448</v>
      </c>
      <c r="D33" s="28" t="n">
        <f aca="false">SUMIFS(Channels!$U$5:$U$34,Channels!$B$5:$B$34,B33)</f>
        <v>17.6118730398869</v>
      </c>
      <c r="E33" s="37" t="n">
        <f aca="false">IF(D33&gt;0,C33/D33,"–")</f>
        <v>2861.04865769396</v>
      </c>
      <c r="F33" s="26" t="n">
        <f aca="false">IF($C$9&gt;0,C33/$C$9,0)</f>
        <v>0.260508116666904</v>
      </c>
    </row>
    <row r="34" customFormat="false" ht="15" hidden="false" customHeight="false" outlineLevel="0" collapsed="false">
      <c r="B34" s="2" t="s">
        <v>330</v>
      </c>
      <c r="C34" s="37" t="n">
        <f aca="false">SUMIFS(Channels!$AA$5:$AA$34,Channels!$B$5:$B$34,B34)</f>
        <v>7620</v>
      </c>
      <c r="D34" s="28" t="n">
        <f aca="false">SUMIFS(Channels!$U$5:$U$34,Channels!$B$5:$B$34,B34)</f>
        <v>1.01697980446927</v>
      </c>
      <c r="E34" s="37" t="n">
        <f aca="false">IF(D34&gt;0,C34/D34,"–")</f>
        <v>7492.7741598336</v>
      </c>
      <c r="F34" s="26" t="n">
        <f aca="false">IF($C$9&gt;0,C34/$C$9,0)</f>
        <v>0.0393953932997009</v>
      </c>
    </row>
    <row r="35" customFormat="false" ht="15" hidden="false" customHeight="false" outlineLevel="0" collapsed="false">
      <c r="B35" s="2" t="s">
        <v>588</v>
      </c>
      <c r="C35" s="37" t="n">
        <f aca="false">SUMIFS(Channels!$AA$5:$AA$34,Channels!$B$5:$B$34,B35)</f>
        <v>40.8</v>
      </c>
      <c r="D35" s="28" t="n">
        <f aca="false">SUMIFS(Channels!$U$5:$U$34,Channels!$B$5:$B$34,B35)</f>
        <v>3.07486425</v>
      </c>
      <c r="E35" s="37" t="n">
        <f aca="false">IF(D35&gt;0,C35/D35,"–")</f>
        <v>13.268878455366</v>
      </c>
      <c r="F35" s="26" t="n">
        <f aca="false">IF($C$9&gt;0,C35/$C$9,0)</f>
        <v>0.000210935964124383</v>
      </c>
    </row>
    <row r="36" customFormat="false" ht="15" hidden="false" customHeight="false" outlineLevel="0" collapsed="false">
      <c r="B36" s="2" t="s">
        <v>593</v>
      </c>
      <c r="C36" s="37" t="n">
        <f aca="false">SUMIFS(Channels!$AA$5:$AA$34,Channels!$B$5:$B$34,B36)</f>
        <v>11230.00875</v>
      </c>
      <c r="D36" s="28" t="n">
        <f aca="false">SUMIFS(Channels!$U$5:$U$34,Channels!$B$5:$B$34,B36)</f>
        <v>11.23000875</v>
      </c>
      <c r="E36" s="37" t="n">
        <f aca="false">IF(D36&gt;0,C36/D36,"–")</f>
        <v>1000</v>
      </c>
      <c r="F36" s="26" t="n">
        <f aca="false">IF($C$9&gt;0,C36/$C$9,0)</f>
        <v>0.0580591353629045</v>
      </c>
    </row>
    <row r="37" customFormat="false" ht="15" hidden="false" customHeight="false" outlineLevel="0" collapsed="false">
      <c r="B37" s="2" t="s">
        <v>598</v>
      </c>
      <c r="C37" s="37" t="n">
        <f aca="false">SUMIFS(Channels!$AA$5:$AA$34,Channels!$B$5:$B$34,B37)</f>
        <v>18000</v>
      </c>
      <c r="D37" s="28" t="n">
        <f aca="false">SUMIFS(Channels!$U$5:$U$34,Channels!$B$5:$B$34,B37)</f>
        <v>8.505</v>
      </c>
      <c r="E37" s="37" t="n">
        <f aca="false">IF(D37&gt;0,C37/D37,"–")</f>
        <v>2116.40211640212</v>
      </c>
      <c r="F37" s="26" t="n">
        <f aca="false">IF($C$9&gt;0,C37/$C$9,0)</f>
        <v>0.0930599841725218</v>
      </c>
    </row>
    <row r="38" customFormat="false" ht="15" hidden="false" customHeight="false" outlineLevel="0" collapsed="false">
      <c r="B38" s="2" t="s">
        <v>600</v>
      </c>
      <c r="C38" s="37" t="n">
        <f aca="false">SUMIFS(Channels!$AA$5:$AA$34,Channels!$B$5:$B$34,B38)</f>
        <v>6893.50649350649</v>
      </c>
      <c r="D38" s="28" t="n">
        <f aca="false">SUMIFS(Channels!$U$5:$U$34,Channels!$B$5:$B$34,B38)</f>
        <v>18</v>
      </c>
      <c r="E38" s="37" t="n">
        <f aca="false">IF(D38&gt;0,C38/D38,"–")</f>
        <v>382.972582972583</v>
      </c>
      <c r="F38" s="26" t="n">
        <f aca="false">IF($C$9&gt;0,C38/$C$9,0)</f>
        <v>0.0356394225099383</v>
      </c>
    </row>
    <row r="39" customFormat="false" ht="15" hidden="false" customHeight="false" outlineLevel="0" collapsed="false">
      <c r="B39" s="24" t="s">
        <v>426</v>
      </c>
      <c r="C39" s="38" t="n">
        <f aca="false">SUM(C29:C38)</f>
        <v>193423.630576062</v>
      </c>
      <c r="D39" s="31" t="n">
        <f aca="false">SUM(D29:D38)</f>
        <v>98.750308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4" t="s">
        <v>626</v>
      </c>
    </row>
    <row r="43" customFormat="false" ht="15" hidden="false" customHeight="false" outlineLevel="0" collapsed="false">
      <c r="B43" s="2" t="s">
        <v>627</v>
      </c>
    </row>
    <row r="44" customFormat="false" ht="15" hidden="false" customHeight="false" outlineLevel="0" collapsed="false">
      <c r="A44" s="12"/>
      <c r="B44" s="12" t="s">
        <v>628</v>
      </c>
      <c r="C44" s="12" t="s">
        <v>629</v>
      </c>
      <c r="D44" s="12" t="s">
        <v>50</v>
      </c>
      <c r="E44" s="12" t="s">
        <v>45</v>
      </c>
      <c r="F44" s="12" t="s">
        <v>55</v>
      </c>
      <c r="G44" s="12" t="s">
        <v>57</v>
      </c>
      <c r="H44" s="12" t="s">
        <v>630</v>
      </c>
      <c r="I44" s="12" t="s">
        <v>622</v>
      </c>
    </row>
    <row r="45" customFormat="false" ht="15" hidden="false" customHeight="false" outlineLevel="0" collapsed="false">
      <c r="B45" s="26" t="n">
        <f aca="false">Budget!F56</f>
        <v>1</v>
      </c>
      <c r="C45" s="37" t="n">
        <f aca="false">Budget!F57</f>
        <v>230000</v>
      </c>
      <c r="D45" s="28" t="n">
        <f aca="false">Budget!F92</f>
        <v>30</v>
      </c>
      <c r="E45" s="28" t="n">
        <f aca="false">Budget!F93</f>
        <v>45</v>
      </c>
      <c r="F45" s="28" t="n">
        <f aca="false">Budget!F94</f>
        <v>15</v>
      </c>
      <c r="G45" s="28" t="n">
        <f aca="false">Budget!F95</f>
        <v>8.750308</v>
      </c>
      <c r="H45" s="31" t="n">
        <f aca="false">SUM(D45:G45)</f>
        <v>98.750308</v>
      </c>
      <c r="I45" s="37" t="n">
        <f aca="false">IF(H45&gt;0,C45/H45,0)</f>
        <v>2329.10665959644</v>
      </c>
    </row>
    <row r="46" customFormat="false" ht="15" hidden="false" customHeight="false" outlineLevel="0" collapsed="false">
      <c r="B46" s="26" t="n">
        <f aca="false">Budget!G56</f>
        <v>0.85</v>
      </c>
      <c r="C46" s="37" t="n">
        <f aca="false">Budget!G57</f>
        <v>195500</v>
      </c>
      <c r="D46" s="28" t="n">
        <f aca="false">Budget!G92</f>
        <v>30</v>
      </c>
      <c r="E46" s="28" t="n">
        <f aca="false">Budget!G93</f>
        <v>45</v>
      </c>
      <c r="F46" s="28" t="n">
        <f aca="false">Budget!G94</f>
        <v>15</v>
      </c>
      <c r="G46" s="28" t="n">
        <f aca="false">Budget!G95</f>
        <v>5.33255888857614</v>
      </c>
      <c r="H46" s="31" t="n">
        <f aca="false">SUM(D46:G46)</f>
        <v>95.3325588885761</v>
      </c>
      <c r="I46" s="37" t="n">
        <f aca="false">IF(H46&gt;0,C46/H46,0)</f>
        <v>2050.71595978556</v>
      </c>
    </row>
    <row r="47" customFormat="false" ht="15" hidden="false" customHeight="false" outlineLevel="0" collapsed="false">
      <c r="B47" s="26" t="n">
        <f aca="false">Budget!H56</f>
        <v>0.7</v>
      </c>
      <c r="C47" s="37" t="n">
        <f aca="false">Budget!H57</f>
        <v>161000</v>
      </c>
      <c r="D47" s="28" t="n">
        <f aca="false">Budget!H92</f>
        <v>29.859437849162</v>
      </c>
      <c r="E47" s="28" t="n">
        <f aca="false">Budget!H93</f>
        <v>45</v>
      </c>
      <c r="F47" s="28" t="n">
        <f aca="false">Budget!H94</f>
        <v>13.3391161218711</v>
      </c>
      <c r="G47" s="28" t="n">
        <f aca="false">Budget!H95</f>
        <v>1.560328</v>
      </c>
      <c r="H47" s="31" t="n">
        <f aca="false">SUM(D47:G47)</f>
        <v>89.7588819710332</v>
      </c>
      <c r="I47" s="37" t="n">
        <f aca="false">IF(H47&gt;0,C47/H47,0)</f>
        <v>1793.69435608565</v>
      </c>
    </row>
    <row r="48" customFormat="false" ht="15" hidden="false" customHeight="false" outlineLevel="0" collapsed="false">
      <c r="B48" s="26" t="n">
        <f aca="false">Budget!I56</f>
        <v>0.5</v>
      </c>
      <c r="C48" s="37" t="n">
        <f aca="false">Budget!I57</f>
        <v>115000</v>
      </c>
      <c r="D48" s="28" t="n">
        <f aca="false">Budget!I92</f>
        <v>22.881639103945</v>
      </c>
      <c r="E48" s="28" t="n">
        <f aca="false">Budget!I93</f>
        <v>45</v>
      </c>
      <c r="F48" s="28" t="n">
        <f aca="false">Budget!I94</f>
        <v>10.11797325</v>
      </c>
      <c r="G48" s="28" t="n">
        <f aca="false">Budget!I95</f>
        <v>1.560328</v>
      </c>
      <c r="H48" s="31" t="n">
        <f aca="false">SUM(D48:G48)</f>
        <v>79.559940353945</v>
      </c>
      <c r="I48" s="37" t="n">
        <f aca="false">IF(H48&gt;0,C48/H48,0)</f>
        <v>1445.451058515</v>
      </c>
    </row>
    <row r="50" customFormat="false" ht="15" hidden="false" customHeight="false" outlineLevel="0" collapsed="false">
      <c r="B50" s="9" t="str">
        <f aca="false">"Above the recommended budget, extra money can buy at most ~"&amp;TEXT(MAX(0,Funnel!B26-Funnel!B9),"0")&amp;" more hires before 31 Dec (the "&amp;TEXT(MAX(0,Funnel!B22-Funnel!B23),"0")&amp;" spare assessment slots at plan conversion); after that the "&amp;Assumptions!$D$9&amp;"/week limit binds."</f>
        <v>Above the recommended budget, extra money can buy at most ~2 more hires before 31 Dec (the 11 spare assessment slots at plan conversion); after that the 55/week limit binds.</v>
      </c>
      <c r="C50" s="9"/>
      <c r="D50" s="9"/>
      <c r="E50" s="9"/>
      <c r="F50" s="9"/>
      <c r="G50" s="9"/>
      <c r="H50" s="9"/>
      <c r="I50" s="9"/>
    </row>
    <row r="51" customFormat="false" ht="15" hidden="false" customHeight="false" outlineLevel="0" collapsed="false">
      <c r="B51" s="9"/>
      <c r="C51" s="9"/>
      <c r="D51" s="9"/>
      <c r="E51" s="9"/>
      <c r="F51" s="9"/>
      <c r="G51" s="9"/>
      <c r="H51" s="9"/>
      <c r="I51" s="9"/>
    </row>
    <row r="54" customFormat="false" ht="17.35" hidden="false" customHeight="false" outlineLevel="0" collapsed="false">
      <c r="A54" s="1" t="s">
        <v>631</v>
      </c>
    </row>
    <row r="55" customFormat="false" ht="15" hidden="false" customHeight="false" outlineLevel="0" collapsed="false">
      <c r="A55" s="2" t="s">
        <v>632</v>
      </c>
    </row>
    <row r="56" customFormat="false" ht="15" hidden="false" customHeight="false" outlineLevel="0" collapsed="false">
      <c r="E56" s="24" t="s">
        <v>633</v>
      </c>
      <c r="F56" s="44" t="n">
        <f aca="false">1</f>
        <v>1</v>
      </c>
      <c r="G56" s="44" t="n">
        <f aca="false">1-Assumptions!$D$52</f>
        <v>0.85</v>
      </c>
      <c r="H56" s="44" t="n">
        <f aca="false">1-Assumptions!$D$54</f>
        <v>0.7</v>
      </c>
      <c r="I56" s="44" t="n">
        <f aca="false">1-Assumptions!$D$53</f>
        <v>0.5</v>
      </c>
    </row>
    <row r="57" customFormat="false" ht="15" hidden="false" customHeight="false" outlineLevel="0" collapsed="false">
      <c r="E57" s="2" t="s">
        <v>629</v>
      </c>
      <c r="F57" s="37" t="n">
        <f aca="false">Budget!$C$12*F56</f>
        <v>230000</v>
      </c>
      <c r="G57" s="37" t="n">
        <f aca="false">Budget!$C$12*G56</f>
        <v>195500</v>
      </c>
      <c r="H57" s="37" t="n">
        <f aca="false">Budget!$C$12*H56</f>
        <v>161000</v>
      </c>
      <c r="I57" s="37" t="n">
        <f aca="false">Budget!$C$12*I56</f>
        <v>115000</v>
      </c>
    </row>
    <row r="58" customFormat="false" ht="15" hidden="false" customHeight="false" outlineLevel="0" collapsed="false">
      <c r="E58" s="2" t="s">
        <v>634</v>
      </c>
      <c r="F58" s="37" t="n">
        <f aca="false">F57*(1-Assumptions!$D$48)</f>
        <v>195500</v>
      </c>
      <c r="G58" s="37" t="n">
        <f aca="false">G57*(1-Assumptions!$D$48)</f>
        <v>166175</v>
      </c>
      <c r="H58" s="37" t="n">
        <f aca="false">H57*(1-Assumptions!$D$48)</f>
        <v>136850</v>
      </c>
      <c r="I58" s="37" t="n">
        <f aca="false">I57*(1-Assumptions!$D$48)</f>
        <v>97750</v>
      </c>
    </row>
    <row r="59" customFormat="false" ht="15" hidden="false" customHeight="false" outlineLevel="0" collapsed="false">
      <c r="E59" s="2" t="s">
        <v>635</v>
      </c>
      <c r="F59" s="37" t="n">
        <f aca="false">MAX(0,Budget!$C$9-F58)</f>
        <v>0</v>
      </c>
      <c r="G59" s="37" t="n">
        <f aca="false">MAX(0,Budget!$C$9-G58)</f>
        <v>27248.6305760617</v>
      </c>
      <c r="H59" s="37" t="n">
        <f aca="false">MAX(0,Budget!$C$9-H58)</f>
        <v>56573.6305760617</v>
      </c>
      <c r="I59" s="37" t="n">
        <f aca="false">MAX(0,Budget!$C$9-I58)</f>
        <v>95673.6305760617</v>
      </c>
    </row>
    <row r="60" customFormat="false" ht="39.55" hidden="false" customHeight="false" outlineLevel="0" collapsed="false">
      <c r="A60" s="12" t="s">
        <v>636</v>
      </c>
      <c r="B60" s="12" t="s">
        <v>283</v>
      </c>
      <c r="C60" s="12" t="s">
        <v>637</v>
      </c>
      <c r="D60" s="12" t="s">
        <v>638</v>
      </c>
      <c r="E60" s="12" t="s">
        <v>621</v>
      </c>
      <c r="F60" s="12" t="s">
        <v>639</v>
      </c>
      <c r="G60" s="12" t="s">
        <v>640</v>
      </c>
      <c r="H60" s="12" t="s">
        <v>641</v>
      </c>
      <c r="I60" s="12" t="s">
        <v>642</v>
      </c>
      <c r="J60" s="12" t="s">
        <v>643</v>
      </c>
      <c r="K60" s="12" t="s">
        <v>644</v>
      </c>
      <c r="L60" s="12" t="s">
        <v>645</v>
      </c>
      <c r="M60" s="12" t="s">
        <v>646</v>
      </c>
      <c r="N60" s="12" t="s">
        <v>619</v>
      </c>
      <c r="O60" s="12" t="s">
        <v>647</v>
      </c>
      <c r="P60" s="12" t="s">
        <v>648</v>
      </c>
      <c r="Q60" s="12" t="s">
        <v>649</v>
      </c>
      <c r="R60" s="12" t="s">
        <v>650</v>
      </c>
    </row>
    <row r="61" customFormat="false" ht="15" hidden="true" customHeight="false" outlineLevel="1" collapsed="false">
      <c r="A61" s="2" t="str">
        <f aca="false">Channels!A5</f>
        <v>C01</v>
      </c>
      <c r="B61" s="2" t="str">
        <f aca="false">Channels!C5</f>
        <v>Electricians</v>
      </c>
      <c r="C61" s="37" t="n">
        <f aca="false">Channels!AA5</f>
        <v>0</v>
      </c>
      <c r="D61" s="41" t="n">
        <f aca="false">IF(ISNUMBER(Channels!AB5),Channels!AB5,0)+ROW()/1000000</f>
        <v>6.1E-005</v>
      </c>
      <c r="E61" s="28" t="n">
        <f aca="false">Channels!U5</f>
        <v>3.5224875</v>
      </c>
      <c r="F61" s="28" t="n">
        <f aca="false">IF(N61&gt;0,E61*MAX(0,N61-MIN(J61,N61))/N61,IF(C61&gt;0,E61*(1-J61/C61),E61))</f>
        <v>3.5224875</v>
      </c>
      <c r="G61" s="28" t="n">
        <f aca="false">IF(N61&gt;0,E61*MAX(0,N61-MIN(K61,N61))/N61,IF(C61&gt;0,E61*(1-K61/C61),E61))</f>
        <v>3.5224875</v>
      </c>
      <c r="H61" s="28" t="n">
        <f aca="false">IF(N61&gt;0,E61*MAX(0,N61-MIN(L61,N61))/N61,IF(C61&gt;0,E61*(1-L61/C61),E61))</f>
        <v>3.5224875</v>
      </c>
      <c r="I61" s="28" t="n">
        <f aca="false">IF(N61&gt;0,E61*MAX(0,N61-MIN(M61,N61))/N61,IF(C61&gt;0,E61*(1-M61/C61),E61))</f>
        <v>3.5224875</v>
      </c>
      <c r="J61" s="37" t="n">
        <f aca="false">MIN(C61,MAX(0,F$59-SUMPRODUCT(($D$61:$D$90&gt;D61)*$C$61:$C$90)))</f>
        <v>0</v>
      </c>
      <c r="K61" s="37" t="n">
        <f aca="false">MIN(C61,MAX(0,G$59-SUMPRODUCT(($D$61:$D$90&gt;D61)*$C$61:$C$90)))</f>
        <v>0</v>
      </c>
      <c r="L61" s="37" t="n">
        <f aca="false">MIN(C61,MAX(0,H$59-SUMPRODUCT(($D$61:$D$90&gt;D61)*$C$61:$C$90)))</f>
        <v>0</v>
      </c>
      <c r="M61" s="37" t="n">
        <f aca="false">MIN(C61,MAX(0,I$59-SUMPRODUCT(($D$61:$D$90&gt;D61)*$C$61:$C$90)))</f>
        <v>0</v>
      </c>
      <c r="N61" s="37" t="n">
        <f aca="false">Channels!X5</f>
        <v>0</v>
      </c>
      <c r="O61" s="28" t="n">
        <f aca="false">IF(E61&gt;0,F61*Channels!V5/E61,0)</f>
        <v>11.1825</v>
      </c>
      <c r="P61" s="28" t="n">
        <f aca="false">IF(E61&gt;0,G61*Channels!V5/E61,0)</f>
        <v>11.1825</v>
      </c>
      <c r="Q61" s="28" t="n">
        <f aca="false">IF(E61&gt;0,H61*Channels!V5/E61,0)</f>
        <v>11.1825</v>
      </c>
      <c r="R61" s="28" t="n">
        <f aca="false">IF(E61&gt;0,I61*Channels!V5/E61,0)</f>
        <v>11.1825</v>
      </c>
    </row>
    <row r="62" customFormat="false" ht="15" hidden="true" customHeight="false" outlineLevel="1" collapsed="false">
      <c r="A62" s="2" t="str">
        <f aca="false">Channels!A6</f>
        <v>C02</v>
      </c>
      <c r="B62" s="2" t="str">
        <f aca="false">Channels!C6</f>
        <v>Mechatronics</v>
      </c>
      <c r="C62" s="37" t="n">
        <f aca="false">Channels!AA6</f>
        <v>0</v>
      </c>
      <c r="D62" s="41" t="n">
        <f aca="false">IF(ISNUMBER(Channels!AB6),Channels!AB6,0)+ROW()/1000000</f>
        <v>6.2E-005</v>
      </c>
      <c r="E62" s="28" t="n">
        <f aca="false">Channels!U6</f>
        <v>9.1623015</v>
      </c>
      <c r="F62" s="28" t="n">
        <f aca="false">IF(N62&gt;0,E62*MAX(0,N62-MIN(J62,N62))/N62,IF(C62&gt;0,E62*(1-J62/C62),E62))</f>
        <v>9.1623015</v>
      </c>
      <c r="G62" s="28" t="n">
        <f aca="false">IF(N62&gt;0,E62*MAX(0,N62-MIN(K62,N62))/N62,IF(C62&gt;0,E62*(1-K62/C62),E62))</f>
        <v>9.1623015</v>
      </c>
      <c r="H62" s="28" t="n">
        <f aca="false">IF(N62&gt;0,E62*MAX(0,N62-MIN(L62,N62))/N62,IF(C62&gt;0,E62*(1-L62/C62),E62))</f>
        <v>9.1623015</v>
      </c>
      <c r="I62" s="28" t="n">
        <f aca="false">IF(N62&gt;0,E62*MAX(0,N62-MIN(M62,N62))/N62,IF(C62&gt;0,E62*(1-M62/C62),E62))</f>
        <v>9.1623015</v>
      </c>
      <c r="J62" s="37" t="n">
        <f aca="false">MIN(C62,MAX(0,F$59-SUMPRODUCT(($D$61:$D$90&gt;D62)*$C$61:$C$90)))</f>
        <v>0</v>
      </c>
      <c r="K62" s="37" t="n">
        <f aca="false">MIN(C62,MAX(0,G$59-SUMPRODUCT(($D$61:$D$90&gt;D62)*$C$61:$C$90)))</f>
        <v>0</v>
      </c>
      <c r="L62" s="37" t="n">
        <f aca="false">MIN(C62,MAX(0,H$59-SUMPRODUCT(($D$61:$D$90&gt;D62)*$C$61:$C$90)))</f>
        <v>0</v>
      </c>
      <c r="M62" s="37" t="n">
        <f aca="false">MIN(C62,MAX(0,I$59-SUMPRODUCT(($D$61:$D$90&gt;D62)*$C$61:$C$90)))</f>
        <v>0</v>
      </c>
      <c r="N62" s="37" t="n">
        <f aca="false">Channels!X6</f>
        <v>0</v>
      </c>
      <c r="O62" s="28" t="n">
        <f aca="false">IF(E62&gt;0,F62*Channels!V6/E62,0)</f>
        <v>24.6796</v>
      </c>
      <c r="P62" s="28" t="n">
        <f aca="false">IF(E62&gt;0,G62*Channels!V6/E62,0)</f>
        <v>24.6796</v>
      </c>
      <c r="Q62" s="28" t="n">
        <f aca="false">IF(E62&gt;0,H62*Channels!V6/E62,0)</f>
        <v>24.6796</v>
      </c>
      <c r="R62" s="28" t="n">
        <f aca="false">IF(E62&gt;0,I62*Channels!V6/E62,0)</f>
        <v>24.6796</v>
      </c>
    </row>
    <row r="63" customFormat="false" ht="15" hidden="true" customHeight="false" outlineLevel="1" collapsed="false">
      <c r="A63" s="2" t="str">
        <f aca="false">Channels!A7</f>
        <v>C03</v>
      </c>
      <c r="B63" s="2" t="str">
        <f aca="false">Channels!C7</f>
        <v>Automation</v>
      </c>
      <c r="C63" s="37" t="n">
        <f aca="false">Channels!AA7</f>
        <v>0</v>
      </c>
      <c r="D63" s="41" t="n">
        <f aca="false">IF(ISNUMBER(Channels!AB7),Channels!AB7,0)+ROW()/1000000</f>
        <v>6.3E-005</v>
      </c>
      <c r="E63" s="28" t="n">
        <f aca="false">Channels!U7</f>
        <v>1.60021575</v>
      </c>
      <c r="F63" s="28" t="n">
        <f aca="false">IF(N63&gt;0,E63*MAX(0,N63-MIN(J63,N63))/N63,IF(C63&gt;0,E63*(1-J63/C63),E63))</f>
        <v>1.60021575</v>
      </c>
      <c r="G63" s="28" t="n">
        <f aca="false">IF(N63&gt;0,E63*MAX(0,N63-MIN(K63,N63))/N63,IF(C63&gt;0,E63*(1-K63/C63),E63))</f>
        <v>1.60021575</v>
      </c>
      <c r="H63" s="28" t="n">
        <f aca="false">IF(N63&gt;0,E63*MAX(0,N63-MIN(L63,N63))/N63,IF(C63&gt;0,E63*(1-L63/C63),E63))</f>
        <v>1.60021575</v>
      </c>
      <c r="I63" s="28" t="n">
        <f aca="false">IF(N63&gt;0,E63*MAX(0,N63-MIN(M63,N63))/N63,IF(C63&gt;0,E63*(1-M63/C63),E63))</f>
        <v>1.60021575</v>
      </c>
      <c r="J63" s="37" t="n">
        <f aca="false">MIN(C63,MAX(0,F$59-SUMPRODUCT(($D$61:$D$90&gt;D63)*$C$61:$C$90)))</f>
        <v>0</v>
      </c>
      <c r="K63" s="37" t="n">
        <f aca="false">MIN(C63,MAX(0,G$59-SUMPRODUCT(($D$61:$D$90&gt;D63)*$C$61:$C$90)))</f>
        <v>0</v>
      </c>
      <c r="L63" s="37" t="n">
        <f aca="false">MIN(C63,MAX(0,H$59-SUMPRODUCT(($D$61:$D$90&gt;D63)*$C$61:$C$90)))</f>
        <v>0</v>
      </c>
      <c r="M63" s="37" t="n">
        <f aca="false">MIN(C63,MAX(0,I$59-SUMPRODUCT(($D$61:$D$90&gt;D63)*$C$61:$C$90)))</f>
        <v>0</v>
      </c>
      <c r="N63" s="37" t="n">
        <f aca="false">Channels!X7</f>
        <v>0</v>
      </c>
      <c r="O63" s="28" t="n">
        <f aca="false">IF(E63&gt;0,F63*Channels!V7/E63,0)</f>
        <v>5.6445</v>
      </c>
      <c r="P63" s="28" t="n">
        <f aca="false">IF(E63&gt;0,G63*Channels!V7/E63,0)</f>
        <v>5.6445</v>
      </c>
      <c r="Q63" s="28" t="n">
        <f aca="false">IF(E63&gt;0,H63*Channels!V7/E63,0)</f>
        <v>5.6445</v>
      </c>
      <c r="R63" s="28" t="n">
        <f aca="false">IF(E63&gt;0,I63*Channels!V7/E63,0)</f>
        <v>5.6445</v>
      </c>
    </row>
    <row r="64" customFormat="false" ht="15" hidden="true" customHeight="false" outlineLevel="1" collapsed="false">
      <c r="A64" s="2" t="str">
        <f aca="false">Channels!A8</f>
        <v>C04</v>
      </c>
      <c r="B64" s="2" t="str">
        <f aca="false">Channels!C8</f>
        <v>Supervisors</v>
      </c>
      <c r="C64" s="37" t="n">
        <f aca="false">Channels!AA8</f>
        <v>0</v>
      </c>
      <c r="D64" s="41" t="n">
        <f aca="false">IF(ISNUMBER(Channels!AB8),Channels!AB8,0)+ROW()/1000000</f>
        <v>6.4E-005</v>
      </c>
      <c r="E64" s="28" t="n">
        <f aca="false">Channels!U8</f>
        <v>0.59143</v>
      </c>
      <c r="F64" s="28" t="n">
        <f aca="false">IF(N64&gt;0,E64*MAX(0,N64-MIN(J64,N64))/N64,IF(C64&gt;0,E64*(1-J64/C64),E64))</f>
        <v>0.59143</v>
      </c>
      <c r="G64" s="28" t="n">
        <f aca="false">IF(N64&gt;0,E64*MAX(0,N64-MIN(K64,N64))/N64,IF(C64&gt;0,E64*(1-K64/C64),E64))</f>
        <v>0.59143</v>
      </c>
      <c r="H64" s="28" t="n">
        <f aca="false">IF(N64&gt;0,E64*MAX(0,N64-MIN(L64,N64))/N64,IF(C64&gt;0,E64*(1-L64/C64),E64))</f>
        <v>0.59143</v>
      </c>
      <c r="I64" s="28" t="n">
        <f aca="false">IF(N64&gt;0,E64*MAX(0,N64-MIN(M64,N64))/N64,IF(C64&gt;0,E64*(1-M64/C64),E64))</f>
        <v>0.59143</v>
      </c>
      <c r="J64" s="37" t="n">
        <f aca="false">MIN(C64,MAX(0,F$59-SUMPRODUCT(($D$61:$D$90&gt;D64)*$C$61:$C$90)))</f>
        <v>0</v>
      </c>
      <c r="K64" s="37" t="n">
        <f aca="false">MIN(C64,MAX(0,G$59-SUMPRODUCT(($D$61:$D$90&gt;D64)*$C$61:$C$90)))</f>
        <v>0</v>
      </c>
      <c r="L64" s="37" t="n">
        <f aca="false">MIN(C64,MAX(0,H$59-SUMPRODUCT(($D$61:$D$90&gt;D64)*$C$61:$C$90)))</f>
        <v>0</v>
      </c>
      <c r="M64" s="37" t="n">
        <f aca="false">MIN(C64,MAX(0,I$59-SUMPRODUCT(($D$61:$D$90&gt;D64)*$C$61:$C$90)))</f>
        <v>0</v>
      </c>
      <c r="N64" s="37" t="n">
        <f aca="false">Channels!X8</f>
        <v>0</v>
      </c>
      <c r="O64" s="28" t="n">
        <f aca="false">IF(E64&gt;0,F64*Channels!V8/E64,0)</f>
        <v>2.485</v>
      </c>
      <c r="P64" s="28" t="n">
        <f aca="false">IF(E64&gt;0,G64*Channels!V8/E64,0)</f>
        <v>2.485</v>
      </c>
      <c r="Q64" s="28" t="n">
        <f aca="false">IF(E64&gt;0,H64*Channels!V8/E64,0)</f>
        <v>2.485</v>
      </c>
      <c r="R64" s="28" t="n">
        <f aca="false">IF(E64&gt;0,I64*Channels!V8/E64,0)</f>
        <v>2.485</v>
      </c>
    </row>
    <row r="65" customFormat="false" ht="15" hidden="true" customHeight="false" outlineLevel="1" collapsed="false">
      <c r="A65" s="2" t="str">
        <f aca="false">Channels!A9</f>
        <v>C05</v>
      </c>
      <c r="B65" s="2" t="str">
        <f aca="false">Channels!C9</f>
        <v>Electricians</v>
      </c>
      <c r="C65" s="37" t="n">
        <f aca="false">Channels!AA9</f>
        <v>12152.9552313953</v>
      </c>
      <c r="D65" s="41" t="n">
        <f aca="false">IF(ISNUMBER(Channels!AB9),Channels!AB9,0)+ROW()/1000000</f>
        <v>3786.00829545267</v>
      </c>
      <c r="E65" s="28" t="n">
        <f aca="false">Channels!U9</f>
        <v>3.20996534916201</v>
      </c>
      <c r="F65" s="28" t="n">
        <f aca="false">IF(N65&gt;0,E65*MAX(0,N65-MIN(J65,N65))/N65,IF(C65&gt;0,E65*(1-J65/C65),E65))</f>
        <v>3.20996534916201</v>
      </c>
      <c r="G65" s="28" t="n">
        <f aca="false">IF(N65&gt;0,E65*MAX(0,N65-MIN(K65,N65))/N65,IF(C65&gt;0,E65*(1-K65/C65),E65))</f>
        <v>3.20996534916201</v>
      </c>
      <c r="H65" s="28" t="n">
        <f aca="false">IF(N65&gt;0,E65*MAX(0,N65-MIN(L65,N65))/N65,IF(C65&gt;0,E65*(1-L65/C65),E65))</f>
        <v>3.20996534916201</v>
      </c>
      <c r="I65" s="28" t="n">
        <f aca="false">IF(N65&gt;0,E65*MAX(0,N65-MIN(M65,N65))/N65,IF(C65&gt;0,E65*(1-M65/C65),E65))</f>
        <v>0</v>
      </c>
      <c r="J65" s="37" t="n">
        <f aca="false">MIN(C65,MAX(0,F$59-SUMPRODUCT(($D$61:$D$90&gt;D65)*$C$61:$C$90)))</f>
        <v>0</v>
      </c>
      <c r="K65" s="37" t="n">
        <f aca="false">MIN(C65,MAX(0,G$59-SUMPRODUCT(($D$61:$D$90&gt;D65)*$C$61:$C$90)))</f>
        <v>0</v>
      </c>
      <c r="L65" s="37" t="n">
        <f aca="false">MIN(C65,MAX(0,H$59-SUMPRODUCT(($D$61:$D$90&gt;D65)*$C$61:$C$90)))</f>
        <v>0</v>
      </c>
      <c r="M65" s="37" t="n">
        <f aca="false">MIN(C65,MAX(0,I$59-SUMPRODUCT(($D$61:$D$90&gt;D65)*$C$61:$C$90)))</f>
        <v>12152.9552313953</v>
      </c>
      <c r="N65" s="37" t="n">
        <f aca="false">Channels!X9</f>
        <v>12152.9552313953</v>
      </c>
      <c r="O65" s="28" t="n">
        <f aca="false">IF(E65&gt;0,F65*Channels!V9/E65,0)</f>
        <v>10.1903661878159</v>
      </c>
      <c r="P65" s="28" t="n">
        <f aca="false">IF(E65&gt;0,G65*Channels!V9/E65,0)</f>
        <v>10.1903661878159</v>
      </c>
      <c r="Q65" s="28" t="n">
        <f aca="false">IF(E65&gt;0,H65*Channels!V9/E65,0)</f>
        <v>10.1903661878159</v>
      </c>
      <c r="R65" s="28" t="n">
        <f aca="false">IF(E65&gt;0,I65*Channels!V9/E65,0)</f>
        <v>0</v>
      </c>
    </row>
    <row r="66" customFormat="false" ht="15" hidden="true" customHeight="false" outlineLevel="1" collapsed="false">
      <c r="A66" s="2" t="str">
        <f aca="false">Channels!A10</f>
        <v>C06</v>
      </c>
      <c r="B66" s="2" t="str">
        <f aca="false">Channels!C10</f>
        <v>Mechatronics</v>
      </c>
      <c r="C66" s="37" t="n">
        <f aca="false">Channels!AA10</f>
        <v>750</v>
      </c>
      <c r="D66" s="41" t="n">
        <f aca="false">IF(ISNUMBER(Channels!AB10),Channels!AB10,0)+ROW()/1000000</f>
        <v>2190.2527613032</v>
      </c>
      <c r="E66" s="28" t="n">
        <f aca="false">Channels!U10</f>
        <v>0.342426242236025</v>
      </c>
      <c r="F66" s="28" t="n">
        <f aca="false">IF(N66&gt;0,E66*MAX(0,N66-MIN(J66,N66))/N66,IF(C66&gt;0,E66*(1-J66/C66),E66))</f>
        <v>0.342426242236025</v>
      </c>
      <c r="G66" s="28" t="n">
        <f aca="false">IF(N66&gt;0,E66*MAX(0,N66-MIN(K66,N66))/N66,IF(C66&gt;0,E66*(1-K66/C66),E66))</f>
        <v>0.342426242236025</v>
      </c>
      <c r="H66" s="28" t="n">
        <f aca="false">IF(N66&gt;0,E66*MAX(0,N66-MIN(L66,N66))/N66,IF(C66&gt;0,E66*(1-L66/C66),E66))</f>
        <v>0.342426242236025</v>
      </c>
      <c r="I66" s="28" t="n">
        <f aca="false">IF(N66&gt;0,E66*MAX(0,N66-MIN(M66,N66))/N66,IF(C66&gt;0,E66*(1-M66/C66),E66))</f>
        <v>0.342426242236025</v>
      </c>
      <c r="J66" s="37" t="n">
        <f aca="false">MIN(C66,MAX(0,F$59-SUMPRODUCT(($D$61:$D$90&gt;D66)*$C$61:$C$90)))</f>
        <v>0</v>
      </c>
      <c r="K66" s="37" t="n">
        <f aca="false">MIN(C66,MAX(0,G$59-SUMPRODUCT(($D$61:$D$90&gt;D66)*$C$61:$C$90)))</f>
        <v>0</v>
      </c>
      <c r="L66" s="37" t="n">
        <f aca="false">MIN(C66,MAX(0,H$59-SUMPRODUCT(($D$61:$D$90&gt;D66)*$C$61:$C$90)))</f>
        <v>0</v>
      </c>
      <c r="M66" s="37" t="n">
        <f aca="false">MIN(C66,MAX(0,I$59-SUMPRODUCT(($D$61:$D$90&gt;D66)*$C$61:$C$90)))</f>
        <v>0</v>
      </c>
      <c r="N66" s="37" t="n">
        <f aca="false">Channels!X10</f>
        <v>750</v>
      </c>
      <c r="O66" s="28" t="n">
        <f aca="false">IF(E66&gt;0,F66*Channels!V10/E66,0)</f>
        <v>0.922360248447205</v>
      </c>
      <c r="P66" s="28" t="n">
        <f aca="false">IF(E66&gt;0,G66*Channels!V10/E66,0)</f>
        <v>0.922360248447205</v>
      </c>
      <c r="Q66" s="28" t="n">
        <f aca="false">IF(E66&gt;0,H66*Channels!V10/E66,0)</f>
        <v>0.922360248447205</v>
      </c>
      <c r="R66" s="28" t="n">
        <f aca="false">IF(E66&gt;0,I66*Channels!V10/E66,0)</f>
        <v>0.922360248447205</v>
      </c>
    </row>
    <row r="67" customFormat="false" ht="15" hidden="true" customHeight="false" outlineLevel="1" collapsed="false">
      <c r="A67" s="2" t="str">
        <f aca="false">Channels!A11</f>
        <v>C07</v>
      </c>
      <c r="B67" s="2" t="str">
        <f aca="false">Channels!C11</f>
        <v>Automation</v>
      </c>
      <c r="C67" s="37" t="n">
        <f aca="false">Channels!AA11</f>
        <v>20004.9343809152</v>
      </c>
      <c r="D67" s="41" t="n">
        <f aca="false">IF(ISNUMBER(Channels!AB11),Channels!AB11,0)+ROW()/1000000</f>
        <v>4206.67587861408</v>
      </c>
      <c r="E67" s="28" t="n">
        <f aca="false">Channels!U11</f>
        <v>4.75552081424581</v>
      </c>
      <c r="F67" s="28" t="n">
        <f aca="false">IF(N67&gt;0,E67*MAX(0,N67-MIN(J67,N67))/N67,IF(C67&gt;0,E67*(1-J67/C67),E67))</f>
        <v>4.75552081424581</v>
      </c>
      <c r="G67" s="28" t="n">
        <f aca="false">IF(N67&gt;0,E67*MAX(0,N67-MIN(K67,N67))/N67,IF(C67&gt;0,E67*(1-K67/C67),E67))</f>
        <v>4.75552081424581</v>
      </c>
      <c r="H67" s="28" t="n">
        <f aca="false">IF(N67&gt;0,E67*MAX(0,N67-MIN(L67,N67))/N67,IF(C67&gt;0,E67*(1-L67/C67),E67))</f>
        <v>3.22114287187114</v>
      </c>
      <c r="I67" s="28" t="n">
        <f aca="false">IF(N67&gt;0,E67*MAX(0,N67-MIN(M67,N67))/N67,IF(C67&gt;0,E67*(1-M67/C67),E67))</f>
        <v>0</v>
      </c>
      <c r="J67" s="37" t="n">
        <f aca="false">MIN(C67,MAX(0,F$59-SUMPRODUCT(($D$61:$D$90&gt;D67)*$C$61:$C$90)))</f>
        <v>0</v>
      </c>
      <c r="K67" s="37" t="n">
        <f aca="false">MIN(C67,MAX(0,G$59-SUMPRODUCT(($D$61:$D$90&gt;D67)*$C$61:$C$90)))</f>
        <v>0</v>
      </c>
      <c r="L67" s="37" t="n">
        <f aca="false">MIN(C67,MAX(0,H$59-SUMPRODUCT(($D$61:$D$90&gt;D67)*$C$61:$C$90)))</f>
        <v>6454.63057606173</v>
      </c>
      <c r="M67" s="37" t="n">
        <f aca="false">MIN(C67,MAX(0,I$59-SUMPRODUCT(($D$61:$D$90&gt;D67)*$C$61:$C$90)))</f>
        <v>20004.9343809152</v>
      </c>
      <c r="N67" s="37" t="n">
        <f aca="false">Channels!X11</f>
        <v>20004.9343809152</v>
      </c>
      <c r="O67" s="28" t="n">
        <f aca="false">IF(E67&gt;0,F67*Channels!V11/E67,0)</f>
        <v>16.7743238597736</v>
      </c>
      <c r="P67" s="28" t="n">
        <f aca="false">IF(E67&gt;0,G67*Channels!V11/E67,0)</f>
        <v>16.7743238597736</v>
      </c>
      <c r="Q67" s="28" t="n">
        <f aca="false">IF(E67&gt;0,H67*Channels!V11/E67,0)</f>
        <v>11.3620559854361</v>
      </c>
      <c r="R67" s="28" t="n">
        <f aca="false">IF(E67&gt;0,I67*Channels!V11/E67,0)</f>
        <v>0</v>
      </c>
    </row>
    <row r="68" customFormat="false" ht="15" hidden="true" customHeight="false" outlineLevel="1" collapsed="false">
      <c r="A68" s="2" t="str">
        <f aca="false">Channels!A12</f>
        <v>C08</v>
      </c>
      <c r="B68" s="2" t="str">
        <f aca="false">Channels!C12</f>
        <v>Supervisors</v>
      </c>
      <c r="C68" s="37" t="n">
        <f aca="false">Channels!AA12</f>
        <v>32200</v>
      </c>
      <c r="D68" s="41" t="n">
        <f aca="false">IF(ISNUMBER(Channels!AB12),Channels!AB12,0)+ROW()/1000000</f>
        <v>7516.33993728105</v>
      </c>
      <c r="E68" s="28" t="n">
        <f aca="false">Channels!U12</f>
        <v>4.284</v>
      </c>
      <c r="F68" s="28" t="n">
        <f aca="false">IF(N68&gt;0,E68*MAX(0,N68-MIN(J68,N68))/N68,IF(C68&gt;0,E68*(1-J68/C68),E68))</f>
        <v>4.284</v>
      </c>
      <c r="G68" s="28" t="n">
        <f aca="false">IF(N68&gt;0,E68*MAX(0,N68-MIN(K68,N68))/N68,IF(C68&gt;0,E68*(1-K68/C68),E68))</f>
        <v>1.37319088857614</v>
      </c>
      <c r="H68" s="28" t="n">
        <f aca="false">IF(N68&gt;0,E68*MAX(0,N68-MIN(L68,N68))/N68,IF(C68&gt;0,E68*(1-L68/C68),E68))</f>
        <v>0</v>
      </c>
      <c r="I68" s="28" t="n">
        <f aca="false">IF(N68&gt;0,E68*MAX(0,N68-MIN(M68,N68))/N68,IF(C68&gt;0,E68*(1-M68/C68),E68))</f>
        <v>0</v>
      </c>
      <c r="J68" s="37" t="n">
        <f aca="false">MIN(C68,MAX(0,F$59-SUMPRODUCT(($D$61:$D$90&gt;D68)*$C$61:$C$90)))</f>
        <v>0</v>
      </c>
      <c r="K68" s="37" t="n">
        <f aca="false">MIN(C68,MAX(0,G$59-SUMPRODUCT(($D$61:$D$90&gt;D68)*$C$61:$C$90)))</f>
        <v>21878.6305760617</v>
      </c>
      <c r="L68" s="37" t="n">
        <f aca="false">MIN(C68,MAX(0,H$59-SUMPRODUCT(($D$61:$D$90&gt;D68)*$C$61:$C$90)))</f>
        <v>32200</v>
      </c>
      <c r="M68" s="37" t="n">
        <f aca="false">MIN(C68,MAX(0,I$59-SUMPRODUCT(($D$61:$D$90&gt;D68)*$C$61:$C$90)))</f>
        <v>32200</v>
      </c>
      <c r="N68" s="37" t="n">
        <f aca="false">Channels!X12</f>
        <v>32200</v>
      </c>
      <c r="O68" s="28" t="n">
        <f aca="false">IF(E68&gt;0,F68*Channels!V12/E68,0)</f>
        <v>18</v>
      </c>
      <c r="P68" s="28" t="n">
        <f aca="false">IF(E68&gt;0,G68*Channels!V12/E68,0)</f>
        <v>5.76970961586612</v>
      </c>
      <c r="Q68" s="28" t="n">
        <f aca="false">IF(E68&gt;0,H68*Channels!V12/E68,0)</f>
        <v>0</v>
      </c>
      <c r="R68" s="28" t="n">
        <f aca="false">IF(E68&gt;0,I68*Channels!V12/E68,0)</f>
        <v>0</v>
      </c>
    </row>
    <row r="69" customFormat="false" ht="15" hidden="true" customHeight="false" outlineLevel="1" collapsed="false">
      <c r="A69" s="2" t="str">
        <f aca="false">Channels!A13</f>
        <v>C09</v>
      </c>
      <c r="B69" s="2" t="str">
        <f aca="false">Channels!C13</f>
        <v>Electricians</v>
      </c>
      <c r="C69" s="37" t="n">
        <f aca="false">Channels!AA13</f>
        <v>2898</v>
      </c>
      <c r="D69" s="41" t="n">
        <f aca="false">IF(ISNUMBER(Channels!AB13),Channels!AB13,0)+ROW()/1000000</f>
        <v>2839.50624183951</v>
      </c>
      <c r="E69" s="28" t="n">
        <f aca="false">Channels!U13</f>
        <v>1.0206</v>
      </c>
      <c r="F69" s="28" t="n">
        <f aca="false">IF(N69&gt;0,E69*MAX(0,N69-MIN(J69,N69))/N69,IF(C69&gt;0,E69*(1-J69/C69),E69))</f>
        <v>1.0206</v>
      </c>
      <c r="G69" s="28" t="n">
        <f aca="false">IF(N69&gt;0,E69*MAX(0,N69-MIN(K69,N69))/N69,IF(C69&gt;0,E69*(1-K69/C69),E69))</f>
        <v>1.0206</v>
      </c>
      <c r="H69" s="28" t="n">
        <f aca="false">IF(N69&gt;0,E69*MAX(0,N69-MIN(L69,N69))/N69,IF(C69&gt;0,E69*(1-L69/C69),E69))</f>
        <v>1.0206</v>
      </c>
      <c r="I69" s="28" t="n">
        <f aca="false">IF(N69&gt;0,E69*MAX(0,N69-MIN(M69,N69))/N69,IF(C69&gt;0,E69*(1-M69/C69),E69))</f>
        <v>1.0206</v>
      </c>
      <c r="J69" s="37" t="n">
        <f aca="false">MIN(C69,MAX(0,F$59-SUMPRODUCT(($D$61:$D$90&gt;D69)*$C$61:$C$90)))</f>
        <v>0</v>
      </c>
      <c r="K69" s="37" t="n">
        <f aca="false">MIN(C69,MAX(0,G$59-SUMPRODUCT(($D$61:$D$90&gt;D69)*$C$61:$C$90)))</f>
        <v>0</v>
      </c>
      <c r="L69" s="37" t="n">
        <f aca="false">MIN(C69,MAX(0,H$59-SUMPRODUCT(($D$61:$D$90&gt;D69)*$C$61:$C$90)))</f>
        <v>0</v>
      </c>
      <c r="M69" s="37" t="n">
        <f aca="false">MIN(C69,MAX(0,I$59-SUMPRODUCT(($D$61:$D$90&gt;D69)*$C$61:$C$90)))</f>
        <v>0</v>
      </c>
      <c r="N69" s="37" t="n">
        <f aca="false">Channels!X13</f>
        <v>2898</v>
      </c>
      <c r="O69" s="28" t="n">
        <f aca="false">IF(E69&gt;0,F69*Channels!V13/E69,0)</f>
        <v>3.24</v>
      </c>
      <c r="P69" s="28" t="n">
        <f aca="false">IF(E69&gt;0,G69*Channels!V13/E69,0)</f>
        <v>3.24</v>
      </c>
      <c r="Q69" s="28" t="n">
        <f aca="false">IF(E69&gt;0,H69*Channels!V13/E69,0)</f>
        <v>3.24</v>
      </c>
      <c r="R69" s="28" t="n">
        <f aca="false">IF(E69&gt;0,I69*Channels!V13/E69,0)</f>
        <v>3.24</v>
      </c>
    </row>
    <row r="70" customFormat="false" ht="15" hidden="true" customHeight="false" outlineLevel="1" collapsed="false">
      <c r="A70" s="2" t="str">
        <f aca="false">Channels!A14</f>
        <v>C10</v>
      </c>
      <c r="B70" s="2" t="str">
        <f aca="false">Channels!C14</f>
        <v>Mechatronics</v>
      </c>
      <c r="C70" s="37" t="n">
        <f aca="false">Channels!AA14</f>
        <v>2898</v>
      </c>
      <c r="D70" s="41" t="n">
        <f aca="false">IF(ISNUMBER(Channels!AB14),Channels!AB14,0)+ROW()/1000000</f>
        <v>1642.6895914774</v>
      </c>
      <c r="E70" s="28" t="n">
        <f aca="false">Channels!U14</f>
        <v>1.76418</v>
      </c>
      <c r="F70" s="28" t="n">
        <f aca="false">IF(N70&gt;0,E70*MAX(0,N70-MIN(J70,N70))/N70,IF(C70&gt;0,E70*(1-J70/C70),E70))</f>
        <v>1.76418</v>
      </c>
      <c r="G70" s="28" t="n">
        <f aca="false">IF(N70&gt;0,E70*MAX(0,N70-MIN(K70,N70))/N70,IF(C70&gt;0,E70*(1-K70/C70),E70))</f>
        <v>1.76418</v>
      </c>
      <c r="H70" s="28" t="n">
        <f aca="false">IF(N70&gt;0,E70*MAX(0,N70-MIN(L70,N70))/N70,IF(C70&gt;0,E70*(1-L70/C70),E70))</f>
        <v>1.76418</v>
      </c>
      <c r="I70" s="28" t="n">
        <f aca="false">IF(N70&gt;0,E70*MAX(0,N70-MIN(M70,N70))/N70,IF(C70&gt;0,E70*(1-M70/C70),E70))</f>
        <v>1.76418</v>
      </c>
      <c r="J70" s="37" t="n">
        <f aca="false">MIN(C70,MAX(0,F$59-SUMPRODUCT(($D$61:$D$90&gt;D70)*$C$61:$C$90)))</f>
        <v>0</v>
      </c>
      <c r="K70" s="37" t="n">
        <f aca="false">MIN(C70,MAX(0,G$59-SUMPRODUCT(($D$61:$D$90&gt;D70)*$C$61:$C$90)))</f>
        <v>0</v>
      </c>
      <c r="L70" s="37" t="n">
        <f aca="false">MIN(C70,MAX(0,H$59-SUMPRODUCT(($D$61:$D$90&gt;D70)*$C$61:$C$90)))</f>
        <v>0</v>
      </c>
      <c r="M70" s="37" t="n">
        <f aca="false">MIN(C70,MAX(0,I$59-SUMPRODUCT(($D$61:$D$90&gt;D70)*$C$61:$C$90)))</f>
        <v>0</v>
      </c>
      <c r="N70" s="37" t="n">
        <f aca="false">Channels!X14</f>
        <v>2898</v>
      </c>
      <c r="O70" s="28" t="n">
        <f aca="false">IF(E70&gt;0,F70*Channels!V14/E70,0)</f>
        <v>4.752</v>
      </c>
      <c r="P70" s="28" t="n">
        <f aca="false">IF(E70&gt;0,G70*Channels!V14/E70,0)</f>
        <v>4.752</v>
      </c>
      <c r="Q70" s="28" t="n">
        <f aca="false">IF(E70&gt;0,H70*Channels!V14/E70,0)</f>
        <v>4.752</v>
      </c>
      <c r="R70" s="28" t="n">
        <f aca="false">IF(E70&gt;0,I70*Channels!V14/E70,0)</f>
        <v>4.752</v>
      </c>
    </row>
    <row r="71" customFormat="false" ht="15" hidden="true" customHeight="false" outlineLevel="1" collapsed="false">
      <c r="A71" s="2" t="str">
        <f aca="false">Channels!A15</f>
        <v>C11</v>
      </c>
      <c r="B71" s="2" t="str">
        <f aca="false">Channels!C15</f>
        <v>Automation</v>
      </c>
      <c r="C71" s="37" t="n">
        <f aca="false">Channels!AA15</f>
        <v>2898</v>
      </c>
      <c r="D71" s="41" t="n">
        <f aca="false">IF(ISNUMBER(Channels!AB15),Channels!AB15,0)+ROW()/1000000</f>
        <v>3155.00692971056</v>
      </c>
      <c r="E71" s="28" t="n">
        <f aca="false">Channels!U15</f>
        <v>0.91854</v>
      </c>
      <c r="F71" s="28" t="n">
        <f aca="false">IF(N71&gt;0,E71*MAX(0,N71-MIN(J71,N71))/N71,IF(C71&gt;0,E71*(1-J71/C71),E71))</f>
        <v>0.91854</v>
      </c>
      <c r="G71" s="28" t="n">
        <f aca="false">IF(N71&gt;0,E71*MAX(0,N71-MIN(K71,N71))/N71,IF(C71&gt;0,E71*(1-K71/C71),E71))</f>
        <v>0.91854</v>
      </c>
      <c r="H71" s="28" t="n">
        <f aca="false">IF(N71&gt;0,E71*MAX(0,N71-MIN(L71,N71))/N71,IF(C71&gt;0,E71*(1-L71/C71),E71))</f>
        <v>0.91854</v>
      </c>
      <c r="I71" s="28" t="n">
        <f aca="false">IF(N71&gt;0,E71*MAX(0,N71-MIN(M71,N71))/N71,IF(C71&gt;0,E71*(1-M71/C71),E71))</f>
        <v>0.91854</v>
      </c>
      <c r="J71" s="37" t="n">
        <f aca="false">MIN(C71,MAX(0,F$59-SUMPRODUCT(($D$61:$D$90&gt;D71)*$C$61:$C$90)))</f>
        <v>0</v>
      </c>
      <c r="K71" s="37" t="n">
        <f aca="false">MIN(C71,MAX(0,G$59-SUMPRODUCT(($D$61:$D$90&gt;D71)*$C$61:$C$90)))</f>
        <v>0</v>
      </c>
      <c r="L71" s="37" t="n">
        <f aca="false">MIN(C71,MAX(0,H$59-SUMPRODUCT(($D$61:$D$90&gt;D71)*$C$61:$C$90)))</f>
        <v>0</v>
      </c>
      <c r="M71" s="37" t="n">
        <f aca="false">MIN(C71,MAX(0,I$59-SUMPRODUCT(($D$61:$D$90&gt;D71)*$C$61:$C$90)))</f>
        <v>0</v>
      </c>
      <c r="N71" s="37" t="n">
        <f aca="false">Channels!X15</f>
        <v>2898</v>
      </c>
      <c r="O71" s="28" t="n">
        <f aca="false">IF(E71&gt;0,F71*Channels!V15/E71,0)</f>
        <v>3.24</v>
      </c>
      <c r="P71" s="28" t="n">
        <f aca="false">IF(E71&gt;0,G71*Channels!V15/E71,0)</f>
        <v>3.24</v>
      </c>
      <c r="Q71" s="28" t="n">
        <f aca="false">IF(E71&gt;0,H71*Channels!V15/E71,0)</f>
        <v>3.24</v>
      </c>
      <c r="R71" s="28" t="n">
        <f aca="false">IF(E71&gt;0,I71*Channels!V15/E71,0)</f>
        <v>3.24</v>
      </c>
    </row>
    <row r="72" customFormat="false" ht="15" hidden="true" customHeight="false" outlineLevel="1" collapsed="false">
      <c r="A72" s="2" t="str">
        <f aca="false">Channels!A16</f>
        <v>C12</v>
      </c>
      <c r="B72" s="2" t="str">
        <f aca="false">Channels!C16</f>
        <v>Supervisors</v>
      </c>
      <c r="C72" s="37" t="n">
        <f aca="false">Channels!AA16</f>
        <v>1449</v>
      </c>
      <c r="D72" s="41" t="n">
        <f aca="false">IF(ISNUMBER(Channels!AB16),Channels!AB16,0)+ROW()/1000000</f>
        <v>5637.25497396078</v>
      </c>
      <c r="E72" s="28" t="n">
        <f aca="false">Channels!U16</f>
        <v>0.25704</v>
      </c>
      <c r="F72" s="28" t="n">
        <f aca="false">IF(N72&gt;0,E72*MAX(0,N72-MIN(J72,N72))/N72,IF(C72&gt;0,E72*(1-J72/C72),E72))</f>
        <v>0.25704</v>
      </c>
      <c r="G72" s="28" t="n">
        <f aca="false">IF(N72&gt;0,E72*MAX(0,N72-MIN(K72,N72))/N72,IF(C72&gt;0,E72*(1-K72/C72),E72))</f>
        <v>0.25704</v>
      </c>
      <c r="H72" s="28" t="n">
        <f aca="false">IF(N72&gt;0,E72*MAX(0,N72-MIN(L72,N72))/N72,IF(C72&gt;0,E72*(1-L72/C72),E72))</f>
        <v>0</v>
      </c>
      <c r="I72" s="28" t="n">
        <f aca="false">IF(N72&gt;0,E72*MAX(0,N72-MIN(M72,N72))/N72,IF(C72&gt;0,E72*(1-M72/C72),E72))</f>
        <v>0</v>
      </c>
      <c r="J72" s="37" t="n">
        <f aca="false">MIN(C72,MAX(0,F$59-SUMPRODUCT(($D$61:$D$90&gt;D72)*$C$61:$C$90)))</f>
        <v>0</v>
      </c>
      <c r="K72" s="37" t="n">
        <f aca="false">MIN(C72,MAX(0,G$59-SUMPRODUCT(($D$61:$D$90&gt;D72)*$C$61:$C$90)))</f>
        <v>0</v>
      </c>
      <c r="L72" s="37" t="n">
        <f aca="false">MIN(C72,MAX(0,H$59-SUMPRODUCT(($D$61:$D$90&gt;D72)*$C$61:$C$90)))</f>
        <v>1449</v>
      </c>
      <c r="M72" s="37" t="n">
        <f aca="false">MIN(C72,MAX(0,I$59-SUMPRODUCT(($D$61:$D$90&gt;D72)*$C$61:$C$90)))</f>
        <v>1449</v>
      </c>
      <c r="N72" s="37" t="n">
        <f aca="false">Channels!X16</f>
        <v>1449</v>
      </c>
      <c r="O72" s="28" t="n">
        <f aca="false">IF(E72&gt;0,F72*Channels!V16/E72,0)</f>
        <v>1.08</v>
      </c>
      <c r="P72" s="28" t="n">
        <f aca="false">IF(E72&gt;0,G72*Channels!V16/E72,0)</f>
        <v>1.08</v>
      </c>
      <c r="Q72" s="28" t="n">
        <f aca="false">IF(E72&gt;0,H72*Channels!V16/E72,0)</f>
        <v>0</v>
      </c>
      <c r="R72" s="28" t="n">
        <f aca="false">IF(E72&gt;0,I72*Channels!V16/E72,0)</f>
        <v>0</v>
      </c>
    </row>
    <row r="73" customFormat="false" ht="15" hidden="true" customHeight="false" outlineLevel="1" collapsed="false">
      <c r="A73" s="2" t="str">
        <f aca="false">Channels!A17</f>
        <v>C13</v>
      </c>
      <c r="B73" s="2" t="str">
        <f aca="false">Channels!C17</f>
        <v>Automation</v>
      </c>
      <c r="C73" s="37" t="n">
        <f aca="false">Channels!AA17</f>
        <v>14400</v>
      </c>
      <c r="D73" s="41" t="n">
        <f aca="false">IF(ISNUMBER(Channels!AB17),Channels!AB17,0)+ROW()/1000000</f>
        <v>2508.32850725436</v>
      </c>
      <c r="E73" s="28" t="n">
        <f aca="false">Channels!U17</f>
        <v>5.740875</v>
      </c>
      <c r="F73" s="28" t="n">
        <f aca="false">IF(N73&gt;0,E73*MAX(0,N73-MIN(J73,N73))/N73,IF(C73&gt;0,E73*(1-J73/C73),E73))</f>
        <v>5.740875</v>
      </c>
      <c r="G73" s="28" t="n">
        <f aca="false">IF(N73&gt;0,E73*MAX(0,N73-MIN(K73,N73))/N73,IF(C73&gt;0,E73*(1-K73/C73),E73))</f>
        <v>5.740875</v>
      </c>
      <c r="H73" s="28" t="n">
        <f aca="false">IF(N73&gt;0,E73*MAX(0,N73-MIN(L73,N73))/N73,IF(C73&gt;0,E73*(1-L73/C73),E73))</f>
        <v>5.740875</v>
      </c>
      <c r="I73" s="28" t="n">
        <f aca="false">IF(N73&gt;0,E73*MAX(0,N73-MIN(M73,N73))/N73,IF(C73&gt;0,E73*(1-M73/C73),E73))</f>
        <v>5.740875</v>
      </c>
      <c r="J73" s="37" t="n">
        <f aca="false">MIN(C73,MAX(0,F$59-SUMPRODUCT(($D$61:$D$90&gt;D73)*$C$61:$C$90)))</f>
        <v>0</v>
      </c>
      <c r="K73" s="37" t="n">
        <f aca="false">MIN(C73,MAX(0,G$59-SUMPRODUCT(($D$61:$D$90&gt;D73)*$C$61:$C$90)))</f>
        <v>0</v>
      </c>
      <c r="L73" s="37" t="n">
        <f aca="false">MIN(C73,MAX(0,H$59-SUMPRODUCT(($D$61:$D$90&gt;D73)*$C$61:$C$90)))</f>
        <v>0</v>
      </c>
      <c r="M73" s="37" t="n">
        <f aca="false">MIN(C73,MAX(0,I$59-SUMPRODUCT(($D$61:$D$90&gt;D73)*$C$61:$C$90)))</f>
        <v>0</v>
      </c>
      <c r="N73" s="37" t="n">
        <f aca="false">Channels!X17</f>
        <v>14400</v>
      </c>
      <c r="O73" s="28" t="n">
        <f aca="false">IF(E73&gt;0,F73*Channels!V17/E73,0)</f>
        <v>20.25</v>
      </c>
      <c r="P73" s="28" t="n">
        <f aca="false">IF(E73&gt;0,G73*Channels!V17/E73,0)</f>
        <v>20.25</v>
      </c>
      <c r="Q73" s="28" t="n">
        <f aca="false">IF(E73&gt;0,H73*Channels!V17/E73,0)</f>
        <v>20.25</v>
      </c>
      <c r="R73" s="28" t="n">
        <f aca="false">IF(E73&gt;0,I73*Channels!V17/E73,0)</f>
        <v>20.25</v>
      </c>
    </row>
    <row r="74" customFormat="false" ht="15" hidden="true" customHeight="false" outlineLevel="1" collapsed="false">
      <c r="A74" s="2" t="str">
        <f aca="false">Channels!A18</f>
        <v>C14</v>
      </c>
      <c r="B74" s="2" t="str">
        <f aca="false">Channels!C18</f>
        <v>Supervisors</v>
      </c>
      <c r="C74" s="37" t="n">
        <f aca="false">Channels!AA18</f>
        <v>9600</v>
      </c>
      <c r="D74" s="41" t="n">
        <f aca="false">IF(ISNUMBER(Channels!AB18),Channels!AB18,0)+ROW()/1000000</f>
        <v>4481.79279108684</v>
      </c>
      <c r="E74" s="28" t="n">
        <f aca="false">Channels!U18</f>
        <v>2.142</v>
      </c>
      <c r="F74" s="28" t="n">
        <f aca="false">IF(N74&gt;0,E74*MAX(0,N74-MIN(J74,N74))/N74,IF(C74&gt;0,E74*(1-J74/C74),E74))</f>
        <v>2.142</v>
      </c>
      <c r="G74" s="28" t="n">
        <f aca="false">IF(N74&gt;0,E74*MAX(0,N74-MIN(K74,N74))/N74,IF(C74&gt;0,E74*(1-K74/C74),E74))</f>
        <v>2.142</v>
      </c>
      <c r="H74" s="28" t="n">
        <f aca="false">IF(N74&gt;0,E74*MAX(0,N74-MIN(L74,N74))/N74,IF(C74&gt;0,E74*(1-L74/C74),E74))</f>
        <v>0</v>
      </c>
      <c r="I74" s="28" t="n">
        <f aca="false">IF(N74&gt;0,E74*MAX(0,N74-MIN(M74,N74))/N74,IF(C74&gt;0,E74*(1-M74/C74),E74))</f>
        <v>0</v>
      </c>
      <c r="J74" s="37" t="n">
        <f aca="false">MIN(C74,MAX(0,F$59-SUMPRODUCT(($D$61:$D$90&gt;D74)*$C$61:$C$90)))</f>
        <v>0</v>
      </c>
      <c r="K74" s="37" t="n">
        <f aca="false">MIN(C74,MAX(0,G$59-SUMPRODUCT(($D$61:$D$90&gt;D74)*$C$61:$C$90)))</f>
        <v>0</v>
      </c>
      <c r="L74" s="37" t="n">
        <f aca="false">MIN(C74,MAX(0,H$59-SUMPRODUCT(($D$61:$D$90&gt;D74)*$C$61:$C$90)))</f>
        <v>9600</v>
      </c>
      <c r="M74" s="37" t="n">
        <f aca="false">MIN(C74,MAX(0,I$59-SUMPRODUCT(($D$61:$D$90&gt;D74)*$C$61:$C$90)))</f>
        <v>9600</v>
      </c>
      <c r="N74" s="37" t="n">
        <f aca="false">Channels!X18</f>
        <v>9600</v>
      </c>
      <c r="O74" s="28" t="n">
        <f aca="false">IF(E74&gt;0,F74*Channels!V18/E74,0)</f>
        <v>9</v>
      </c>
      <c r="P74" s="28" t="n">
        <f aca="false">IF(E74&gt;0,G74*Channels!V18/E74,0)</f>
        <v>9</v>
      </c>
      <c r="Q74" s="28" t="n">
        <f aca="false">IF(E74&gt;0,H74*Channels!V18/E74,0)</f>
        <v>0</v>
      </c>
      <c r="R74" s="28" t="n">
        <f aca="false">IF(E74&gt;0,I74*Channels!V18/E74,0)</f>
        <v>0</v>
      </c>
    </row>
    <row r="75" customFormat="false" ht="15" hidden="true" customHeight="false" outlineLevel="1" collapsed="false">
      <c r="A75" s="2" t="str">
        <f aca="false">Channels!A19</f>
        <v>C15</v>
      </c>
      <c r="B75" s="2" t="str">
        <f aca="false">Channels!C19</f>
        <v>Electricians</v>
      </c>
      <c r="C75" s="37" t="n">
        <f aca="false">Channels!AA19</f>
        <v>33600</v>
      </c>
      <c r="D75" s="41" t="n">
        <f aca="false">IF(ISNUMBER(Channels!AB19),Channels!AB19,0)+ROW()/1000000</f>
        <v>3555.55563055556</v>
      </c>
      <c r="E75" s="28" t="n">
        <f aca="false">Channels!U19</f>
        <v>9.45</v>
      </c>
      <c r="F75" s="28" t="n">
        <f aca="false">IF(N75&gt;0,E75*MAX(0,N75-MIN(J75,N75))/N75,IF(C75&gt;0,E75*(1-J75/C75),E75))</f>
        <v>9.45</v>
      </c>
      <c r="G75" s="28" t="n">
        <f aca="false">IF(N75&gt;0,E75*MAX(0,N75-MIN(K75,N75))/N75,IF(C75&gt;0,E75*(1-K75/C75),E75))</f>
        <v>9.45</v>
      </c>
      <c r="H75" s="28" t="n">
        <f aca="false">IF(N75&gt;0,E75*MAX(0,N75-MIN(L75,N75))/N75,IF(C75&gt;0,E75*(1-L75/C75),E75))</f>
        <v>9.45</v>
      </c>
      <c r="I75" s="28" t="n">
        <f aca="false">IF(N75&gt;0,E75*MAX(0,N75-MIN(M75,N75))/N75,IF(C75&gt;0,E75*(1-M75/C75),E75))</f>
        <v>5.68216660394495</v>
      </c>
      <c r="J75" s="37" t="n">
        <f aca="false">MIN(C75,MAX(0,F$59-SUMPRODUCT(($D$61:$D$90&gt;D75)*$C$61:$C$90)))</f>
        <v>0</v>
      </c>
      <c r="K75" s="37" t="n">
        <f aca="false">MIN(C75,MAX(0,G$59-SUMPRODUCT(($D$61:$D$90&gt;D75)*$C$61:$C$90)))</f>
        <v>0</v>
      </c>
      <c r="L75" s="37" t="n">
        <f aca="false">MIN(C75,MAX(0,H$59-SUMPRODUCT(($D$61:$D$90&gt;D75)*$C$61:$C$90)))</f>
        <v>0</v>
      </c>
      <c r="M75" s="37" t="n">
        <f aca="false">MIN(C75,MAX(0,I$59-SUMPRODUCT(($D$61:$D$90&gt;D75)*$C$61:$C$90)))</f>
        <v>13396.7409637513</v>
      </c>
      <c r="N75" s="37" t="n">
        <f aca="false">Channels!X19</f>
        <v>33600</v>
      </c>
      <c r="O75" s="28" t="n">
        <f aca="false">IF(E75&gt;0,F75*Channels!V19/E75,0)</f>
        <v>30</v>
      </c>
      <c r="P75" s="28" t="n">
        <f aca="false">IF(E75&gt;0,G75*Channels!V19/E75,0)</f>
        <v>30</v>
      </c>
      <c r="Q75" s="28" t="n">
        <f aca="false">IF(E75&gt;0,H75*Channels!V19/E75,0)</f>
        <v>30</v>
      </c>
      <c r="R75" s="28" t="n">
        <f aca="false">IF(E75&gt;0,I75*Channels!V19/E75,0)</f>
        <v>18.0386241395078</v>
      </c>
    </row>
    <row r="76" customFormat="false" ht="15" hidden="true" customHeight="false" outlineLevel="1" collapsed="false">
      <c r="A76" s="2" t="str">
        <f aca="false">Channels!A20</f>
        <v>C16</v>
      </c>
      <c r="B76" s="2" t="str">
        <f aca="false">Channels!C20</f>
        <v>Mechatronics</v>
      </c>
      <c r="C76" s="37" t="n">
        <f aca="false">Channels!AA20</f>
        <v>16788.4257202448</v>
      </c>
      <c r="D76" s="41" t="n">
        <f aca="false">IF(ISNUMBER(Channels!AB20),Channels!AB20,0)+ROW()/1000000</f>
        <v>2056.93304202388</v>
      </c>
      <c r="E76" s="28" t="n">
        <f aca="false">Channels!U20</f>
        <v>8.16187303988688</v>
      </c>
      <c r="F76" s="28" t="n">
        <f aca="false">IF(N76&gt;0,E76*MAX(0,N76-MIN(J76,N76))/N76,IF(C76&gt;0,E76*(1-J76/C76),E76))</f>
        <v>8.16187303988688</v>
      </c>
      <c r="G76" s="28" t="n">
        <f aca="false">IF(N76&gt;0,E76*MAX(0,N76-MIN(K76,N76))/N76,IF(C76&gt;0,E76*(1-K76/C76),E76))</f>
        <v>8.16187303988688</v>
      </c>
      <c r="H76" s="28" t="n">
        <f aca="false">IF(N76&gt;0,E76*MAX(0,N76-MIN(L76,N76))/N76,IF(C76&gt;0,E76*(1-L76/C76),E76))</f>
        <v>8.16187303988688</v>
      </c>
      <c r="I76" s="28" t="n">
        <f aca="false">IF(N76&gt;0,E76*MAX(0,N76-MIN(M76,N76))/N76,IF(C76&gt;0,E76*(1-M76/C76),E76))</f>
        <v>8.16187303988688</v>
      </c>
      <c r="J76" s="37" t="n">
        <f aca="false">MIN(C76,MAX(0,F$59-SUMPRODUCT(($D$61:$D$90&gt;D76)*$C$61:$C$90)))</f>
        <v>0</v>
      </c>
      <c r="K76" s="37" t="n">
        <f aca="false">MIN(C76,MAX(0,G$59-SUMPRODUCT(($D$61:$D$90&gt;D76)*$C$61:$C$90)))</f>
        <v>0</v>
      </c>
      <c r="L76" s="37" t="n">
        <f aca="false">MIN(C76,MAX(0,H$59-SUMPRODUCT(($D$61:$D$90&gt;D76)*$C$61:$C$90)))</f>
        <v>0</v>
      </c>
      <c r="M76" s="37" t="n">
        <f aca="false">MIN(C76,MAX(0,I$59-SUMPRODUCT(($D$61:$D$90&gt;D76)*$C$61:$C$90)))</f>
        <v>0</v>
      </c>
      <c r="N76" s="37" t="n">
        <f aca="false">Channels!X20</f>
        <v>16788.4257202448</v>
      </c>
      <c r="O76" s="28" t="n">
        <f aca="false">IF(E76&gt;0,F76*Channels!V20/E76,0)</f>
        <v>21.9848432050825</v>
      </c>
      <c r="P76" s="28" t="n">
        <f aca="false">IF(E76&gt;0,G76*Channels!V20/E76,0)</f>
        <v>21.9848432050825</v>
      </c>
      <c r="Q76" s="28" t="n">
        <f aca="false">IF(E76&gt;0,H76*Channels!V20/E76,0)</f>
        <v>21.9848432050825</v>
      </c>
      <c r="R76" s="28" t="n">
        <f aca="false">IF(E76&gt;0,I76*Channels!V20/E76,0)</f>
        <v>21.9848432050825</v>
      </c>
    </row>
    <row r="77" customFormat="false" ht="15" hidden="true" customHeight="false" outlineLevel="1" collapsed="false">
      <c r="A77" s="2" t="str">
        <f aca="false">Channels!A21</f>
        <v>C17</v>
      </c>
      <c r="B77" s="2" t="str">
        <f aca="false">Channels!C21</f>
        <v>Electricians</v>
      </c>
      <c r="C77" s="37" t="n">
        <f aca="false">Channels!AA21</f>
        <v>750</v>
      </c>
      <c r="D77" s="41" t="n">
        <f aca="false">IF(ISNUMBER(Channels!AB21),Channels!AB21,0)+ROW()/1000000</f>
        <v>5335.71808877435</v>
      </c>
      <c r="E77" s="28" t="n">
        <f aca="false">Channels!U21</f>
        <v>0.140562150837989</v>
      </c>
      <c r="F77" s="28" t="n">
        <f aca="false">IF(N77&gt;0,E77*MAX(0,N77-MIN(J77,N77))/N77,IF(C77&gt;0,E77*(1-J77/C77),E77))</f>
        <v>0.140562150837989</v>
      </c>
      <c r="G77" s="28" t="n">
        <f aca="false">IF(N77&gt;0,E77*MAX(0,N77-MIN(K77,N77))/N77,IF(C77&gt;0,E77*(1-K77/C77),E77))</f>
        <v>0.140562150837989</v>
      </c>
      <c r="H77" s="28" t="n">
        <f aca="false">IF(N77&gt;0,E77*MAX(0,N77-MIN(L77,N77))/N77,IF(C77&gt;0,E77*(1-L77/C77),E77))</f>
        <v>0</v>
      </c>
      <c r="I77" s="28" t="n">
        <f aca="false">IF(N77&gt;0,E77*MAX(0,N77-MIN(M77,N77))/N77,IF(C77&gt;0,E77*(1-M77/C77),E77))</f>
        <v>0</v>
      </c>
      <c r="J77" s="37" t="n">
        <f aca="false">MIN(C77,MAX(0,F$59-SUMPRODUCT(($D$61:$D$90&gt;D77)*$C$61:$C$90)))</f>
        <v>0</v>
      </c>
      <c r="K77" s="37" t="n">
        <f aca="false">MIN(C77,MAX(0,G$59-SUMPRODUCT(($D$61:$D$90&gt;D77)*$C$61:$C$90)))</f>
        <v>0</v>
      </c>
      <c r="L77" s="37" t="n">
        <f aca="false">MIN(C77,MAX(0,H$59-SUMPRODUCT(($D$61:$D$90&gt;D77)*$C$61:$C$90)))</f>
        <v>750</v>
      </c>
      <c r="M77" s="37" t="n">
        <f aca="false">MIN(C77,MAX(0,I$59-SUMPRODUCT(($D$61:$D$90&gt;D77)*$C$61:$C$90)))</f>
        <v>750</v>
      </c>
      <c r="N77" s="37" t="n">
        <f aca="false">Channels!X21</f>
        <v>750</v>
      </c>
      <c r="O77" s="28" t="n">
        <f aca="false">IF(E77&gt;0,F77*Channels!V21/E77,0)</f>
        <v>0.44622905027933</v>
      </c>
      <c r="P77" s="28" t="n">
        <f aca="false">IF(E77&gt;0,G77*Channels!V21/E77,0)</f>
        <v>0.44622905027933</v>
      </c>
      <c r="Q77" s="28" t="n">
        <f aca="false">IF(E77&gt;0,H77*Channels!V21/E77,0)</f>
        <v>0</v>
      </c>
      <c r="R77" s="28" t="n">
        <f aca="false">IF(E77&gt;0,I77*Channels!V21/E77,0)</f>
        <v>0</v>
      </c>
    </row>
    <row r="78" customFormat="false" ht="15" hidden="true" customHeight="false" outlineLevel="1" collapsed="false">
      <c r="A78" s="2" t="str">
        <f aca="false">Channels!A22</f>
        <v>C18</v>
      </c>
      <c r="B78" s="2" t="str">
        <f aca="false">Channels!C22</f>
        <v>Mechatronics</v>
      </c>
      <c r="C78" s="37" t="n">
        <f aca="false">Channels!AA22</f>
        <v>750</v>
      </c>
      <c r="D78" s="41" t="n">
        <f aca="false">IF(ISNUMBER(Channels!AB22),Channels!AB22,0)+ROW()/1000000</f>
        <v>3086.77909307607</v>
      </c>
      <c r="E78" s="28" t="n">
        <f aca="false">Channels!U22</f>
        <v>0.242971717877095</v>
      </c>
      <c r="F78" s="28" t="n">
        <f aca="false">IF(N78&gt;0,E78*MAX(0,N78-MIN(J78,N78))/N78,IF(C78&gt;0,E78*(1-J78/C78),E78))</f>
        <v>0.242971717877095</v>
      </c>
      <c r="G78" s="28" t="n">
        <f aca="false">IF(N78&gt;0,E78*MAX(0,N78-MIN(K78,N78))/N78,IF(C78&gt;0,E78*(1-K78/C78),E78))</f>
        <v>0.242971717877095</v>
      </c>
      <c r="H78" s="28" t="n">
        <f aca="false">IF(N78&gt;0,E78*MAX(0,N78-MIN(L78,N78))/N78,IF(C78&gt;0,E78*(1-L78/C78),E78))</f>
        <v>0.242971717877095</v>
      </c>
      <c r="I78" s="28" t="n">
        <f aca="false">IF(N78&gt;0,E78*MAX(0,N78-MIN(M78,N78))/N78,IF(C78&gt;0,E78*(1-M78/C78),E78))</f>
        <v>0.242971717877095</v>
      </c>
      <c r="J78" s="37" t="n">
        <f aca="false">MIN(C78,MAX(0,F$59-SUMPRODUCT(($D$61:$D$90&gt;D78)*$C$61:$C$90)))</f>
        <v>0</v>
      </c>
      <c r="K78" s="37" t="n">
        <f aca="false">MIN(C78,MAX(0,G$59-SUMPRODUCT(($D$61:$D$90&gt;D78)*$C$61:$C$90)))</f>
        <v>0</v>
      </c>
      <c r="L78" s="37" t="n">
        <f aca="false">MIN(C78,MAX(0,H$59-SUMPRODUCT(($D$61:$D$90&gt;D78)*$C$61:$C$90)))</f>
        <v>0</v>
      </c>
      <c r="M78" s="37" t="n">
        <f aca="false">MIN(C78,MAX(0,I$59-SUMPRODUCT(($D$61:$D$90&gt;D78)*$C$61:$C$90)))</f>
        <v>0</v>
      </c>
      <c r="N78" s="37" t="n">
        <f aca="false">Channels!X22</f>
        <v>750</v>
      </c>
      <c r="O78" s="28" t="n">
        <f aca="false">IF(E78&gt;0,F78*Channels!V22/E78,0)</f>
        <v>0.654469273743017</v>
      </c>
      <c r="P78" s="28" t="n">
        <f aca="false">IF(E78&gt;0,G78*Channels!V22/E78,0)</f>
        <v>0.654469273743017</v>
      </c>
      <c r="Q78" s="28" t="n">
        <f aca="false">IF(E78&gt;0,H78*Channels!V22/E78,0)</f>
        <v>0.654469273743017</v>
      </c>
      <c r="R78" s="28" t="n">
        <f aca="false">IF(E78&gt;0,I78*Channels!V22/E78,0)</f>
        <v>0.654469273743017</v>
      </c>
    </row>
    <row r="79" customFormat="false" ht="15" hidden="true" customHeight="false" outlineLevel="1" collapsed="false">
      <c r="A79" s="2" t="str">
        <f aca="false">Channels!A23</f>
        <v>C19</v>
      </c>
      <c r="B79" s="2" t="str">
        <f aca="false">Channels!C23</f>
        <v>Automation</v>
      </c>
      <c r="C79" s="37" t="n">
        <f aca="false">Channels!AA23</f>
        <v>750</v>
      </c>
      <c r="D79" s="41" t="n">
        <f aca="false">IF(ISNUMBER(Channels!AB23),Channels!AB23,0)+ROW()/1000000</f>
        <v>5928.57564763817</v>
      </c>
      <c r="E79" s="28" t="n">
        <f aca="false">Channels!U23</f>
        <v>0.12650593575419</v>
      </c>
      <c r="F79" s="28" t="n">
        <f aca="false">IF(N79&gt;0,E79*MAX(0,N79-MIN(J79,N79))/N79,IF(C79&gt;0,E79*(1-J79/C79),E79))</f>
        <v>0.12650593575419</v>
      </c>
      <c r="G79" s="28" t="n">
        <f aca="false">IF(N79&gt;0,E79*MAX(0,N79-MIN(K79,N79))/N79,IF(C79&gt;0,E79*(1-K79/C79),E79))</f>
        <v>0.12650593575419</v>
      </c>
      <c r="H79" s="28" t="n">
        <f aca="false">IF(N79&gt;0,E79*MAX(0,N79-MIN(L79,N79))/N79,IF(C79&gt;0,E79*(1-L79/C79),E79))</f>
        <v>0</v>
      </c>
      <c r="I79" s="28" t="n">
        <f aca="false">IF(N79&gt;0,E79*MAX(0,N79-MIN(M79,N79))/N79,IF(C79&gt;0,E79*(1-M79/C79),E79))</f>
        <v>0</v>
      </c>
      <c r="J79" s="37" t="n">
        <f aca="false">MIN(C79,MAX(0,F$59-SUMPRODUCT(($D$61:$D$90&gt;D79)*$C$61:$C$90)))</f>
        <v>0</v>
      </c>
      <c r="K79" s="37" t="n">
        <f aca="false">MIN(C79,MAX(0,G$59-SUMPRODUCT(($D$61:$D$90&gt;D79)*$C$61:$C$90)))</f>
        <v>0</v>
      </c>
      <c r="L79" s="37" t="n">
        <f aca="false">MIN(C79,MAX(0,H$59-SUMPRODUCT(($D$61:$D$90&gt;D79)*$C$61:$C$90)))</f>
        <v>750</v>
      </c>
      <c r="M79" s="37" t="n">
        <f aca="false">MIN(C79,MAX(0,I$59-SUMPRODUCT(($D$61:$D$90&gt;D79)*$C$61:$C$90)))</f>
        <v>750</v>
      </c>
      <c r="N79" s="37" t="n">
        <f aca="false">Channels!X23</f>
        <v>750</v>
      </c>
      <c r="O79" s="28" t="n">
        <f aca="false">IF(E79&gt;0,F79*Channels!V23/E79,0)</f>
        <v>0.44622905027933</v>
      </c>
      <c r="P79" s="28" t="n">
        <f aca="false">IF(E79&gt;0,G79*Channels!V23/E79,0)</f>
        <v>0.44622905027933</v>
      </c>
      <c r="Q79" s="28" t="n">
        <f aca="false">IF(E79&gt;0,H79*Channels!V23/E79,0)</f>
        <v>0</v>
      </c>
      <c r="R79" s="28" t="n">
        <f aca="false">IF(E79&gt;0,I79*Channels!V23/E79,0)</f>
        <v>0</v>
      </c>
    </row>
    <row r="80" customFormat="false" ht="15" hidden="true" customHeight="false" outlineLevel="1" collapsed="false">
      <c r="A80" s="2" t="str">
        <f aca="false">Channels!A24</f>
        <v>C20</v>
      </c>
      <c r="B80" s="2" t="str">
        <f aca="false">Channels!C24</f>
        <v>Supervisors</v>
      </c>
      <c r="C80" s="37" t="n">
        <f aca="false">Channels!AA24</f>
        <v>5370</v>
      </c>
      <c r="D80" s="41" t="n">
        <f aca="false">IF(ISNUMBER(Channels!AB24),Channels!AB24,0)+ROW()/1000000</f>
        <v>10592.9696621991</v>
      </c>
      <c r="E80" s="28" t="n">
        <f aca="false">Channels!U24</f>
        <v>0.50694</v>
      </c>
      <c r="F80" s="28" t="n">
        <f aca="false">IF(N80&gt;0,E80*MAX(0,N80-MIN(J80,N80))/N80,IF(C80&gt;0,E80*(1-J80/C80),E80))</f>
        <v>0.50694</v>
      </c>
      <c r="G80" s="28" t="n">
        <f aca="false">IF(N80&gt;0,E80*MAX(0,N80-MIN(K80,N80))/N80,IF(C80&gt;0,E80*(1-K80/C80),E80))</f>
        <v>0</v>
      </c>
      <c r="H80" s="28" t="n">
        <f aca="false">IF(N80&gt;0,E80*MAX(0,N80-MIN(L80,N80))/N80,IF(C80&gt;0,E80*(1-L80/C80),E80))</f>
        <v>0</v>
      </c>
      <c r="I80" s="28" t="n">
        <f aca="false">IF(N80&gt;0,E80*MAX(0,N80-MIN(M80,N80))/N80,IF(C80&gt;0,E80*(1-M80/C80),E80))</f>
        <v>0</v>
      </c>
      <c r="J80" s="37" t="n">
        <f aca="false">MIN(C80,MAX(0,F$59-SUMPRODUCT(($D$61:$D$90&gt;D80)*$C$61:$C$90)))</f>
        <v>0</v>
      </c>
      <c r="K80" s="37" t="n">
        <f aca="false">MIN(C80,MAX(0,G$59-SUMPRODUCT(($D$61:$D$90&gt;D80)*$C$61:$C$90)))</f>
        <v>5370</v>
      </c>
      <c r="L80" s="37" t="n">
        <f aca="false">MIN(C80,MAX(0,H$59-SUMPRODUCT(($D$61:$D$90&gt;D80)*$C$61:$C$90)))</f>
        <v>5370</v>
      </c>
      <c r="M80" s="37" t="n">
        <f aca="false">MIN(C80,MAX(0,I$59-SUMPRODUCT(($D$61:$D$90&gt;D80)*$C$61:$C$90)))</f>
        <v>5370</v>
      </c>
      <c r="N80" s="37" t="n">
        <f aca="false">Channels!X24</f>
        <v>5370</v>
      </c>
      <c r="O80" s="28" t="n">
        <f aca="false">IF(E80&gt;0,F80*Channels!V24/E80,0)</f>
        <v>2.13</v>
      </c>
      <c r="P80" s="28" t="n">
        <f aca="false">IF(E80&gt;0,G80*Channels!V24/E80,0)</f>
        <v>0</v>
      </c>
      <c r="Q80" s="28" t="n">
        <f aca="false">IF(E80&gt;0,H80*Channels!V24/E80,0)</f>
        <v>0</v>
      </c>
      <c r="R80" s="28" t="n">
        <f aca="false">IF(E80&gt;0,I80*Channels!V24/E80,0)</f>
        <v>0</v>
      </c>
    </row>
    <row r="81" customFormat="false" ht="15" hidden="true" customHeight="false" outlineLevel="1" collapsed="false">
      <c r="A81" s="2" t="str">
        <f aca="false">Channels!A25</f>
        <v>I1a-E</v>
      </c>
      <c r="B81" s="2" t="str">
        <f aca="false">Channels!C25</f>
        <v>Electricians</v>
      </c>
      <c r="C81" s="37" t="n">
        <f aca="false">Channels!AA25</f>
        <v>12.3</v>
      </c>
      <c r="D81" s="41" t="n">
        <f aca="false">IF(ISNUMBER(Channels!AB25),Channels!AB25,0)+ROW()/1000000</f>
        <v>13.8027034982747</v>
      </c>
      <c r="E81" s="28" t="n">
        <f aca="false">Channels!U25</f>
        <v>0.891135</v>
      </c>
      <c r="F81" s="28" t="n">
        <f aca="false">IF(N81&gt;0,E81*MAX(0,N81-MIN(J81,N81))/N81,IF(C81&gt;0,E81*(1-J81/C81),E81))</f>
        <v>0.891135</v>
      </c>
      <c r="G81" s="28" t="n">
        <f aca="false">IF(N81&gt;0,E81*MAX(0,N81-MIN(K81,N81))/N81,IF(C81&gt;0,E81*(1-K81/C81),E81))</f>
        <v>0.891135</v>
      </c>
      <c r="H81" s="28" t="n">
        <f aca="false">IF(N81&gt;0,E81*MAX(0,N81-MIN(L81,N81))/N81,IF(C81&gt;0,E81*(1-L81/C81),E81))</f>
        <v>0.891135</v>
      </c>
      <c r="I81" s="28" t="n">
        <f aca="false">IF(N81&gt;0,E81*MAX(0,N81-MIN(M81,N81))/N81,IF(C81&gt;0,E81*(1-M81/C81),E81))</f>
        <v>0.891135</v>
      </c>
      <c r="J81" s="37" t="n">
        <f aca="false">MIN(C81,MAX(0,F$59-SUMPRODUCT(($D$61:$D$90&gt;D81)*$C$61:$C$90)))</f>
        <v>0</v>
      </c>
      <c r="K81" s="37" t="n">
        <f aca="false">MIN(C81,MAX(0,G$59-SUMPRODUCT(($D$61:$D$90&gt;D81)*$C$61:$C$90)))</f>
        <v>0</v>
      </c>
      <c r="L81" s="37" t="n">
        <f aca="false">MIN(C81,MAX(0,H$59-SUMPRODUCT(($D$61:$D$90&gt;D81)*$C$61:$C$90)))</f>
        <v>0</v>
      </c>
      <c r="M81" s="37" t="n">
        <f aca="false">MIN(C81,MAX(0,I$59-SUMPRODUCT(($D$61:$D$90&gt;D81)*$C$61:$C$90)))</f>
        <v>0</v>
      </c>
      <c r="N81" s="37" t="n">
        <f aca="false">Channels!X25</f>
        <v>12.3</v>
      </c>
      <c r="O81" s="28" t="n">
        <f aca="false">IF(E81&gt;0,F81*Channels!V25/E81,0)</f>
        <v>2.46</v>
      </c>
      <c r="P81" s="28" t="n">
        <f aca="false">IF(E81&gt;0,G81*Channels!V25/E81,0)</f>
        <v>2.46</v>
      </c>
      <c r="Q81" s="28" t="n">
        <f aca="false">IF(E81&gt;0,H81*Channels!V25/E81,0)</f>
        <v>2.46</v>
      </c>
      <c r="R81" s="28" t="n">
        <f aca="false">IF(E81&gt;0,I81*Channels!V25/E81,0)</f>
        <v>2.46</v>
      </c>
    </row>
    <row r="82" customFormat="false" ht="15" hidden="true" customHeight="false" outlineLevel="1" collapsed="false">
      <c r="A82" s="2" t="str">
        <f aca="false">Channels!A26</f>
        <v>I1a-M</v>
      </c>
      <c r="B82" s="2" t="str">
        <f aca="false">Channels!C26</f>
        <v>Mechatronics</v>
      </c>
      <c r="C82" s="37" t="n">
        <f aca="false">Channels!AA26</f>
        <v>18.3</v>
      </c>
      <c r="D82" s="41" t="n">
        <f aca="false">IF(ISNUMBER(Channels!AB26),Channels!AB26,0)+ROW()/1000000</f>
        <v>11.7113980591422</v>
      </c>
      <c r="E82" s="28" t="n">
        <f aca="false">Channels!U26</f>
        <v>1.56259125</v>
      </c>
      <c r="F82" s="28" t="n">
        <f aca="false">IF(N82&gt;0,E82*MAX(0,N82-MIN(J82,N82))/N82,IF(C82&gt;0,E82*(1-J82/C82),E82))</f>
        <v>1.56259125</v>
      </c>
      <c r="G82" s="28" t="n">
        <f aca="false">IF(N82&gt;0,E82*MAX(0,N82-MIN(K82,N82))/N82,IF(C82&gt;0,E82*(1-K82/C82),E82))</f>
        <v>1.56259125</v>
      </c>
      <c r="H82" s="28" t="n">
        <f aca="false">IF(N82&gt;0,E82*MAX(0,N82-MIN(L82,N82))/N82,IF(C82&gt;0,E82*(1-L82/C82),E82))</f>
        <v>1.56259125</v>
      </c>
      <c r="I82" s="28" t="n">
        <f aca="false">IF(N82&gt;0,E82*MAX(0,N82-MIN(M82,N82))/N82,IF(C82&gt;0,E82*(1-M82/C82),E82))</f>
        <v>1.56259125</v>
      </c>
      <c r="J82" s="37" t="n">
        <f aca="false">MIN(C82,MAX(0,F$59-SUMPRODUCT(($D$61:$D$90&gt;D82)*$C$61:$C$90)))</f>
        <v>0</v>
      </c>
      <c r="K82" s="37" t="n">
        <f aca="false">MIN(C82,MAX(0,G$59-SUMPRODUCT(($D$61:$D$90&gt;D82)*$C$61:$C$90)))</f>
        <v>0</v>
      </c>
      <c r="L82" s="37" t="n">
        <f aca="false">MIN(C82,MAX(0,H$59-SUMPRODUCT(($D$61:$D$90&gt;D82)*$C$61:$C$90)))</f>
        <v>0</v>
      </c>
      <c r="M82" s="37" t="n">
        <f aca="false">MIN(C82,MAX(0,I$59-SUMPRODUCT(($D$61:$D$90&gt;D82)*$C$61:$C$90)))</f>
        <v>0</v>
      </c>
      <c r="N82" s="37" t="n">
        <f aca="false">Channels!X26</f>
        <v>18.3</v>
      </c>
      <c r="O82" s="28" t="n">
        <f aca="false">IF(E82&gt;0,F82*Channels!V26/E82,0)</f>
        <v>3.66</v>
      </c>
      <c r="P82" s="28" t="n">
        <f aca="false">IF(E82&gt;0,G82*Channels!V26/E82,0)</f>
        <v>3.66</v>
      </c>
      <c r="Q82" s="28" t="n">
        <f aca="false">IF(E82&gt;0,H82*Channels!V26/E82,0)</f>
        <v>3.66</v>
      </c>
      <c r="R82" s="28" t="n">
        <f aca="false">IF(E82&gt;0,I82*Channels!V26/E82,0)</f>
        <v>3.66</v>
      </c>
    </row>
    <row r="83" customFormat="false" ht="15" hidden="true" customHeight="false" outlineLevel="1" collapsed="false">
      <c r="A83" s="2" t="str">
        <f aca="false">Channels!A27</f>
        <v>I1a-A</v>
      </c>
      <c r="B83" s="2" t="str">
        <f aca="false">Channels!C27</f>
        <v>Automation</v>
      </c>
      <c r="C83" s="37" t="n">
        <f aca="false">Channels!AA27</f>
        <v>6</v>
      </c>
      <c r="D83" s="41" t="n">
        <f aca="false">IF(ISNUMBER(Channels!AB27),Channels!AB27,0)+ROW()/1000000</f>
        <v>15.3363302203052</v>
      </c>
      <c r="E83" s="28" t="n">
        <f aca="false">Channels!U27</f>
        <v>0.39123</v>
      </c>
      <c r="F83" s="28" t="n">
        <f aca="false">IF(N83&gt;0,E83*MAX(0,N83-MIN(J83,N83))/N83,IF(C83&gt;0,E83*(1-J83/C83),E83))</f>
        <v>0.39123</v>
      </c>
      <c r="G83" s="28" t="n">
        <f aca="false">IF(N83&gt;0,E83*MAX(0,N83-MIN(K83,N83))/N83,IF(C83&gt;0,E83*(1-K83/C83),E83))</f>
        <v>0.39123</v>
      </c>
      <c r="H83" s="28" t="n">
        <f aca="false">IF(N83&gt;0,E83*MAX(0,N83-MIN(L83,N83))/N83,IF(C83&gt;0,E83*(1-L83/C83),E83))</f>
        <v>0.39123</v>
      </c>
      <c r="I83" s="28" t="n">
        <f aca="false">IF(N83&gt;0,E83*MAX(0,N83-MIN(M83,N83))/N83,IF(C83&gt;0,E83*(1-M83/C83),E83))</f>
        <v>0.39123</v>
      </c>
      <c r="J83" s="37" t="n">
        <f aca="false">MIN(C83,MAX(0,F$59-SUMPRODUCT(($D$61:$D$90&gt;D83)*$C$61:$C$90)))</f>
        <v>0</v>
      </c>
      <c r="K83" s="37" t="n">
        <f aca="false">MIN(C83,MAX(0,G$59-SUMPRODUCT(($D$61:$D$90&gt;D83)*$C$61:$C$90)))</f>
        <v>0</v>
      </c>
      <c r="L83" s="37" t="n">
        <f aca="false">MIN(C83,MAX(0,H$59-SUMPRODUCT(($D$61:$D$90&gt;D83)*$C$61:$C$90)))</f>
        <v>0</v>
      </c>
      <c r="M83" s="37" t="n">
        <f aca="false">MIN(C83,MAX(0,I$59-SUMPRODUCT(($D$61:$D$90&gt;D83)*$C$61:$C$90)))</f>
        <v>0</v>
      </c>
      <c r="N83" s="37" t="n">
        <f aca="false">Channels!X27</f>
        <v>6</v>
      </c>
      <c r="O83" s="28" t="n">
        <f aca="false">IF(E83&gt;0,F83*Channels!V27/E83,0)</f>
        <v>1.2</v>
      </c>
      <c r="P83" s="28" t="n">
        <f aca="false">IF(E83&gt;0,G83*Channels!V27/E83,0)</f>
        <v>1.2</v>
      </c>
      <c r="Q83" s="28" t="n">
        <f aca="false">IF(E83&gt;0,H83*Channels!V27/E83,0)</f>
        <v>1.2</v>
      </c>
      <c r="R83" s="28" t="n">
        <f aca="false">IF(E83&gt;0,I83*Channels!V27/E83,0)</f>
        <v>1.2</v>
      </c>
    </row>
    <row r="84" customFormat="false" ht="15" hidden="true" customHeight="false" outlineLevel="1" collapsed="false">
      <c r="A84" s="2" t="str">
        <f aca="false">Channels!A28</f>
        <v>I1a-S</v>
      </c>
      <c r="B84" s="2" t="str">
        <f aca="false">Channels!C28</f>
        <v>Supervisors</v>
      </c>
      <c r="C84" s="37" t="n">
        <f aca="false">Channels!AA28</f>
        <v>4.2</v>
      </c>
      <c r="D84" s="41" t="n">
        <f aca="false">IF(ISNUMBER(Channels!AB28),Channels!AB28,0)+ROW()/1000000</f>
        <v>18.2682608359518</v>
      </c>
      <c r="E84" s="28" t="n">
        <f aca="false">Channels!U28</f>
        <v>0.229908</v>
      </c>
      <c r="F84" s="28" t="n">
        <f aca="false">IF(N84&gt;0,E84*MAX(0,N84-MIN(J84,N84))/N84,IF(C84&gt;0,E84*(1-J84/C84),E84))</f>
        <v>0.229908</v>
      </c>
      <c r="G84" s="28" t="n">
        <f aca="false">IF(N84&gt;0,E84*MAX(0,N84-MIN(K84,N84))/N84,IF(C84&gt;0,E84*(1-K84/C84),E84))</f>
        <v>0.229908</v>
      </c>
      <c r="H84" s="28" t="n">
        <f aca="false">IF(N84&gt;0,E84*MAX(0,N84-MIN(L84,N84))/N84,IF(C84&gt;0,E84*(1-L84/C84),E84))</f>
        <v>0.229908</v>
      </c>
      <c r="I84" s="28" t="n">
        <f aca="false">IF(N84&gt;0,E84*MAX(0,N84-MIN(M84,N84))/N84,IF(C84&gt;0,E84*(1-M84/C84),E84))</f>
        <v>0.229908</v>
      </c>
      <c r="J84" s="37" t="n">
        <f aca="false">MIN(C84,MAX(0,F$59-SUMPRODUCT(($D$61:$D$90&gt;D84)*$C$61:$C$90)))</f>
        <v>0</v>
      </c>
      <c r="K84" s="37" t="n">
        <f aca="false">MIN(C84,MAX(0,G$59-SUMPRODUCT(($D$61:$D$90&gt;D84)*$C$61:$C$90)))</f>
        <v>0</v>
      </c>
      <c r="L84" s="37" t="n">
        <f aca="false">MIN(C84,MAX(0,H$59-SUMPRODUCT(($D$61:$D$90&gt;D84)*$C$61:$C$90)))</f>
        <v>0</v>
      </c>
      <c r="M84" s="37" t="n">
        <f aca="false">MIN(C84,MAX(0,I$59-SUMPRODUCT(($D$61:$D$90&gt;D84)*$C$61:$C$90)))</f>
        <v>0</v>
      </c>
      <c r="N84" s="37" t="n">
        <f aca="false">Channels!X28</f>
        <v>4.2</v>
      </c>
      <c r="O84" s="28" t="n">
        <f aca="false">IF(E84&gt;0,F84*Channels!V28/E84,0)</f>
        <v>0.84</v>
      </c>
      <c r="P84" s="28" t="n">
        <f aca="false">IF(E84&gt;0,G84*Channels!V28/E84,0)</f>
        <v>0.84</v>
      </c>
      <c r="Q84" s="28" t="n">
        <f aca="false">IF(E84&gt;0,H84*Channels!V28/E84,0)</f>
        <v>0.84</v>
      </c>
      <c r="R84" s="28" t="n">
        <f aca="false">IF(E84&gt;0,I84*Channels!V28/E84,0)</f>
        <v>0.84</v>
      </c>
    </row>
    <row r="85" customFormat="false" ht="15" hidden="true" customHeight="false" outlineLevel="1" collapsed="false">
      <c r="A85" s="2" t="str">
        <f aca="false">Channels!A29</f>
        <v>I1b-E</v>
      </c>
      <c r="B85" s="2" t="str">
        <f aca="false">Channels!C29</f>
        <v>Electricians</v>
      </c>
      <c r="C85" s="37" t="n">
        <f aca="false">Channels!AA29</f>
        <v>3260.25</v>
      </c>
      <c r="D85" s="41" t="n">
        <f aca="false">IF(ISNUMBER(Channels!AB29),Channels!AB29,0)+ROW()/1000000</f>
        <v>1000.000085</v>
      </c>
      <c r="E85" s="28" t="n">
        <f aca="false">Channels!U29</f>
        <v>3.26025</v>
      </c>
      <c r="F85" s="28" t="n">
        <f aca="false">IF(N85&gt;0,E85*MAX(0,N85-MIN(J85,N85))/N85,IF(C85&gt;0,E85*(1-J85/C85),E85))</f>
        <v>3.26025</v>
      </c>
      <c r="G85" s="28" t="n">
        <f aca="false">IF(N85&gt;0,E85*MAX(0,N85-MIN(K85,N85))/N85,IF(C85&gt;0,E85*(1-K85/C85),E85))</f>
        <v>3.26025</v>
      </c>
      <c r="H85" s="28" t="n">
        <f aca="false">IF(N85&gt;0,E85*MAX(0,N85-MIN(L85,N85))/N85,IF(C85&gt;0,E85*(1-L85/C85),E85))</f>
        <v>3.26025</v>
      </c>
      <c r="I85" s="28" t="n">
        <f aca="false">IF(N85&gt;0,E85*MAX(0,N85-MIN(M85,N85))/N85,IF(C85&gt;0,E85*(1-M85/C85),E85))</f>
        <v>3.26025</v>
      </c>
      <c r="J85" s="37" t="n">
        <f aca="false">MIN(C85,MAX(0,F$59-SUMPRODUCT(($D$61:$D$90&gt;D85)*$C$61:$C$90)))</f>
        <v>0</v>
      </c>
      <c r="K85" s="37" t="n">
        <f aca="false">MIN(C85,MAX(0,G$59-SUMPRODUCT(($D$61:$D$90&gt;D85)*$C$61:$C$90)))</f>
        <v>0</v>
      </c>
      <c r="L85" s="37" t="n">
        <f aca="false">MIN(C85,MAX(0,H$59-SUMPRODUCT(($D$61:$D$90&gt;D85)*$C$61:$C$90)))</f>
        <v>0</v>
      </c>
      <c r="M85" s="37" t="n">
        <f aca="false">MIN(C85,MAX(0,I$59-SUMPRODUCT(($D$61:$D$90&gt;D85)*$C$61:$C$90)))</f>
        <v>0</v>
      </c>
      <c r="N85" s="37" t="n">
        <f aca="false">Channels!X29</f>
        <v>3260.25</v>
      </c>
      <c r="O85" s="28" t="n">
        <f aca="false">IF(E85&gt;0,F85*Channels!V29/E85,0)</f>
        <v>9</v>
      </c>
      <c r="P85" s="28" t="n">
        <f aca="false">IF(E85&gt;0,G85*Channels!V29/E85,0)</f>
        <v>9</v>
      </c>
      <c r="Q85" s="28" t="n">
        <f aca="false">IF(E85&gt;0,H85*Channels!V29/E85,0)</f>
        <v>9</v>
      </c>
      <c r="R85" s="28" t="n">
        <f aca="false">IF(E85&gt;0,I85*Channels!V29/E85,0)</f>
        <v>9</v>
      </c>
    </row>
    <row r="86" customFormat="false" ht="15" hidden="true" customHeight="false" outlineLevel="1" collapsed="false">
      <c r="A86" s="2" t="str">
        <f aca="false">Channels!A30</f>
        <v>I1b-M</v>
      </c>
      <c r="B86" s="2" t="str">
        <f aca="false">Channels!C30</f>
        <v>Mechatronics</v>
      </c>
      <c r="C86" s="37" t="n">
        <f aca="false">Channels!AA30</f>
        <v>5763.65625</v>
      </c>
      <c r="D86" s="41" t="n">
        <f aca="false">IF(ISNUMBER(Channels!AB30),Channels!AB30,0)+ROW()/1000000</f>
        <v>1000.000086</v>
      </c>
      <c r="E86" s="28" t="n">
        <f aca="false">Channels!U30</f>
        <v>5.76365625</v>
      </c>
      <c r="F86" s="28" t="n">
        <f aca="false">IF(N86&gt;0,E86*MAX(0,N86-MIN(J86,N86))/N86,IF(C86&gt;0,E86*(1-J86/C86),E86))</f>
        <v>5.76365625</v>
      </c>
      <c r="G86" s="28" t="n">
        <f aca="false">IF(N86&gt;0,E86*MAX(0,N86-MIN(K86,N86))/N86,IF(C86&gt;0,E86*(1-K86/C86),E86))</f>
        <v>5.76365625</v>
      </c>
      <c r="H86" s="28" t="n">
        <f aca="false">IF(N86&gt;0,E86*MAX(0,N86-MIN(L86,N86))/N86,IF(C86&gt;0,E86*(1-L86/C86),E86))</f>
        <v>5.76365625</v>
      </c>
      <c r="I86" s="28" t="n">
        <f aca="false">IF(N86&gt;0,E86*MAX(0,N86-MIN(M86,N86))/N86,IF(C86&gt;0,E86*(1-M86/C86),E86))</f>
        <v>5.76365625</v>
      </c>
      <c r="J86" s="37" t="n">
        <f aca="false">MIN(C86,MAX(0,F$59-SUMPRODUCT(($D$61:$D$90&gt;D86)*$C$61:$C$90)))</f>
        <v>0</v>
      </c>
      <c r="K86" s="37" t="n">
        <f aca="false">MIN(C86,MAX(0,G$59-SUMPRODUCT(($D$61:$D$90&gt;D86)*$C$61:$C$90)))</f>
        <v>0</v>
      </c>
      <c r="L86" s="37" t="n">
        <f aca="false">MIN(C86,MAX(0,H$59-SUMPRODUCT(($D$61:$D$90&gt;D86)*$C$61:$C$90)))</f>
        <v>0</v>
      </c>
      <c r="M86" s="37" t="n">
        <f aca="false">MIN(C86,MAX(0,I$59-SUMPRODUCT(($D$61:$D$90&gt;D86)*$C$61:$C$90)))</f>
        <v>0</v>
      </c>
      <c r="N86" s="37" t="n">
        <f aca="false">Channels!X30</f>
        <v>5763.65625</v>
      </c>
      <c r="O86" s="28" t="n">
        <f aca="false">IF(E86&gt;0,F86*Channels!V30/E86,0)</f>
        <v>13.5</v>
      </c>
      <c r="P86" s="28" t="n">
        <f aca="false">IF(E86&gt;0,G86*Channels!V30/E86,0)</f>
        <v>13.5</v>
      </c>
      <c r="Q86" s="28" t="n">
        <f aca="false">IF(E86&gt;0,H86*Channels!V30/E86,0)</f>
        <v>13.5</v>
      </c>
      <c r="R86" s="28" t="n">
        <f aca="false">IF(E86&gt;0,I86*Channels!V30/E86,0)</f>
        <v>13.5</v>
      </c>
    </row>
    <row r="87" customFormat="false" ht="15" hidden="true" customHeight="false" outlineLevel="1" collapsed="false">
      <c r="A87" s="2" t="str">
        <f aca="false">Channels!A31</f>
        <v>I1b-A</v>
      </c>
      <c r="B87" s="2" t="str">
        <f aca="false">Channels!C31</f>
        <v>Automation</v>
      </c>
      <c r="C87" s="37" t="n">
        <f aca="false">Channels!AA31</f>
        <v>1467.1125</v>
      </c>
      <c r="D87" s="41" t="n">
        <f aca="false">IF(ISNUMBER(Channels!AB31),Channels!AB31,0)+ROW()/1000000</f>
        <v>1000.000087</v>
      </c>
      <c r="E87" s="28" t="n">
        <f aca="false">Channels!U31</f>
        <v>1.4671125</v>
      </c>
      <c r="F87" s="28" t="n">
        <f aca="false">IF(N87&gt;0,E87*MAX(0,N87-MIN(J87,N87))/N87,IF(C87&gt;0,E87*(1-J87/C87),E87))</f>
        <v>1.4671125</v>
      </c>
      <c r="G87" s="28" t="n">
        <f aca="false">IF(N87&gt;0,E87*MAX(0,N87-MIN(K87,N87))/N87,IF(C87&gt;0,E87*(1-K87/C87),E87))</f>
        <v>1.4671125</v>
      </c>
      <c r="H87" s="28" t="n">
        <f aca="false">IF(N87&gt;0,E87*MAX(0,N87-MIN(L87,N87))/N87,IF(C87&gt;0,E87*(1-L87/C87),E87))</f>
        <v>1.4671125</v>
      </c>
      <c r="I87" s="28" t="n">
        <f aca="false">IF(N87&gt;0,E87*MAX(0,N87-MIN(M87,N87))/N87,IF(C87&gt;0,E87*(1-M87/C87),E87))</f>
        <v>1.4671125</v>
      </c>
      <c r="J87" s="37" t="n">
        <f aca="false">MIN(C87,MAX(0,F$59-SUMPRODUCT(($D$61:$D$90&gt;D87)*$C$61:$C$90)))</f>
        <v>0</v>
      </c>
      <c r="K87" s="37" t="n">
        <f aca="false">MIN(C87,MAX(0,G$59-SUMPRODUCT(($D$61:$D$90&gt;D87)*$C$61:$C$90)))</f>
        <v>0</v>
      </c>
      <c r="L87" s="37" t="n">
        <f aca="false">MIN(C87,MAX(0,H$59-SUMPRODUCT(($D$61:$D$90&gt;D87)*$C$61:$C$90)))</f>
        <v>0</v>
      </c>
      <c r="M87" s="37" t="n">
        <f aca="false">MIN(C87,MAX(0,I$59-SUMPRODUCT(($D$61:$D$90&gt;D87)*$C$61:$C$90)))</f>
        <v>0</v>
      </c>
      <c r="N87" s="37" t="n">
        <f aca="false">Channels!X31</f>
        <v>1467.1125</v>
      </c>
      <c r="O87" s="28" t="n">
        <f aca="false">IF(E87&gt;0,F87*Channels!V31/E87,0)</f>
        <v>4.5</v>
      </c>
      <c r="P87" s="28" t="n">
        <f aca="false">IF(E87&gt;0,G87*Channels!V31/E87,0)</f>
        <v>4.5</v>
      </c>
      <c r="Q87" s="28" t="n">
        <f aca="false">IF(E87&gt;0,H87*Channels!V31/E87,0)</f>
        <v>4.5</v>
      </c>
      <c r="R87" s="28" t="n">
        <f aca="false">IF(E87&gt;0,I87*Channels!V31/E87,0)</f>
        <v>4.5</v>
      </c>
    </row>
    <row r="88" customFormat="false" ht="15" hidden="true" customHeight="false" outlineLevel="1" collapsed="false">
      <c r="A88" s="2" t="str">
        <f aca="false">Channels!A32</f>
        <v>I1b-S</v>
      </c>
      <c r="B88" s="2" t="str">
        <f aca="false">Channels!C32</f>
        <v>Supervisors</v>
      </c>
      <c r="C88" s="37" t="n">
        <f aca="false">Channels!AA32</f>
        <v>738.99</v>
      </c>
      <c r="D88" s="41" t="n">
        <f aca="false">IF(ISNUMBER(Channels!AB32),Channels!AB32,0)+ROW()/1000000</f>
        <v>1000.000088</v>
      </c>
      <c r="E88" s="28" t="n">
        <f aca="false">Channels!U32</f>
        <v>0.73899</v>
      </c>
      <c r="F88" s="28" t="n">
        <f aca="false">IF(N88&gt;0,E88*MAX(0,N88-MIN(J88,N88))/N88,IF(C88&gt;0,E88*(1-J88/C88),E88))</f>
        <v>0.73899</v>
      </c>
      <c r="G88" s="28" t="n">
        <f aca="false">IF(N88&gt;0,E88*MAX(0,N88-MIN(K88,N88))/N88,IF(C88&gt;0,E88*(1-K88/C88),E88))</f>
        <v>0.73899</v>
      </c>
      <c r="H88" s="28" t="n">
        <f aca="false">IF(N88&gt;0,E88*MAX(0,N88-MIN(L88,N88))/N88,IF(C88&gt;0,E88*(1-L88/C88),E88))</f>
        <v>0.73899</v>
      </c>
      <c r="I88" s="28" t="n">
        <f aca="false">IF(N88&gt;0,E88*MAX(0,N88-MIN(M88,N88))/N88,IF(C88&gt;0,E88*(1-M88/C88),E88))</f>
        <v>0.73899</v>
      </c>
      <c r="J88" s="37" t="n">
        <f aca="false">MIN(C88,MAX(0,F$59-SUMPRODUCT(($D$61:$D$90&gt;D88)*$C$61:$C$90)))</f>
        <v>0</v>
      </c>
      <c r="K88" s="37" t="n">
        <f aca="false">MIN(C88,MAX(0,G$59-SUMPRODUCT(($D$61:$D$90&gt;D88)*$C$61:$C$90)))</f>
        <v>0</v>
      </c>
      <c r="L88" s="37" t="n">
        <f aca="false">MIN(C88,MAX(0,H$59-SUMPRODUCT(($D$61:$D$90&gt;D88)*$C$61:$C$90)))</f>
        <v>0</v>
      </c>
      <c r="M88" s="37" t="n">
        <f aca="false">MIN(C88,MAX(0,I$59-SUMPRODUCT(($D$61:$D$90&gt;D88)*$C$61:$C$90)))</f>
        <v>0</v>
      </c>
      <c r="N88" s="37" t="n">
        <f aca="false">Channels!X32</f>
        <v>738.99</v>
      </c>
      <c r="O88" s="28" t="n">
        <f aca="false">IF(E88&gt;0,F88*Channels!V32/E88,0)</f>
        <v>2.7</v>
      </c>
      <c r="P88" s="28" t="n">
        <f aca="false">IF(E88&gt;0,G88*Channels!V32/E88,0)</f>
        <v>2.7</v>
      </c>
      <c r="Q88" s="28" t="n">
        <f aca="false">IF(E88&gt;0,H88*Channels!V32/E88,0)</f>
        <v>2.7</v>
      </c>
      <c r="R88" s="28" t="n">
        <f aca="false">IF(E88&gt;0,I88*Channels!V32/E88,0)</f>
        <v>2.7</v>
      </c>
    </row>
    <row r="89" customFormat="false" ht="15" hidden="true" customHeight="false" outlineLevel="1" collapsed="false">
      <c r="A89" s="2" t="str">
        <f aca="false">Channels!A33</f>
        <v>I2-E</v>
      </c>
      <c r="B89" s="2" t="str">
        <f aca="false">Channels!C33</f>
        <v>Electricians</v>
      </c>
      <c r="C89" s="37" t="n">
        <f aca="false">Channels!AA33</f>
        <v>18000</v>
      </c>
      <c r="D89" s="41" t="n">
        <f aca="false">IF(ISNUMBER(Channels!AB33),Channels!AB33,0)+ROW()/1000000</f>
        <v>2116.40220540212</v>
      </c>
      <c r="E89" s="28" t="n">
        <f aca="false">Channels!U33</f>
        <v>8.505</v>
      </c>
      <c r="F89" s="28" t="n">
        <f aca="false">IF(N89&gt;0,E89*MAX(0,N89-MIN(J89,N89))/N89,IF(C89&gt;0,E89*(1-J89/C89),E89))</f>
        <v>8.505</v>
      </c>
      <c r="G89" s="28" t="n">
        <f aca="false">IF(N89&gt;0,E89*MAX(0,N89-MIN(K89,N89))/N89,IF(C89&gt;0,E89*(1-K89/C89),E89))</f>
        <v>8.505</v>
      </c>
      <c r="H89" s="28" t="n">
        <f aca="false">IF(N89&gt;0,E89*MAX(0,N89-MIN(L89,N89))/N89,IF(C89&gt;0,E89*(1-L89/C89),E89))</f>
        <v>8.505</v>
      </c>
      <c r="I89" s="28" t="n">
        <f aca="false">IF(N89&gt;0,E89*MAX(0,N89-MIN(M89,N89))/N89,IF(C89&gt;0,E89*(1-M89/C89),E89))</f>
        <v>8.505</v>
      </c>
      <c r="J89" s="37" t="n">
        <f aca="false">MIN(C89,MAX(0,F$59-SUMPRODUCT(($D$61:$D$90&gt;D89)*$C$61:$C$90)))</f>
        <v>0</v>
      </c>
      <c r="K89" s="37" t="n">
        <f aca="false">MIN(C89,MAX(0,G$59-SUMPRODUCT(($D$61:$D$90&gt;D89)*$C$61:$C$90)))</f>
        <v>0</v>
      </c>
      <c r="L89" s="37" t="n">
        <f aca="false">MIN(C89,MAX(0,H$59-SUMPRODUCT(($D$61:$D$90&gt;D89)*$C$61:$C$90)))</f>
        <v>0</v>
      </c>
      <c r="M89" s="37" t="n">
        <f aca="false">MIN(C89,MAX(0,I$59-SUMPRODUCT(($D$61:$D$90&gt;D89)*$C$61:$C$90)))</f>
        <v>0</v>
      </c>
      <c r="N89" s="37" t="n">
        <f aca="false">Channels!X33</f>
        <v>16800</v>
      </c>
      <c r="O89" s="28" t="n">
        <f aca="false">IF(E89&gt;0,F89*Channels!V33/E89,0)</f>
        <v>30</v>
      </c>
      <c r="P89" s="28" t="n">
        <f aca="false">IF(E89&gt;0,G89*Channels!V33/E89,0)</f>
        <v>30</v>
      </c>
      <c r="Q89" s="28" t="n">
        <f aca="false">IF(E89&gt;0,H89*Channels!V33/E89,0)</f>
        <v>30</v>
      </c>
      <c r="R89" s="28" t="n">
        <f aca="false">IF(E89&gt;0,I89*Channels!V33/E89,0)</f>
        <v>30</v>
      </c>
    </row>
    <row r="90" customFormat="false" ht="15" hidden="true" customHeight="false" outlineLevel="1" collapsed="false">
      <c r="A90" s="2" t="str">
        <f aca="false">Channels!A34</f>
        <v>I3-M</v>
      </c>
      <c r="B90" s="2" t="str">
        <f aca="false">Channels!C34</f>
        <v>Mechatronics</v>
      </c>
      <c r="C90" s="37" t="n">
        <f aca="false">Channels!AA34</f>
        <v>6893.50649350649</v>
      </c>
      <c r="D90" s="41" t="n">
        <f aca="false">IF(ISNUMBER(Channels!AB34),Channels!AB34,0)+ROW()/1000000</f>
        <v>382.972672972583</v>
      </c>
      <c r="E90" s="28" t="n">
        <f aca="false">Channels!U34</f>
        <v>18</v>
      </c>
      <c r="F90" s="28" t="n">
        <f aca="false">IF(N90&gt;0,E90*MAX(0,N90-MIN(J90,N90))/N90,IF(C90&gt;0,E90*(1-J90/C90),E90))</f>
        <v>18</v>
      </c>
      <c r="G90" s="28" t="n">
        <f aca="false">IF(N90&gt;0,E90*MAX(0,N90-MIN(K90,N90))/N90,IF(C90&gt;0,E90*(1-K90/C90),E90))</f>
        <v>18</v>
      </c>
      <c r="H90" s="28" t="n">
        <f aca="false">IF(N90&gt;0,E90*MAX(0,N90-MIN(L90,N90))/N90,IF(C90&gt;0,E90*(1-L90/C90),E90))</f>
        <v>18</v>
      </c>
      <c r="I90" s="28" t="n">
        <f aca="false">IF(N90&gt;0,E90*MAX(0,N90-MIN(M90,N90))/N90,IF(C90&gt;0,E90*(1-M90/C90),E90))</f>
        <v>18</v>
      </c>
      <c r="J90" s="37" t="n">
        <f aca="false">MIN(C90,MAX(0,F$59-SUMPRODUCT(($D$61:$D$90&gt;D90)*$C$61:$C$90)))</f>
        <v>0</v>
      </c>
      <c r="K90" s="37" t="n">
        <f aca="false">MIN(C90,MAX(0,G$59-SUMPRODUCT(($D$61:$D$90&gt;D90)*$C$61:$C$90)))</f>
        <v>0</v>
      </c>
      <c r="L90" s="37" t="n">
        <f aca="false">MIN(C90,MAX(0,H$59-SUMPRODUCT(($D$61:$D$90&gt;D90)*$C$61:$C$90)))</f>
        <v>0</v>
      </c>
      <c r="M90" s="37" t="n">
        <f aca="false">MIN(C90,MAX(0,I$59-SUMPRODUCT(($D$61:$D$90&gt;D90)*$C$61:$C$90)))</f>
        <v>0</v>
      </c>
      <c r="N90" s="37" t="n">
        <f aca="false">Channels!X34</f>
        <v>6493.50649350649</v>
      </c>
      <c r="O90" s="28" t="n">
        <f aca="false">IF(E90&gt;0,F90*Channels!V34/E90,0)</f>
        <v>48.4848484848485</v>
      </c>
      <c r="P90" s="28" t="n">
        <f aca="false">IF(E90&gt;0,G90*Channels!V34/E90,0)</f>
        <v>48.4848484848485</v>
      </c>
      <c r="Q90" s="28" t="n">
        <f aca="false">IF(E90&gt;0,H90*Channels!V34/E90,0)</f>
        <v>48.4848484848485</v>
      </c>
      <c r="R90" s="28" t="n">
        <f aca="false">IF(E90&gt;0,I90*Channels!V34/E90,0)</f>
        <v>48.4848484848485</v>
      </c>
    </row>
    <row r="91" customFormat="false" ht="15" hidden="false" customHeight="false" outlineLevel="0" collapsed="false">
      <c r="E91" s="24" t="s">
        <v>651</v>
      </c>
    </row>
    <row r="92" customFormat="false" ht="15" hidden="false" customHeight="false" outlineLevel="0" collapsed="false">
      <c r="E92" s="2" t="s">
        <v>50</v>
      </c>
      <c r="F92" s="28" t="n">
        <f aca="false">SUMIFS(F$61:F$90,$B$61:$B$90,$E92)*F$100</f>
        <v>30</v>
      </c>
      <c r="G92" s="28" t="n">
        <f aca="false">SUMIFS(G$61:G$90,$B$61:$B$90,$E92)*G$100</f>
        <v>30</v>
      </c>
      <c r="H92" s="28" t="n">
        <f aca="false">SUMIFS(H$61:H$90,$B$61:$B$90,$E92)*H$100</f>
        <v>29.859437849162</v>
      </c>
      <c r="I92" s="28" t="n">
        <f aca="false">SUMIFS(I$61:I$90,$B$61:$B$90,$E92)*I$100</f>
        <v>22.881639103945</v>
      </c>
    </row>
    <row r="93" customFormat="false" ht="15" hidden="false" customHeight="false" outlineLevel="0" collapsed="false">
      <c r="E93" s="2" t="s">
        <v>45</v>
      </c>
      <c r="F93" s="28" t="n">
        <f aca="false">SUMIFS(F$61:F$90,$B$61:$B$90,$E93)*F$100</f>
        <v>45</v>
      </c>
      <c r="G93" s="28" t="n">
        <f aca="false">SUMIFS(G$61:G$90,$B$61:$B$90,$E93)*G$100</f>
        <v>45</v>
      </c>
      <c r="H93" s="28" t="n">
        <f aca="false">SUMIFS(H$61:H$90,$B$61:$B$90,$E93)*H$100</f>
        <v>45</v>
      </c>
      <c r="I93" s="28" t="n">
        <f aca="false">SUMIFS(I$61:I$90,$B$61:$B$90,$E93)*I$100</f>
        <v>45</v>
      </c>
    </row>
    <row r="94" customFormat="false" ht="15" hidden="false" customHeight="false" outlineLevel="0" collapsed="false">
      <c r="E94" s="2" t="s">
        <v>55</v>
      </c>
      <c r="F94" s="28" t="n">
        <f aca="false">SUMIFS(F$61:F$90,$B$61:$B$90,$E94)*F$100</f>
        <v>15</v>
      </c>
      <c r="G94" s="28" t="n">
        <f aca="false">SUMIFS(G$61:G$90,$B$61:$B$90,$E94)*G$100</f>
        <v>15</v>
      </c>
      <c r="H94" s="28" t="n">
        <f aca="false">SUMIFS(H$61:H$90,$B$61:$B$90,$E94)*H$100</f>
        <v>13.3391161218711</v>
      </c>
      <c r="I94" s="28" t="n">
        <f aca="false">SUMIFS(I$61:I$90,$B$61:$B$90,$E94)*I$100</f>
        <v>10.11797325</v>
      </c>
    </row>
    <row r="95" customFormat="false" ht="15" hidden="false" customHeight="false" outlineLevel="0" collapsed="false">
      <c r="E95" s="2" t="s">
        <v>57</v>
      </c>
      <c r="F95" s="28" t="n">
        <f aca="false">SUMIFS(F$61:F$90,$B$61:$B$90,$E95)*F$100</f>
        <v>8.750308</v>
      </c>
      <c r="G95" s="28" t="n">
        <f aca="false">SUMIFS(G$61:G$90,$B$61:$B$90,$E95)*G$100</f>
        <v>5.33255888857614</v>
      </c>
      <c r="H95" s="28" t="n">
        <f aca="false">SUMIFS(H$61:H$90,$B$61:$B$90,$E95)*H$100</f>
        <v>1.560328</v>
      </c>
      <c r="I95" s="28" t="n">
        <f aca="false">SUMIFS(I$61:I$90,$B$61:$B$90,$E95)*I$100</f>
        <v>1.560328</v>
      </c>
    </row>
    <row r="96" customFormat="false" ht="15" hidden="false" customHeight="false" outlineLevel="0" collapsed="false">
      <c r="E96" s="24" t="s">
        <v>426</v>
      </c>
      <c r="F96" s="31" t="n">
        <f aca="false">SUM(F92:F95)</f>
        <v>98.750308</v>
      </c>
      <c r="G96" s="31" t="n">
        <f aca="false">SUM(G92:G95)</f>
        <v>95.3325588885761</v>
      </c>
      <c r="H96" s="31" t="n">
        <f aca="false">SUM(H92:H95)</f>
        <v>89.7588819710332</v>
      </c>
      <c r="I96" s="31" t="n">
        <f aca="false">SUM(I92:I95)</f>
        <v>79.559940353945</v>
      </c>
    </row>
    <row r="97" customFormat="false" ht="15" hidden="false" customHeight="false" outlineLevel="0" collapsed="false">
      <c r="E97" s="2" t="s">
        <v>622</v>
      </c>
      <c r="F97" s="37" t="n">
        <f aca="false">IF(F96&gt;0,F57/F96,0)</f>
        <v>2329.10665959644</v>
      </c>
      <c r="G97" s="37" t="n">
        <f aca="false">IF(G96&gt;0,G57/G96,0)</f>
        <v>2050.71595978556</v>
      </c>
      <c r="H97" s="37" t="n">
        <f aca="false">IF(H96&gt;0,H57/H96,0)</f>
        <v>1793.69435608565</v>
      </c>
      <c r="I97" s="37" t="n">
        <f aca="false">IF(I96&gt;0,I57/I96,0)</f>
        <v>1445.451058515</v>
      </c>
    </row>
    <row r="99" customFormat="false" ht="15" hidden="false" customHeight="false" outlineLevel="0" collapsed="false">
      <c r="E99" s="2" t="s">
        <v>652</v>
      </c>
      <c r="F99" s="28" t="n">
        <f aca="false">SUM(O61:O90)</f>
        <v>303.447269360269</v>
      </c>
      <c r="G99" s="28" t="n">
        <f aca="false">SUM(P61:P90)</f>
        <v>289.086978976135</v>
      </c>
      <c r="H99" s="28" t="n">
        <f aca="false">SUM(Q61:Q90)</f>
        <v>266.932543385373</v>
      </c>
      <c r="I99" s="28" t="n">
        <f aca="false">SUM(R61:R90)</f>
        <v>233.418745351629</v>
      </c>
    </row>
    <row r="100" customFormat="false" ht="15" hidden="false" customHeight="false" outlineLevel="0" collapsed="false">
      <c r="E100" s="2" t="s">
        <v>653</v>
      </c>
      <c r="F100" s="26" t="n">
        <f aca="false">IF(F99&gt;0,MIN(1,Funnel!$B$22/F99),1)</f>
        <v>1</v>
      </c>
      <c r="G100" s="26" t="n">
        <f aca="false">IF(G99&gt;0,MIN(1,Funnel!$B$22/G99),1)</f>
        <v>1</v>
      </c>
      <c r="H100" s="26" t="n">
        <f aca="false">IF(H99&gt;0,MIN(1,Funnel!$B$22/H99),1)</f>
        <v>1</v>
      </c>
      <c r="I100" s="26" t="n">
        <f aca="false">IF(I99&gt;0,MIN(1,Funnel!$B$22/I99),1)</f>
        <v>1</v>
      </c>
    </row>
    <row r="102" customFormat="false" ht="407.45" hidden="false" customHeight="false" outlineLevel="0" collapsed="false">
      <c r="A102" s="13" t="s">
        <v>654</v>
      </c>
    </row>
  </sheetData>
  <mergeCells count="1">
    <mergeCell ref="B50:I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655</v>
      </c>
    </row>
    <row r="2" customFormat="false" ht="15" hidden="false" customHeight="false" outlineLevel="0" collapsed="false">
      <c r="A2" s="2" t="s">
        <v>656</v>
      </c>
    </row>
    <row r="3" customFormat="false" ht="45" hidden="false" customHeight="true" outlineLevel="0" collapsed="false">
      <c r="A3" s="12" t="s">
        <v>657</v>
      </c>
      <c r="B3" s="12" t="s">
        <v>658</v>
      </c>
      <c r="C3" s="12" t="s">
        <v>659</v>
      </c>
      <c r="D3" s="12" t="s">
        <v>660</v>
      </c>
      <c r="E3" s="12" t="s">
        <v>661</v>
      </c>
      <c r="F3" s="12" t="s">
        <v>662</v>
      </c>
      <c r="G3" s="12" t="s">
        <v>663</v>
      </c>
      <c r="H3" s="12" t="s">
        <v>664</v>
      </c>
      <c r="I3" s="12" t="s">
        <v>665</v>
      </c>
      <c r="J3" s="12" t="s">
        <v>666</v>
      </c>
      <c r="K3" s="12" t="s">
        <v>667</v>
      </c>
      <c r="L3" s="12" t="s">
        <v>668</v>
      </c>
      <c r="M3" s="12" t="s">
        <v>669</v>
      </c>
      <c r="N3" s="12" t="s">
        <v>670</v>
      </c>
      <c r="O3" s="12" t="s">
        <v>671</v>
      </c>
      <c r="P3" s="12" t="s">
        <v>672</v>
      </c>
      <c r="Q3" s="12" t="s">
        <v>673</v>
      </c>
      <c r="R3" s="12" t="s">
        <v>674</v>
      </c>
      <c r="S3" s="12" t="s">
        <v>675</v>
      </c>
      <c r="T3" s="12" t="s">
        <v>676</v>
      </c>
      <c r="U3" s="12" t="s">
        <v>677</v>
      </c>
      <c r="V3" s="12" t="s">
        <v>678</v>
      </c>
      <c r="W3" s="12" t="s">
        <v>679</v>
      </c>
      <c r="X3" s="12" t="s">
        <v>680</v>
      </c>
      <c r="Y3" s="12" t="s">
        <v>681</v>
      </c>
      <c r="Z3" s="45" t="s">
        <v>682</v>
      </c>
    </row>
    <row r="4" customFormat="false" ht="15" hidden="false" customHeight="false" outlineLevel="0" collapsed="false">
      <c r="A4" s="25" t="n">
        <v>1</v>
      </c>
      <c r="B4" s="46" t="n">
        <f aca="false">Assumptions!$D$7+7*(A4-1)</f>
        <v>46315</v>
      </c>
      <c r="C4" s="46" t="n">
        <f aca="false">MIN(B4+6,Assumptions!$D$8)</f>
        <v>46321</v>
      </c>
      <c r="D4" s="26" t="n">
        <f aca="false">IF(SUMPRODUCT(($B$4:$B$14&lt;=Funnel!$B$19)*$Z$4:$Z$14)&gt;0,IF(B4&lt;=Funnel!$B$19,Z4,0)/SUMPRODUCT(($B$4:$B$14&lt;=Funnel!$B$19)*$Z$4:$Z$14),0)</f>
        <v>0.07</v>
      </c>
      <c r="E4" s="26" t="n">
        <f aca="false">IF(SUMPRODUCT(($B$4:$B$14&lt;=Funnel!$B$20)*$D$4:$D$14)&gt;0,IF(B4&lt;=Funnel!$B$20,D4,0)/SUMPRODUCT(($B$4:$B$14&lt;=Funnel!$B$20)*$D$4:$D$14),0)</f>
        <v>0.0933333333333333</v>
      </c>
      <c r="F4" s="26" t="n">
        <f aca="false">IF(A4-ROUNDUP(Funnel!$B$15/7,0)&gt;=1,INDEX($D$4:$D$14,A4-ROUNDUP(Funnel!$B$15/7,0)),0)</f>
        <v>0</v>
      </c>
      <c r="G4" s="26" t="n">
        <f aca="false">IF(A4-ROUNDUP(Funnel!$B$16/7,0)&gt;=1,INDEX($E$4:$E$14,A4-ROUNDUP(Funnel!$B$16/7,0)),0)</f>
        <v>0</v>
      </c>
      <c r="H4" s="37" t="n">
        <f aca="false">$F$19*D4+$F$20*E4+$F$31*Y4</f>
        <v>12371.3008611577</v>
      </c>
      <c r="I4" s="37" t="n">
        <f aca="false">IF(A4=1,$F$21,0)</f>
        <v>10143</v>
      </c>
      <c r="J4" s="37" t="n">
        <f aca="false">$F$22*F4+$F$23*G4</f>
        <v>0</v>
      </c>
      <c r="K4" s="37" t="n">
        <f aca="false">IF(A4=1,Budget!$C$6,0)</f>
        <v>1600</v>
      </c>
      <c r="L4" s="37" t="n">
        <f aca="false">$F$24*X4</f>
        <v>3600</v>
      </c>
      <c r="M4" s="37" t="n">
        <f aca="false">SUM(H4:L4)</f>
        <v>27714.3008611577</v>
      </c>
      <c r="N4" s="37" t="n">
        <f aca="false">SUM($M$4:M4)</f>
        <v>27714.3008611577</v>
      </c>
      <c r="O4" s="25" t="n">
        <f aca="false">(Funnel!$M$5+Funnel!$M$6+Funnel!$M$7-$F$27-$F$34)*D4+(Funnel!$M$8-$F$28-$F$35)*E4+($F$27+$F$28)*X4+($F$34+$F$35)*Y4</f>
        <v>205.15926107728</v>
      </c>
      <c r="P4" s="25" t="n">
        <f aca="false">(Funnel!$O$5+Funnel!$O$6+Funnel!$O$7-$F$25-$F$32)*D4+(Funnel!$O$8-$F$26-$F$33)*E4+($F$25+$F$26)*X4+($F$32+$F$33)*Y4</f>
        <v>28.9504808554256</v>
      </c>
      <c r="Q4" s="25" t="n">
        <f aca="false">Assumptions!$D$9*MAX(0,MIN(C4,Funnel!$B$17)-MAX(B4,Funnel!$B$13)+1)/7</f>
        <v>39.2857142857143</v>
      </c>
      <c r="R4" s="26" t="n">
        <f aca="false">IF(Q4&gt;0,P4/Q4,IF(P4&gt;0,9.99,0))</f>
        <v>0.736921330865379</v>
      </c>
      <c r="S4" s="2" t="str">
        <f aca="false">IF(P4&gt;Q4+0.5,"OVER "&amp;Assumptions!$D$9&amp;"/wk – pace down",IF(R4&gt;Assumptions!$D$106,"Full",IF(AND(Q4&gt;=Assumptions!$D$107,P4&lt;Assumptions!$D$107),"Under "&amp;Assumptions!$D$107&amp;" – release reserve","")))</f>
        <v/>
      </c>
      <c r="T4" s="28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28" t="n">
        <f aca="false">$F$38*(G4*(Budget!$G$24-$F$30-$F$37)+IF(A4-ROUNDUP(Funnel!$B$16/7,0)&gt;=1,INDEX($X$4:$X$14,A4-ROUNDUP(Funnel!$B$16/7,0))*$F$30+INDEX($Y$4:$Y$14,A4-ROUNDUP(Funnel!$B$16/7,0))*$F$37,0))</f>
        <v>0</v>
      </c>
      <c r="V4" s="28" t="n">
        <f aca="false">T4+U4</f>
        <v>0</v>
      </c>
      <c r="W4" s="28" t="n">
        <f aca="false">SUM($V$4:V4)</f>
        <v>0</v>
      </c>
      <c r="X4" s="26" t="n">
        <f aca="false">IF(A4=1,Assumptions!$D$50,IF(A4=2,1-Assumptions!$D$50,0))</f>
        <v>0.4</v>
      </c>
      <c r="Y4" s="26" t="n">
        <f aca="false">Assumptions!$D$97</f>
        <v>0.6</v>
      </c>
      <c r="Z4" s="26" t="n">
        <f aca="false">Assumptions!$D$55</f>
        <v>0.07</v>
      </c>
    </row>
    <row r="5" customFormat="false" ht="15" hidden="false" customHeight="false" outlineLevel="0" collapsed="false">
      <c r="A5" s="25" t="n">
        <v>2</v>
      </c>
      <c r="B5" s="46" t="n">
        <f aca="false">Assumptions!$D$7+7*(A5-1)</f>
        <v>46322</v>
      </c>
      <c r="C5" s="46" t="n">
        <f aca="false">MIN(B5+6,Assumptions!$D$8)</f>
        <v>46328</v>
      </c>
      <c r="D5" s="26" t="n">
        <f aca="false">IF(SUMPRODUCT(($B$4:$B$14&lt;=Funnel!$B$19)*$Z$4:$Z$14)&gt;0,IF(B5&lt;=Funnel!$B$19,Z5,0)/SUMPRODUCT(($B$4:$B$14&lt;=Funnel!$B$19)*$Z$4:$Z$14),0)</f>
        <v>0.11</v>
      </c>
      <c r="E5" s="26" t="n">
        <f aca="false">IF(SUMPRODUCT(($B$4:$B$14&lt;=Funnel!$B$20)*$D$4:$D$14)&gt;0,IF(B5&lt;=Funnel!$B$20,D5,0)/SUMPRODUCT(($B$4:$B$14&lt;=Funnel!$B$20)*$D$4:$D$14),0)</f>
        <v>0.146666666666667</v>
      </c>
      <c r="F5" s="26" t="n">
        <f aca="false">IF(A5-ROUNDUP(Funnel!$B$15/7,0)&gt;=1,INDEX($D$4:$D$14,A5-ROUNDUP(Funnel!$B$15/7,0)),0)</f>
        <v>0</v>
      </c>
      <c r="G5" s="26" t="n">
        <f aca="false">IF(A5-ROUNDUP(Funnel!$B$16/7,0)&gt;=1,INDEX($E$4:$E$14,A5-ROUNDUP(Funnel!$B$16/7,0)),0)</f>
        <v>0</v>
      </c>
      <c r="H5" s="37" t="n">
        <f aca="false">$F$19*D5+$F$20*E5+$F$31*Y5</f>
        <v>19413.9790675335</v>
      </c>
      <c r="I5" s="37" t="n">
        <f aca="false">IF(A5=1,$F$21,0)</f>
        <v>0</v>
      </c>
      <c r="J5" s="37" t="n">
        <f aca="false">$F$22*F5+$F$23*G5</f>
        <v>0</v>
      </c>
      <c r="K5" s="37" t="n">
        <f aca="false">IF(A5=1,Budget!$C$6,0)</f>
        <v>0</v>
      </c>
      <c r="L5" s="37" t="n">
        <f aca="false">$F$24*X5</f>
        <v>5400</v>
      </c>
      <c r="M5" s="37" t="n">
        <f aca="false">SUM(H5:L5)</f>
        <v>24813.9790675335</v>
      </c>
      <c r="N5" s="43" t="n">
        <f aca="false">SUM($M$4:M5)</f>
        <v>52528.2799286911</v>
      </c>
      <c r="O5" s="25" t="n">
        <f aca="false">(Funnel!$M$5+Funnel!$M$6+Funnel!$M$7-$F$27-$F$34)*D5+(Funnel!$M$8-$F$28-$F$35)*E5+($F$27+$F$28)*X5+($F$34+$F$35)*Y5</f>
        <v>309.77062569955</v>
      </c>
      <c r="P5" s="25" t="n">
        <f aca="false">(Funnel!$O$5+Funnel!$O$6+Funnel!$O$7-$F$25-$F$32)*D5+(Funnel!$O$8-$F$26-$F$33)*E5+($F$25+$F$26)*X5+($F$32+$F$33)*Y5</f>
        <v>39.9419159012661</v>
      </c>
      <c r="Q5" s="25" t="n">
        <f aca="false">Assumptions!$D$9*MAX(0,MIN(C5,Funnel!$B$17)-MAX(B5,Funnel!$B$13)+1)/7</f>
        <v>55</v>
      </c>
      <c r="R5" s="26" t="n">
        <f aca="false">IF(Q5&gt;0,P5/Q5,IF(P5&gt;0,9.99,0))</f>
        <v>0.726216652750293</v>
      </c>
      <c r="S5" s="2" t="str">
        <f aca="false">IF(P5&gt;Q5+0.5,"OVER "&amp;Assumptions!$D$9&amp;"/wk – pace down",IF(R5&gt;Assumptions!$D$106,"Full",IF(AND(Q5&gt;=Assumptions!$D$107,P5&lt;Assumptions!$D$107),"Under "&amp;Assumptions!$D$107&amp;" – release reserve","")))</f>
        <v>Under 45 – release reserve</v>
      </c>
      <c r="T5" s="28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28" t="n">
        <f aca="false">$F$38*(G5*(Budget!$G$24-$F$30-$F$37)+IF(A5-ROUNDUP(Funnel!$B$16/7,0)&gt;=1,INDEX($X$4:$X$14,A5-ROUNDUP(Funnel!$B$16/7,0))*$F$30+INDEX($Y$4:$Y$14,A5-ROUNDUP(Funnel!$B$16/7,0))*$F$37,0))</f>
        <v>0</v>
      </c>
      <c r="V5" s="28" t="n">
        <f aca="false">T5+U5</f>
        <v>0</v>
      </c>
      <c r="W5" s="28" t="n">
        <f aca="false">SUM($V$4:V5)</f>
        <v>0</v>
      </c>
      <c r="X5" s="26" t="n">
        <f aca="false">IF(A5=1,Assumptions!$D$50,IF(A5=2,1-Assumptions!$D$50,0))</f>
        <v>0.6</v>
      </c>
      <c r="Y5" s="26" t="n">
        <f aca="false">Assumptions!$D$98</f>
        <v>0.29</v>
      </c>
      <c r="Z5" s="26" t="n">
        <f aca="false">Assumptions!$D$56</f>
        <v>0.11</v>
      </c>
    </row>
    <row r="6" customFormat="false" ht="15" hidden="false" customHeight="false" outlineLevel="0" collapsed="false">
      <c r="A6" s="25" t="n">
        <v>3</v>
      </c>
      <c r="B6" s="46" t="n">
        <f aca="false">Assumptions!$D$7+7*(A6-1)</f>
        <v>46329</v>
      </c>
      <c r="C6" s="46" t="n">
        <f aca="false">MIN(B6+6,Assumptions!$D$8)</f>
        <v>46335</v>
      </c>
      <c r="D6" s="26" t="n">
        <f aca="false">IF(SUMPRODUCT(($B$4:$B$14&lt;=Funnel!$B$19)*$Z$4:$Z$14)&gt;0,IF(B6&lt;=Funnel!$B$19,Z6,0)/SUMPRODUCT(($B$4:$B$14&lt;=Funnel!$B$19)*$Z$4:$Z$14),0)</f>
        <v>0.16</v>
      </c>
      <c r="E6" s="26" t="n">
        <f aca="false">IF(SUMPRODUCT(($B$4:$B$14&lt;=Funnel!$B$20)*$D$4:$D$14)&gt;0,IF(B6&lt;=Funnel!$B$20,D6,0)/SUMPRODUCT(($B$4:$B$14&lt;=Funnel!$B$20)*$D$4:$D$14),0)</f>
        <v>0.213333333333333</v>
      </c>
      <c r="F6" s="26" t="n">
        <f aca="false">IF(A6-ROUNDUP(Funnel!$B$15/7,0)&gt;=1,INDEX($D$4:$D$14,A6-ROUNDUP(Funnel!$B$15/7,0)),0)</f>
        <v>0</v>
      </c>
      <c r="G6" s="26" t="n">
        <f aca="false">IF(A6-ROUNDUP(Funnel!$B$16/7,0)&gt;=1,INDEX($E$4:$E$14,A6-ROUNDUP(Funnel!$B$16/7,0)),0)</f>
        <v>0</v>
      </c>
      <c r="H6" s="37" t="n">
        <f aca="false">$F$19*D6+$F$20*E6+$F$31*Y6</f>
        <v>28225.7928255032</v>
      </c>
      <c r="I6" s="37" t="n">
        <f aca="false">IF(A6=1,$F$21,0)</f>
        <v>0</v>
      </c>
      <c r="J6" s="37" t="n">
        <f aca="false">$F$22*F6+$F$23*G6</f>
        <v>0</v>
      </c>
      <c r="K6" s="37" t="n">
        <f aca="false">IF(A6=1,Budget!$C$6,0)</f>
        <v>0</v>
      </c>
      <c r="L6" s="37" t="n">
        <f aca="false">$F$24*X6</f>
        <v>0</v>
      </c>
      <c r="M6" s="37" t="n">
        <f aca="false">SUM(H6:L6)</f>
        <v>28225.7928255032</v>
      </c>
      <c r="N6" s="37" t="n">
        <f aca="false">SUM($M$4:M6)</f>
        <v>80754.0727541943</v>
      </c>
      <c r="O6" s="25" t="n">
        <f aca="false">(Funnel!$M$5+Funnel!$M$6+Funnel!$M$7-$F$27-$F$34)*D6+(Funnel!$M$8-$F$28-$F$35)*E6+($F$27+$F$28)*X6+($F$34+$F$35)*Y6</f>
        <v>385.377090676181</v>
      </c>
      <c r="P6" s="25" t="n">
        <f aca="false">(Funnel!$O$5+Funnel!$O$6+Funnel!$O$7-$F$25-$F$32)*D6+(Funnel!$O$8-$F$26-$F$33)*E6+($F$25+$F$26)*X6+($F$32+$F$33)*Y6</f>
        <v>48.6990277800864</v>
      </c>
      <c r="Q6" s="25" t="n">
        <f aca="false">Assumptions!$D$9*MAX(0,MIN(C6,Funnel!$B$17)-MAX(B6,Funnel!$B$13)+1)/7</f>
        <v>55</v>
      </c>
      <c r="R6" s="26" t="n">
        <f aca="false">IF(Q6&gt;0,P6/Q6,IF(P6&gt;0,9.99,0))</f>
        <v>0.885436868728844</v>
      </c>
      <c r="S6" s="2" t="str">
        <f aca="false">IF(P6&gt;Q6+0.5,"OVER "&amp;Assumptions!$D$9&amp;"/wk – pace down",IF(R6&gt;Assumptions!$D$106,"Full",IF(AND(Q6&gt;=Assumptions!$D$107,P6&lt;Assumptions!$D$107),"Under "&amp;Assumptions!$D$107&amp;" – release reserve","")))</f>
        <v/>
      </c>
      <c r="T6" s="28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28" t="n">
        <f aca="false">$F$38*(G6*(Budget!$G$24-$F$30-$F$37)+IF(A6-ROUNDUP(Funnel!$B$16/7,0)&gt;=1,INDEX($X$4:$X$14,A6-ROUNDUP(Funnel!$B$16/7,0))*$F$30+INDEX($Y$4:$Y$14,A6-ROUNDUP(Funnel!$B$16/7,0))*$F$37,0))</f>
        <v>0</v>
      </c>
      <c r="V6" s="28" t="n">
        <f aca="false">T6+U6</f>
        <v>0</v>
      </c>
      <c r="W6" s="28" t="n">
        <f aca="false">SUM($V$4:V6)</f>
        <v>0</v>
      </c>
      <c r="X6" s="26" t="n">
        <f aca="false">IF(A6=1,Assumptions!$D$50,IF(A6=2,1-Assumptions!$D$50,0))</f>
        <v>0</v>
      </c>
      <c r="Y6" s="26" t="n">
        <f aca="false">Assumptions!$D$99</f>
        <v>0.11</v>
      </c>
      <c r="Z6" s="26" t="n">
        <f aca="false">Assumptions!$D$57</f>
        <v>0.16</v>
      </c>
    </row>
    <row r="7" customFormat="false" ht="15" hidden="false" customHeight="false" outlineLevel="0" collapsed="false">
      <c r="A7" s="25" t="n">
        <v>4</v>
      </c>
      <c r="B7" s="46" t="n">
        <f aca="false">Assumptions!$D$7+7*(A7-1)</f>
        <v>46336</v>
      </c>
      <c r="C7" s="46" t="n">
        <f aca="false">MIN(B7+6,Assumptions!$D$8)</f>
        <v>46342</v>
      </c>
      <c r="D7" s="26" t="n">
        <f aca="false">IF(SUMPRODUCT(($B$4:$B$14&lt;=Funnel!$B$19)*$Z$4:$Z$14)&gt;0,IF(B7&lt;=Funnel!$B$19,Z7,0)/SUMPRODUCT(($B$4:$B$14&lt;=Funnel!$B$19)*$Z$4:$Z$14),0)</f>
        <v>0.205</v>
      </c>
      <c r="E7" s="26" t="n">
        <f aca="false">IF(SUMPRODUCT(($B$4:$B$14&lt;=Funnel!$B$20)*$D$4:$D$14)&gt;0,IF(B7&lt;=Funnel!$B$20,D7,0)/SUMPRODUCT(($B$4:$B$14&lt;=Funnel!$B$20)*$D$4:$D$14),0)</f>
        <v>0.273333333333333</v>
      </c>
      <c r="F7" s="26" t="n">
        <f aca="false">IF(A7-ROUNDUP(Funnel!$B$15/7,0)&gt;=1,INDEX($D$4:$D$14,A7-ROUNDUP(Funnel!$B$15/7,0)),0)</f>
        <v>0.07</v>
      </c>
      <c r="G7" s="26" t="n">
        <f aca="false">IF(A7-ROUNDUP(Funnel!$B$16/7,0)&gt;=1,INDEX($E$4:$E$14,A7-ROUNDUP(Funnel!$B$16/7,0)),0)</f>
        <v>0</v>
      </c>
      <c r="H7" s="37" t="n">
        <f aca="false">$F$19*D7+$F$20*E7+$F$31*Y7</f>
        <v>36158.546807676</v>
      </c>
      <c r="I7" s="37" t="n">
        <f aca="false">IF(A7=1,$F$21,0)</f>
        <v>0</v>
      </c>
      <c r="J7" s="37" t="n">
        <f aca="false">$F$22*F7+$F$23*G7</f>
        <v>734.3713125</v>
      </c>
      <c r="K7" s="37" t="n">
        <f aca="false">IF(A7=1,Budget!$C$6,0)</f>
        <v>0</v>
      </c>
      <c r="L7" s="37" t="n">
        <f aca="false">$F$24*X7</f>
        <v>0</v>
      </c>
      <c r="M7" s="37" t="n">
        <f aca="false">SUM(H7:L7)</f>
        <v>36892.918120176</v>
      </c>
      <c r="N7" s="37" t="n">
        <f aca="false">SUM($M$4:M7)</f>
        <v>117646.99087437</v>
      </c>
      <c r="O7" s="25" t="n">
        <f aca="false">(Funnel!$M$5+Funnel!$M$6+Funnel!$M$7-$F$27-$F$34)*D7+(Funnel!$M$8-$F$28-$F$35)*E7+($F$27+$F$28)*X7+($F$34+$F$35)*Y7</f>
        <v>491.464297428856</v>
      </c>
      <c r="P7" s="25" t="n">
        <f aca="false">(Funnel!$O$5+Funnel!$O$6+Funnel!$O$7-$F$25-$F$32)*D7+(Funnel!$O$8-$F$26-$F$33)*E7+($F$25+$F$26)*X7+($F$32+$F$33)*Y7</f>
        <v>61.2455793432357</v>
      </c>
      <c r="Q7" s="25" t="n">
        <f aca="false">Assumptions!$D$9*MAX(0,MIN(C7,Funnel!$B$17)-MAX(B7,Funnel!$B$13)+1)/7</f>
        <v>55</v>
      </c>
      <c r="R7" s="26" t="n">
        <f aca="false">IF(Q7&gt;0,P7/Q7,IF(P7&gt;0,9.99,0))</f>
        <v>1.11355598805883</v>
      </c>
      <c r="S7" s="2" t="str">
        <f aca="false">IF(P7&gt;Q7+0.5,"OVER "&amp;Assumptions!$D$9&amp;"/wk – pace down",IF(R7&gt;Assumptions!$D$106,"Full",IF(AND(Q7&gt;=Assumptions!$D$107,P7&lt;Assumptions!$D$107),"Under "&amp;Assumptions!$D$107&amp;" – release reserve","")))</f>
        <v>OVER 55/wk – pace down</v>
      </c>
      <c r="T7" s="28" t="n">
        <f aca="false">$F$38*(F7*(Budget!$G$21+Budget!$G$22+Budget!$G$23-$F$29-$F$36)+IF(A7-ROUNDUP(Funnel!$B$15/7,0)&gt;=1,INDEX($X$4:$X$14,A7-ROUNDUP(Funnel!$B$15/7,0))*$F$29+INDEX($Y$4:$Y$14,A7-ROUNDUP(Funnel!$B$15/7,0))*$F$36,0))</f>
        <v>8.50195338571749</v>
      </c>
      <c r="U7" s="28" t="n">
        <f aca="false">$F$38*(G7*(Budget!$G$24-$F$30-$F$37)+IF(A7-ROUNDUP(Funnel!$B$16/7,0)&gt;=1,INDEX($X$4:$X$14,A7-ROUNDUP(Funnel!$B$16/7,0))*$F$30+INDEX($Y$4:$Y$14,A7-ROUNDUP(Funnel!$B$16/7,0))*$F$37,0))</f>
        <v>0</v>
      </c>
      <c r="V7" s="28" t="n">
        <f aca="false">T7+U7</f>
        <v>8.50195338571749</v>
      </c>
      <c r="W7" s="28" t="n">
        <f aca="false">SUM($V$4:V7)</f>
        <v>8.50195338571749</v>
      </c>
      <c r="X7" s="26" t="n">
        <f aca="false">IF(A7=1,Assumptions!$D$50,IF(A7=2,1-Assumptions!$D$50,0))</f>
        <v>0</v>
      </c>
      <c r="Y7" s="26" t="n">
        <f aca="false">0</f>
        <v>0</v>
      </c>
      <c r="Z7" s="26" t="n">
        <f aca="false">Assumptions!$D$58</f>
        <v>0.205</v>
      </c>
    </row>
    <row r="8" customFormat="false" ht="15" hidden="false" customHeight="false" outlineLevel="0" collapsed="false">
      <c r="A8" s="25" t="n">
        <v>5</v>
      </c>
      <c r="B8" s="46" t="n">
        <f aca="false">Assumptions!$D$7+7*(A8-1)</f>
        <v>46343</v>
      </c>
      <c r="C8" s="46" t="n">
        <f aca="false">MIN(B8+6,Assumptions!$D$8)</f>
        <v>46349</v>
      </c>
      <c r="D8" s="26" t="n">
        <f aca="false">IF(SUMPRODUCT(($B$4:$B$14&lt;=Funnel!$B$19)*$Z$4:$Z$14)&gt;0,IF(B8&lt;=Funnel!$B$19,Z8,0)/SUMPRODUCT(($B$4:$B$14&lt;=Funnel!$B$19)*$Z$4:$Z$14),0)</f>
        <v>0.205</v>
      </c>
      <c r="E8" s="26" t="n">
        <f aca="false">IF(SUMPRODUCT(($B$4:$B$14&lt;=Funnel!$B$20)*$D$4:$D$14)&gt;0,IF(B8&lt;=Funnel!$B$20,D8,0)/SUMPRODUCT(($B$4:$B$14&lt;=Funnel!$B$20)*$D$4:$D$14),0)</f>
        <v>0.273333333333333</v>
      </c>
      <c r="F8" s="26" t="n">
        <f aca="false">IF(A8-ROUNDUP(Funnel!$B$15/7,0)&gt;=1,INDEX($D$4:$D$14,A8-ROUNDUP(Funnel!$B$15/7,0)),0)</f>
        <v>0.11</v>
      </c>
      <c r="G8" s="26" t="n">
        <f aca="false">IF(A8-ROUNDUP(Funnel!$B$16/7,0)&gt;=1,INDEX($E$4:$E$14,A8-ROUNDUP(Funnel!$B$16/7,0)),0)</f>
        <v>0.0933333333333333</v>
      </c>
      <c r="H8" s="37" t="n">
        <f aca="false">$F$19*D8+$F$20*E8+$F$31*Y8</f>
        <v>36158.546807676</v>
      </c>
      <c r="I8" s="37" t="n">
        <f aca="false">IF(A8=1,$F$21,0)</f>
        <v>0</v>
      </c>
      <c r="J8" s="37" t="n">
        <f aca="false">$F$22*F8+$F$23*G8</f>
        <v>1222.9844625</v>
      </c>
      <c r="K8" s="37" t="n">
        <f aca="false">IF(A8=1,Budget!$C$6,0)</f>
        <v>0</v>
      </c>
      <c r="L8" s="37" t="n">
        <f aca="false">$F$24*X8</f>
        <v>0</v>
      </c>
      <c r="M8" s="37" t="n">
        <f aca="false">SUM(H8:L8)</f>
        <v>37381.531270176</v>
      </c>
      <c r="N8" s="37" t="n">
        <f aca="false">SUM($M$4:M8)</f>
        <v>155028.522144546</v>
      </c>
      <c r="O8" s="25" t="n">
        <f aca="false">(Funnel!$M$5+Funnel!$M$6+Funnel!$M$7-$F$27-$F$34)*D8+(Funnel!$M$8-$F$28-$F$35)*E8+($F$27+$F$28)*X8+($F$34+$F$35)*Y8</f>
        <v>491.464297428856</v>
      </c>
      <c r="P8" s="25" t="n">
        <f aca="false">(Funnel!$O$5+Funnel!$O$6+Funnel!$O$7-$F$25-$F$32)*D8+(Funnel!$O$8-$F$26-$F$33)*E8+($F$25+$F$26)*X8+($F$32+$F$33)*Y8</f>
        <v>61.2455793432357</v>
      </c>
      <c r="Q8" s="25" t="n">
        <f aca="false">Assumptions!$D$9*MAX(0,MIN(C8,Funnel!$B$17)-MAX(B8,Funnel!$B$13)+1)/7</f>
        <v>55</v>
      </c>
      <c r="R8" s="26" t="n">
        <f aca="false">IF(Q8&gt;0,P8/Q8,IF(P8&gt;0,9.99,0))</f>
        <v>1.11355598805883</v>
      </c>
      <c r="S8" s="2" t="str">
        <f aca="false">IF(P8&gt;Q8+0.5,"OVER "&amp;Assumptions!$D$9&amp;"/wk – pace down",IF(R8&gt;Assumptions!$D$106,"Full",IF(AND(Q8&gt;=Assumptions!$D$107,P8&lt;Assumptions!$D$107),"Under "&amp;Assumptions!$D$107&amp;" – release reserve","")))</f>
        <v>OVER 55/wk – pace down</v>
      </c>
      <c r="T8" s="28" t="n">
        <f aca="false">$F$38*(F8*(Budget!$G$21+Budget!$G$22+Budget!$G$23-$F$29-$F$36)+IF(A8-ROUNDUP(Funnel!$B$15/7,0)&gt;=1,INDEX($X$4:$X$14,A8-ROUNDUP(Funnel!$B$15/7,0))*$F$29+INDEX($Y$4:$Y$14,A8-ROUNDUP(Funnel!$B$15/7,0))*$F$36,0))</f>
        <v>11.4427649155351</v>
      </c>
      <c r="U8" s="28" t="n">
        <f aca="false">$F$38*(G8*(Budget!$G$24-$F$30-$F$37)+IF(A8-ROUNDUP(Funnel!$B$16/7,0)&gt;=1,INDEX($X$4:$X$14,A8-ROUNDUP(Funnel!$B$16/7,0))*$F$30+INDEX($Y$4:$Y$14,A8-ROUNDUP(Funnel!$B$16/7,0))*$F$37,0))</f>
        <v>1.03681339729981</v>
      </c>
      <c r="V8" s="28" t="n">
        <f aca="false">T8+U8</f>
        <v>12.4795783128349</v>
      </c>
      <c r="W8" s="28" t="n">
        <f aca="false">SUM($V$4:V8)</f>
        <v>20.9815316985524</v>
      </c>
      <c r="X8" s="26" t="n">
        <f aca="false">IF(A8=1,Assumptions!$D$50,IF(A8=2,1-Assumptions!$D$50,0))</f>
        <v>0</v>
      </c>
      <c r="Y8" s="26" t="n">
        <f aca="false">0</f>
        <v>0</v>
      </c>
      <c r="Z8" s="26" t="n">
        <f aca="false">Assumptions!$D$59</f>
        <v>0.205</v>
      </c>
    </row>
    <row r="9" customFormat="false" ht="15" hidden="false" customHeight="false" outlineLevel="0" collapsed="false">
      <c r="A9" s="25" t="n">
        <v>6</v>
      </c>
      <c r="B9" s="46" t="n">
        <f aca="false">Assumptions!$D$7+7*(A9-1)</f>
        <v>46350</v>
      </c>
      <c r="C9" s="46" t="n">
        <f aca="false">MIN(B9+6,Assumptions!$D$8)</f>
        <v>46356</v>
      </c>
      <c r="D9" s="26" t="n">
        <f aca="false">IF(SUMPRODUCT(($B$4:$B$14&lt;=Funnel!$B$19)*$Z$4:$Z$14)&gt;0,IF(B9&lt;=Funnel!$B$19,Z9,0)/SUMPRODUCT(($B$4:$B$14&lt;=Funnel!$B$19)*$Z$4:$Z$14),0)</f>
        <v>0.25</v>
      </c>
      <c r="E9" s="26" t="n">
        <f aca="false">IF(SUMPRODUCT(($B$4:$B$14&lt;=Funnel!$B$20)*$D$4:$D$14)&gt;0,IF(B9&lt;=Funnel!$B$20,D9,0)/SUMPRODUCT(($B$4:$B$14&lt;=Funnel!$B$20)*$D$4:$D$14),0)</f>
        <v>0</v>
      </c>
      <c r="F9" s="26" t="n">
        <f aca="false">IF(A9-ROUNDUP(Funnel!$B$15/7,0)&gt;=1,INDEX($D$4:$D$14,A9-ROUNDUP(Funnel!$B$15/7,0)),0)</f>
        <v>0.16</v>
      </c>
      <c r="G9" s="26" t="n">
        <f aca="false">IF(A9-ROUNDUP(Funnel!$B$16/7,0)&gt;=1,INDEX($E$4:$E$14,A9-ROUNDUP(Funnel!$B$16/7,0)),0)</f>
        <v>0.146666666666667</v>
      </c>
      <c r="H9" s="37" t="n">
        <f aca="false">$F$19*D9+$F$20*E9+$F$31*Y9</f>
        <v>29122.4554565154</v>
      </c>
      <c r="I9" s="37" t="n">
        <f aca="false">IF(A9=1,$F$21,0)</f>
        <v>0</v>
      </c>
      <c r="J9" s="37" t="n">
        <f aca="false">$F$22*F9+$F$23*G9</f>
        <v>1786.9482</v>
      </c>
      <c r="K9" s="37" t="n">
        <f aca="false">IF(A9=1,Budget!$C$6,0)</f>
        <v>0</v>
      </c>
      <c r="L9" s="37" t="n">
        <f aca="false">$F$24*X9</f>
        <v>0</v>
      </c>
      <c r="M9" s="37" t="n">
        <f aca="false">SUM(H9:L9)</f>
        <v>30909.4036565154</v>
      </c>
      <c r="N9" s="37" t="n">
        <f aca="false">SUM($M$4:M9)</f>
        <v>185937.925801062</v>
      </c>
      <c r="O9" s="25" t="n">
        <f aca="false">(Funnel!$M$5+Funnel!$M$6+Funnel!$M$7-$F$27-$F$34)*D9+(Funnel!$M$8-$F$28-$F$35)*E9+($F$27+$F$28)*X9+($F$34+$F$35)*Y9</f>
        <v>477.233647257281</v>
      </c>
      <c r="P9" s="25" t="n">
        <f aca="false">(Funnel!$O$5+Funnel!$O$6+Funnel!$O$7-$F$25-$F$32)*D9+(Funnel!$O$8-$F$26-$F$33)*E9+($F$25+$F$26)*X9+($F$32+$F$33)*Y9</f>
        <v>63.3646861370199</v>
      </c>
      <c r="Q9" s="25" t="n">
        <f aca="false">Assumptions!$D$9*MAX(0,MIN(C9,Funnel!$B$17)-MAX(B9,Funnel!$B$13)+1)/7</f>
        <v>55</v>
      </c>
      <c r="R9" s="26" t="n">
        <f aca="false">IF(Q9&gt;0,P9/Q9,IF(P9&gt;0,9.99,0))</f>
        <v>1.15208520249127</v>
      </c>
      <c r="S9" s="2" t="str">
        <f aca="false">IF(P9&gt;Q9+0.5,"OVER "&amp;Assumptions!$D$9&amp;"/wk – pace down",IF(R9&gt;Assumptions!$D$106,"Full",IF(AND(Q9&gt;=Assumptions!$D$107,P9&lt;Assumptions!$D$107),"Under "&amp;Assumptions!$D$107&amp;" – release reserve","")))</f>
        <v>OVER 55/wk – pace down</v>
      </c>
      <c r="T9" s="28" t="n">
        <f aca="false">$F$38*(F9*(Budget!$G$21+Budget!$G$22+Budget!$G$23-$F$29-$F$36)+IF(A9-ROUNDUP(Funnel!$B$15/7,0)&gt;=1,INDEX($X$4:$X$14,A9-ROUNDUP(Funnel!$B$15/7,0))*$F$29+INDEX($Y$4:$Y$14,A9-ROUNDUP(Funnel!$B$15/7,0))*$F$36,0))</f>
        <v>13.9212059701824</v>
      </c>
      <c r="U9" s="28" t="n">
        <f aca="false">$F$38*(G9*(Budget!$G$24-$F$30-$F$37)+IF(A9-ROUNDUP(Funnel!$B$16/7,0)&gt;=1,INDEX($X$4:$X$14,A9-ROUNDUP(Funnel!$B$16/7,0))*$F$30+INDEX($Y$4:$Y$14,A9-ROUNDUP(Funnel!$B$16/7,0))*$F$37,0))</f>
        <v>1.4695260290519</v>
      </c>
      <c r="V9" s="28" t="n">
        <f aca="false">T9+U9</f>
        <v>15.3907319992343</v>
      </c>
      <c r="W9" s="28" t="n">
        <f aca="false">SUM($V$4:V9)</f>
        <v>36.3722636977867</v>
      </c>
      <c r="X9" s="26" t="n">
        <f aca="false">IF(A9=1,Assumptions!$D$50,IF(A9=2,1-Assumptions!$D$50,0))</f>
        <v>0</v>
      </c>
      <c r="Y9" s="26" t="n">
        <f aca="false">0</f>
        <v>0</v>
      </c>
      <c r="Z9" s="26" t="n">
        <f aca="false">Assumptions!$D$60</f>
        <v>0.25</v>
      </c>
    </row>
    <row r="10" customFormat="false" ht="15" hidden="false" customHeight="false" outlineLevel="0" collapsed="false">
      <c r="A10" s="25" t="n">
        <v>7</v>
      </c>
      <c r="B10" s="46" t="n">
        <f aca="false">Assumptions!$D$7+7*(A10-1)</f>
        <v>46357</v>
      </c>
      <c r="C10" s="46" t="n">
        <f aca="false">MIN(B10+6,Assumptions!$D$8)</f>
        <v>46363</v>
      </c>
      <c r="D10" s="26" t="n">
        <f aca="false">IF(SUMPRODUCT(($B$4:$B$14&lt;=Funnel!$B$19)*$Z$4:$Z$14)&gt;0,IF(B10&lt;=Funnel!$B$19,Z10,0)/SUMPRODUCT(($B$4:$B$14&lt;=Funnel!$B$19)*$Z$4:$Z$14),0)</f>
        <v>0</v>
      </c>
      <c r="E10" s="26" t="n">
        <f aca="false">IF(SUMPRODUCT(($B$4:$B$14&lt;=Funnel!$B$20)*$D$4:$D$14)&gt;0,IF(B10&lt;=Funnel!$B$20,D10,0)/SUMPRODUCT(($B$4:$B$14&lt;=Funnel!$B$20)*$D$4:$D$14),0)</f>
        <v>0</v>
      </c>
      <c r="F10" s="26" t="n">
        <f aca="false">IF(A10-ROUNDUP(Funnel!$B$15/7,0)&gt;=1,INDEX($D$4:$D$14,A10-ROUNDUP(Funnel!$B$15/7,0)),0)</f>
        <v>0.205</v>
      </c>
      <c r="G10" s="26" t="n">
        <f aca="false">IF(A10-ROUNDUP(Funnel!$B$16/7,0)&gt;=1,INDEX($E$4:$E$14,A10-ROUNDUP(Funnel!$B$16/7,0)),0)</f>
        <v>0.213333333333333</v>
      </c>
      <c r="H10" s="37" t="n">
        <f aca="false">$F$19*D10+$F$20*E10+$F$31*Y10</f>
        <v>0</v>
      </c>
      <c r="I10" s="37" t="n">
        <f aca="false">IF(A10=1,$F$21,0)</f>
        <v>0</v>
      </c>
      <c r="J10" s="37" t="n">
        <f aca="false">$F$22*F10+$F$23*G10</f>
        <v>2308.31004375</v>
      </c>
      <c r="K10" s="37" t="n">
        <f aca="false">IF(A10=1,Budget!$C$6,0)</f>
        <v>0</v>
      </c>
      <c r="L10" s="37" t="n">
        <f aca="false">$F$24*X10</f>
        <v>0</v>
      </c>
      <c r="M10" s="37" t="n">
        <f aca="false">SUM(H10:L10)</f>
        <v>2308.31004375</v>
      </c>
      <c r="N10" s="37" t="n">
        <f aca="false">SUM($M$4:M10)</f>
        <v>188246.235844812</v>
      </c>
      <c r="O10" s="25" t="n">
        <f aca="false">(Funnel!$M$5+Funnel!$M$6+Funnel!$M$7-$F$27-$F$34)*D10+(Funnel!$M$8-$F$28-$F$35)*E10+($F$27+$F$28)*X10+($F$34+$F$35)*Y10</f>
        <v>0</v>
      </c>
      <c r="P10" s="25" t="n">
        <f aca="false">(Funnel!$O$5+Funnel!$O$6+Funnel!$O$7-$F$25-$F$32)*D10+(Funnel!$O$8-$F$26-$F$33)*E10+($F$25+$F$26)*X10+($F$32+$F$33)*Y10</f>
        <v>0</v>
      </c>
      <c r="Q10" s="25" t="n">
        <f aca="false">Assumptions!$D$9*MAX(0,MIN(C10,Funnel!$B$17)-MAX(B10,Funnel!$B$13)+1)/7</f>
        <v>0</v>
      </c>
      <c r="R10" s="26" t="n">
        <f aca="false">IF(Q10&gt;0,P10/Q10,IF(P10&gt;0,9.99,0))</f>
        <v>0</v>
      </c>
      <c r="S10" s="2" t="str">
        <f aca="false">IF(P10&gt;Q10+0.5,"OVER "&amp;Assumptions!$D$9&amp;"/wk – pace down",IF(R10&gt;Assumptions!$D$106,"Full",IF(AND(Q10&gt;=Assumptions!$D$107,P10&lt;Assumptions!$D$107),"Under "&amp;Assumptions!$D$107&amp;" – release reserve","")))</f>
        <v/>
      </c>
      <c r="T10" s="28" t="n">
        <f aca="false">$F$38*(F10*(Budget!$G$21+Budget!$G$22+Budget!$G$23-$F$29-$F$36)+IF(A10-ROUNDUP(Funnel!$B$15/7,0)&gt;=1,INDEX($X$4:$X$14,A10-ROUNDUP(Funnel!$B$15/7,0))*$F$29+INDEX($Y$4:$Y$14,A10-ROUNDUP(Funnel!$B$15/7,0))*$F$36,0))</f>
        <v>17.4355841278119</v>
      </c>
      <c r="U10" s="28" t="n">
        <f aca="false">$F$38*(G10*(Budget!$G$24-$F$30-$F$37)+IF(A10-ROUNDUP(Funnel!$B$16/7,0)&gt;=1,INDEX($X$4:$X$14,A10-ROUNDUP(Funnel!$B$16/7,0))*$F$30+INDEX($Y$4:$Y$14,A10-ROUNDUP(Funnel!$B$16/7,0))*$F$37,0))</f>
        <v>1.77088389926969</v>
      </c>
      <c r="V10" s="28" t="n">
        <f aca="false">T10+U10</f>
        <v>19.2064680270816</v>
      </c>
      <c r="W10" s="28" t="n">
        <f aca="false">SUM($V$4:V10)</f>
        <v>55.5787317248683</v>
      </c>
      <c r="X10" s="26" t="n">
        <f aca="false">IF(A10=1,Assumptions!$D$50,IF(A10=2,1-Assumptions!$D$50,0))</f>
        <v>0</v>
      </c>
      <c r="Y10" s="26" t="n">
        <f aca="false">0</f>
        <v>0</v>
      </c>
      <c r="Z10" s="26" t="n">
        <f aca="false">Assumptions!$D$61</f>
        <v>0</v>
      </c>
    </row>
    <row r="11" customFormat="false" ht="15" hidden="false" customHeight="false" outlineLevel="0" collapsed="false">
      <c r="A11" s="25" t="n">
        <v>8</v>
      </c>
      <c r="B11" s="46" t="n">
        <f aca="false">Assumptions!$D$7+7*(A11-1)</f>
        <v>46364</v>
      </c>
      <c r="C11" s="46" t="n">
        <f aca="false">MIN(B11+6,Assumptions!$D$8)</f>
        <v>46370</v>
      </c>
      <c r="D11" s="26" t="n">
        <f aca="false">IF(SUMPRODUCT(($B$4:$B$14&lt;=Funnel!$B$19)*$Z$4:$Z$14)&gt;0,IF(B11&lt;=Funnel!$B$19,Z11,0)/SUMPRODUCT(($B$4:$B$14&lt;=Funnel!$B$19)*$Z$4:$Z$14),0)</f>
        <v>0</v>
      </c>
      <c r="E11" s="26" t="n">
        <f aca="false">IF(SUMPRODUCT(($B$4:$B$14&lt;=Funnel!$B$20)*$D$4:$D$14)&gt;0,IF(B11&lt;=Funnel!$B$20,D11,0)/SUMPRODUCT(($B$4:$B$14&lt;=Funnel!$B$20)*$D$4:$D$14),0)</f>
        <v>0</v>
      </c>
      <c r="F11" s="26" t="n">
        <f aca="false">IF(A11-ROUNDUP(Funnel!$B$15/7,0)&gt;=1,INDEX($D$4:$D$14,A11-ROUNDUP(Funnel!$B$15/7,0)),0)</f>
        <v>0.205</v>
      </c>
      <c r="G11" s="26" t="n">
        <f aca="false">IF(A11-ROUNDUP(Funnel!$B$16/7,0)&gt;=1,INDEX($E$4:$E$14,A11-ROUNDUP(Funnel!$B$16/7,0)),0)</f>
        <v>0.273333333333333</v>
      </c>
      <c r="H11" s="37" t="n">
        <f aca="false">$F$19*D11+$F$20*E11+$F$31*Y11</f>
        <v>0</v>
      </c>
      <c r="I11" s="37" t="n">
        <f aca="false">IF(A11=1,$F$21,0)</f>
        <v>0</v>
      </c>
      <c r="J11" s="37" t="n">
        <f aca="false">$F$22*F11+$F$23*G11</f>
        <v>2352.64944375</v>
      </c>
      <c r="K11" s="37" t="n">
        <f aca="false">IF(A11=1,Budget!$C$6,0)</f>
        <v>0</v>
      </c>
      <c r="L11" s="37" t="n">
        <f aca="false">$F$24*X11</f>
        <v>0</v>
      </c>
      <c r="M11" s="37" t="n">
        <f aca="false">SUM(H11:L11)</f>
        <v>2352.64944375</v>
      </c>
      <c r="N11" s="37" t="n">
        <f aca="false">SUM($M$4:M11)</f>
        <v>190598.885288562</v>
      </c>
      <c r="O11" s="25" t="n">
        <f aca="false">(Funnel!$M$5+Funnel!$M$6+Funnel!$M$7-$F$27-$F$34)*D11+(Funnel!$M$8-$F$28-$F$35)*E11+($F$27+$F$28)*X11+($F$34+$F$35)*Y11</f>
        <v>0</v>
      </c>
      <c r="P11" s="25" t="n">
        <f aca="false">(Funnel!$O$5+Funnel!$O$6+Funnel!$O$7-$F$25-$F$32)*D11+(Funnel!$O$8-$F$26-$F$33)*E11+($F$25+$F$26)*X11+($F$32+$F$33)*Y11</f>
        <v>0</v>
      </c>
      <c r="Q11" s="25" t="n">
        <f aca="false">Assumptions!$D$9*MAX(0,MIN(C11,Funnel!$B$17)-MAX(B11,Funnel!$B$13)+1)/7</f>
        <v>0</v>
      </c>
      <c r="R11" s="26" t="n">
        <f aca="false">IF(Q11&gt;0,P11/Q11,IF(P11&gt;0,9.99,0))</f>
        <v>0</v>
      </c>
      <c r="S11" s="2" t="str">
        <f aca="false">IF(P11&gt;Q11+0.5,"OVER "&amp;Assumptions!$D$9&amp;"/wk – pace down",IF(R11&gt;Assumptions!$D$106,"Full",IF(AND(Q11&gt;=Assumptions!$D$107,P11&lt;Assumptions!$D$107),"Under "&amp;Assumptions!$D$107&amp;" – release reserve","")))</f>
        <v/>
      </c>
      <c r="T11" s="28" t="n">
        <f aca="false">$F$38*(F11*(Budget!$G$21+Budget!$G$22+Budget!$G$23-$F$29-$F$36)+IF(A11-ROUNDUP(Funnel!$B$15/7,0)&gt;=1,INDEX($X$4:$X$14,A11-ROUNDUP(Funnel!$B$15/7,0))*$F$29+INDEX($Y$4:$Y$14,A11-ROUNDUP(Funnel!$B$15/7,0))*$F$36,0))</f>
        <v>17.4355841278119</v>
      </c>
      <c r="U11" s="28" t="n">
        <f aca="false">$F$38*(G11*(Budget!$G$24-$F$30-$F$37)+IF(A11-ROUNDUP(Funnel!$B$16/7,0)&gt;=1,INDEX($X$4:$X$14,A11-ROUNDUP(Funnel!$B$16/7,0))*$F$30+INDEX($Y$4:$Y$14,A11-ROUNDUP(Funnel!$B$16/7,0))*$F$37,0))</f>
        <v>2.2365423371893</v>
      </c>
      <c r="V11" s="28" t="n">
        <f aca="false">T11+U11</f>
        <v>19.6721264650012</v>
      </c>
      <c r="W11" s="28" t="n">
        <f aca="false">SUM($V$4:V11)</f>
        <v>75.2508581898694</v>
      </c>
      <c r="X11" s="26" t="n">
        <f aca="false">IF(A11=1,Assumptions!$D$50,IF(A11=2,1-Assumptions!$D$50,0))</f>
        <v>0</v>
      </c>
      <c r="Y11" s="26" t="n">
        <f aca="false">0</f>
        <v>0</v>
      </c>
      <c r="Z11" s="26" t="n">
        <f aca="false">Assumptions!$D$62</f>
        <v>0</v>
      </c>
    </row>
    <row r="12" customFormat="false" ht="15" hidden="false" customHeight="false" outlineLevel="0" collapsed="false">
      <c r="A12" s="25" t="n">
        <v>9</v>
      </c>
      <c r="B12" s="46" t="n">
        <f aca="false">Assumptions!$D$7+7*(A12-1)</f>
        <v>46371</v>
      </c>
      <c r="C12" s="46" t="n">
        <f aca="false">MIN(B12+6,Assumptions!$D$8)</f>
        <v>46377</v>
      </c>
      <c r="D12" s="26" t="n">
        <f aca="false">IF(SUMPRODUCT(($B$4:$B$14&lt;=Funnel!$B$19)*$Z$4:$Z$14)&gt;0,IF(B12&lt;=Funnel!$B$19,Z12,0)/SUMPRODUCT(($B$4:$B$14&lt;=Funnel!$B$19)*$Z$4:$Z$14),0)</f>
        <v>0</v>
      </c>
      <c r="E12" s="26" t="n">
        <f aca="false">IF(SUMPRODUCT(($B$4:$B$14&lt;=Funnel!$B$20)*$D$4:$D$14)&gt;0,IF(B12&lt;=Funnel!$B$20,D12,0)/SUMPRODUCT(($B$4:$B$14&lt;=Funnel!$B$20)*$D$4:$D$14),0)</f>
        <v>0</v>
      </c>
      <c r="F12" s="26" t="n">
        <f aca="false">IF(A12-ROUNDUP(Funnel!$B$15/7,0)&gt;=1,INDEX($D$4:$D$14,A12-ROUNDUP(Funnel!$B$15/7,0)),0)</f>
        <v>0.25</v>
      </c>
      <c r="G12" s="26" t="n">
        <f aca="false">IF(A12-ROUNDUP(Funnel!$B$16/7,0)&gt;=1,INDEX($E$4:$E$14,A12-ROUNDUP(Funnel!$B$16/7,0)),0)</f>
        <v>0.273333333333333</v>
      </c>
      <c r="H12" s="37" t="n">
        <f aca="false">$F$19*D12+$F$20*E12+$F$31*Y12</f>
        <v>0</v>
      </c>
      <c r="I12" s="37" t="n">
        <f aca="false">IF(A12=1,$F$21,0)</f>
        <v>0</v>
      </c>
      <c r="J12" s="37" t="n">
        <f aca="false">$F$22*F12+$F$23*G12</f>
        <v>2824.7452875</v>
      </c>
      <c r="K12" s="37" t="n">
        <f aca="false">IF(A12=1,Budget!$C$6,0)</f>
        <v>0</v>
      </c>
      <c r="L12" s="37" t="n">
        <f aca="false">$F$24*X12</f>
        <v>0</v>
      </c>
      <c r="M12" s="37" t="n">
        <f aca="false">SUM(H12:L12)</f>
        <v>2824.7452875</v>
      </c>
      <c r="N12" s="37" t="n">
        <f aca="false">SUM($M$4:M12)</f>
        <v>193423.630576062</v>
      </c>
      <c r="O12" s="25" t="n">
        <f aca="false">(Funnel!$M$5+Funnel!$M$6+Funnel!$M$7-$F$27-$F$34)*D12+(Funnel!$M$8-$F$28-$F$35)*E12+($F$27+$F$28)*X12+($F$34+$F$35)*Y12</f>
        <v>0</v>
      </c>
      <c r="P12" s="25" t="n">
        <f aca="false">(Funnel!$O$5+Funnel!$O$6+Funnel!$O$7-$F$25-$F$32)*D12+(Funnel!$O$8-$F$26-$F$33)*E12+($F$25+$F$26)*X12+($F$32+$F$33)*Y12</f>
        <v>0</v>
      </c>
      <c r="Q12" s="25" t="n">
        <f aca="false">Assumptions!$D$9*MAX(0,MIN(C12,Funnel!$B$17)-MAX(B12,Funnel!$B$13)+1)/7</f>
        <v>0</v>
      </c>
      <c r="R12" s="26" t="n">
        <f aca="false">IF(Q12&gt;0,P12/Q12,IF(P12&gt;0,9.99,0))</f>
        <v>0</v>
      </c>
      <c r="S12" s="2" t="str">
        <f aca="false">IF(P12&gt;Q12+0.5,"OVER "&amp;Assumptions!$D$9&amp;"/wk – pace down",IF(R12&gt;Assumptions!$D$106,"Full",IF(AND(Q12&gt;=Assumptions!$D$107,P12&lt;Assumptions!$D$107),"Under "&amp;Assumptions!$D$107&amp;" – release reserve","")))</f>
        <v/>
      </c>
      <c r="T12" s="28" t="n">
        <f aca="false">$F$38*(F12*(Budget!$G$21+Budget!$G$22+Budget!$G$23-$F$29-$F$36)+IF(A12-ROUNDUP(Funnel!$B$15/7,0)&gt;=1,INDEX($X$4:$X$14,A12-ROUNDUP(Funnel!$B$15/7,0))*$F$29+INDEX($Y$4:$Y$14,A12-ROUNDUP(Funnel!$B$15/7,0))*$F$36,0))</f>
        <v>21.2629074729413</v>
      </c>
      <c r="U12" s="28" t="n">
        <f aca="false">$F$38*(G12*(Budget!$G$24-$F$30-$F$37)+IF(A12-ROUNDUP(Funnel!$B$16/7,0)&gt;=1,INDEX($X$4:$X$14,A12-ROUNDUP(Funnel!$B$16/7,0))*$F$30+INDEX($Y$4:$Y$14,A12-ROUNDUP(Funnel!$B$16/7,0))*$F$37,0))</f>
        <v>2.2365423371893</v>
      </c>
      <c r="V12" s="28" t="n">
        <f aca="false">T12+U12</f>
        <v>23.4994498101306</v>
      </c>
      <c r="W12" s="28" t="n">
        <f aca="false">SUM($V$4:V12)</f>
        <v>98.750308</v>
      </c>
      <c r="X12" s="26" t="n">
        <f aca="false">IF(A12=1,Assumptions!$D$50,IF(A12=2,1-Assumptions!$D$50,0))</f>
        <v>0</v>
      </c>
      <c r="Y12" s="26" t="n">
        <f aca="false">0</f>
        <v>0</v>
      </c>
      <c r="Z12" s="26" t="n">
        <f aca="false">Assumptions!$D$63</f>
        <v>0</v>
      </c>
    </row>
    <row r="13" customFormat="false" ht="15" hidden="false" customHeight="false" outlineLevel="0" collapsed="false">
      <c r="A13" s="25" t="n">
        <v>10</v>
      </c>
      <c r="B13" s="46" t="n">
        <f aca="false">Assumptions!$D$7+7*(A13-1)</f>
        <v>46378</v>
      </c>
      <c r="C13" s="46" t="n">
        <f aca="false">MIN(B13+6,Assumptions!$D$8)</f>
        <v>46384</v>
      </c>
      <c r="D13" s="26" t="n">
        <f aca="false">IF(SUMPRODUCT(($B$4:$B$14&lt;=Funnel!$B$19)*$Z$4:$Z$14)&gt;0,IF(B13&lt;=Funnel!$B$19,Z13,0)/SUMPRODUCT(($B$4:$B$14&lt;=Funnel!$B$19)*$Z$4:$Z$14),0)</f>
        <v>0</v>
      </c>
      <c r="E13" s="26" t="n">
        <f aca="false">IF(SUMPRODUCT(($B$4:$B$14&lt;=Funnel!$B$20)*$D$4:$D$14)&gt;0,IF(B13&lt;=Funnel!$B$20,D13,0)/SUMPRODUCT(($B$4:$B$14&lt;=Funnel!$B$20)*$D$4:$D$14),0)</f>
        <v>0</v>
      </c>
      <c r="F13" s="26" t="n">
        <f aca="false">IF(A13-ROUNDUP(Funnel!$B$15/7,0)&gt;=1,INDEX($D$4:$D$14,A13-ROUNDUP(Funnel!$B$15/7,0)),0)</f>
        <v>0</v>
      </c>
      <c r="G13" s="26" t="n">
        <f aca="false">IF(A13-ROUNDUP(Funnel!$B$16/7,0)&gt;=1,INDEX($E$4:$E$14,A13-ROUNDUP(Funnel!$B$16/7,0)),0)</f>
        <v>0</v>
      </c>
      <c r="H13" s="37" t="n">
        <f aca="false">$F$19*D13+$F$20*E13+$F$31*Y13</f>
        <v>0</v>
      </c>
      <c r="I13" s="37" t="n">
        <f aca="false">IF(A13=1,$F$21,0)</f>
        <v>0</v>
      </c>
      <c r="J13" s="37" t="n">
        <f aca="false">$F$22*F13+$F$23*G13</f>
        <v>0</v>
      </c>
      <c r="K13" s="37" t="n">
        <f aca="false">IF(A13=1,Budget!$C$6,0)</f>
        <v>0</v>
      </c>
      <c r="L13" s="37" t="n">
        <f aca="false">$F$24*X13</f>
        <v>0</v>
      </c>
      <c r="M13" s="37" t="n">
        <f aca="false">SUM(H13:L13)</f>
        <v>0</v>
      </c>
      <c r="N13" s="37" t="n">
        <f aca="false">SUM($M$4:M13)</f>
        <v>193423.630576062</v>
      </c>
      <c r="O13" s="25" t="n">
        <f aca="false">(Funnel!$M$5+Funnel!$M$6+Funnel!$M$7-$F$27-$F$34)*D13+(Funnel!$M$8-$F$28-$F$35)*E13+($F$27+$F$28)*X13+($F$34+$F$35)*Y13</f>
        <v>0</v>
      </c>
      <c r="P13" s="25" t="n">
        <f aca="false">(Funnel!$O$5+Funnel!$O$6+Funnel!$O$7-$F$25-$F$32)*D13+(Funnel!$O$8-$F$26-$F$33)*E13+($F$25+$F$26)*X13+($F$32+$F$33)*Y13</f>
        <v>0</v>
      </c>
      <c r="Q13" s="25" t="n">
        <f aca="false">Assumptions!$D$9*MAX(0,MIN(C13,Funnel!$B$17)-MAX(B13,Funnel!$B$13)+1)/7</f>
        <v>0</v>
      </c>
      <c r="R13" s="26" t="n">
        <f aca="false">IF(Q13&gt;0,P13/Q13,IF(P13&gt;0,9.99,0))</f>
        <v>0</v>
      </c>
      <c r="S13" s="2" t="str">
        <f aca="false">IF(P13&gt;Q13+0.5,"OVER "&amp;Assumptions!$D$9&amp;"/wk – pace down",IF(R13&gt;Assumptions!$D$106,"Full",IF(AND(Q13&gt;=Assumptions!$D$107,P13&lt;Assumptions!$D$107),"Under "&amp;Assumptions!$D$107&amp;" – release reserve","")))</f>
        <v/>
      </c>
      <c r="T13" s="28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28" t="n">
        <f aca="false">$F$38*(G13*(Budget!$G$24-$F$30-$F$37)+IF(A13-ROUNDUP(Funnel!$B$16/7,0)&gt;=1,INDEX($X$4:$X$14,A13-ROUNDUP(Funnel!$B$16/7,0))*$F$30+INDEX($Y$4:$Y$14,A13-ROUNDUP(Funnel!$B$16/7,0))*$F$37,0))</f>
        <v>0</v>
      </c>
      <c r="V13" s="28" t="n">
        <f aca="false">T13+U13</f>
        <v>0</v>
      </c>
      <c r="W13" s="28" t="n">
        <f aca="false">SUM($V$4:V13)</f>
        <v>98.750308</v>
      </c>
      <c r="X13" s="26" t="n">
        <f aca="false">IF(A13=1,Assumptions!$D$50,IF(A13=2,1-Assumptions!$D$50,0))</f>
        <v>0</v>
      </c>
      <c r="Y13" s="26" t="n">
        <f aca="false">0</f>
        <v>0</v>
      </c>
      <c r="Z13" s="26" t="n">
        <f aca="false">Assumptions!$D$64</f>
        <v>0</v>
      </c>
    </row>
    <row r="14" customFormat="false" ht="15" hidden="false" customHeight="false" outlineLevel="0" collapsed="false">
      <c r="A14" s="25" t="n">
        <v>11</v>
      </c>
      <c r="B14" s="46" t="n">
        <f aca="false">Assumptions!$D$7+7*(A14-1)</f>
        <v>46385</v>
      </c>
      <c r="C14" s="46" t="n">
        <f aca="false">MIN(B14+6,Assumptions!$D$8)</f>
        <v>46387</v>
      </c>
      <c r="D14" s="26" t="n">
        <f aca="false">IF(SUMPRODUCT(($B$4:$B$14&lt;=Funnel!$B$19)*$Z$4:$Z$14)&gt;0,IF(B14&lt;=Funnel!$B$19,Z14,0)/SUMPRODUCT(($B$4:$B$14&lt;=Funnel!$B$19)*$Z$4:$Z$14),0)</f>
        <v>0</v>
      </c>
      <c r="E14" s="26" t="n">
        <f aca="false">IF(SUMPRODUCT(($B$4:$B$14&lt;=Funnel!$B$20)*$D$4:$D$14)&gt;0,IF(B14&lt;=Funnel!$B$20,D14,0)/SUMPRODUCT(($B$4:$B$14&lt;=Funnel!$B$20)*$D$4:$D$14),0)</f>
        <v>0</v>
      </c>
      <c r="F14" s="26" t="n">
        <f aca="false">IF(A14-ROUNDUP(Funnel!$B$15/7,0)&gt;=1,INDEX($D$4:$D$14,A14-ROUNDUP(Funnel!$B$15/7,0)),0)</f>
        <v>0</v>
      </c>
      <c r="G14" s="26" t="n">
        <f aca="false">IF(A14-ROUNDUP(Funnel!$B$16/7,0)&gt;=1,INDEX($E$4:$E$14,A14-ROUNDUP(Funnel!$B$16/7,0)),0)</f>
        <v>0</v>
      </c>
      <c r="H14" s="37" t="n">
        <f aca="false">$F$19*D14+$F$20*E14+$F$31*Y14</f>
        <v>0</v>
      </c>
      <c r="I14" s="37" t="n">
        <f aca="false">IF(A14=1,$F$21,0)</f>
        <v>0</v>
      </c>
      <c r="J14" s="37" t="n">
        <f aca="false">$F$22*F14+$F$23*G14</f>
        <v>0</v>
      </c>
      <c r="K14" s="37" t="n">
        <f aca="false">IF(A14=1,Budget!$C$6,0)</f>
        <v>0</v>
      </c>
      <c r="L14" s="37" t="n">
        <f aca="false">$F$24*X14</f>
        <v>0</v>
      </c>
      <c r="M14" s="37" t="n">
        <f aca="false">SUM(H14:L14)</f>
        <v>0</v>
      </c>
      <c r="N14" s="37" t="n">
        <f aca="false">SUM($M$4:M14)</f>
        <v>193423.630576062</v>
      </c>
      <c r="O14" s="25" t="n">
        <f aca="false">(Funnel!$M$5+Funnel!$M$6+Funnel!$M$7-$F$27-$F$34)*D14+(Funnel!$M$8-$F$28-$F$35)*E14+($F$27+$F$28)*X14+($F$34+$F$35)*Y14</f>
        <v>0</v>
      </c>
      <c r="P14" s="25" t="n">
        <f aca="false">(Funnel!$O$5+Funnel!$O$6+Funnel!$O$7-$F$25-$F$32)*D14+(Funnel!$O$8-$F$26-$F$33)*E14+($F$25+$F$26)*X14+($F$32+$F$33)*Y14</f>
        <v>0</v>
      </c>
      <c r="Q14" s="25" t="n">
        <f aca="false">Assumptions!$D$9*MAX(0,MIN(C14,Funnel!$B$17)-MAX(B14,Funnel!$B$13)+1)/7</f>
        <v>0</v>
      </c>
      <c r="R14" s="26" t="n">
        <f aca="false">IF(Q14&gt;0,P14/Q14,IF(P14&gt;0,9.99,0))</f>
        <v>0</v>
      </c>
      <c r="S14" s="2" t="str">
        <f aca="false">IF(P14&gt;Q14+0.5,"OVER "&amp;Assumptions!$D$9&amp;"/wk – pace down",IF(R14&gt;Assumptions!$D$106,"Full",IF(AND(Q14&gt;=Assumptions!$D$107,P14&lt;Assumptions!$D$107),"Under "&amp;Assumptions!$D$107&amp;" – release reserve","")))</f>
        <v/>
      </c>
      <c r="T14" s="28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28" t="n">
        <f aca="false">$F$38*(G14*(Budget!$G$24-$F$30-$F$37)+IF(A14-ROUNDUP(Funnel!$B$16/7,0)&gt;=1,INDEX($X$4:$X$14,A14-ROUNDUP(Funnel!$B$16/7,0))*$F$30+INDEX($Y$4:$Y$14,A14-ROUNDUP(Funnel!$B$16/7,0))*$F$37,0))</f>
        <v>0</v>
      </c>
      <c r="V14" s="28" t="n">
        <f aca="false">T14+U14</f>
        <v>0</v>
      </c>
      <c r="W14" s="28" t="n">
        <f aca="false">SUM($V$4:V14)</f>
        <v>98.750308</v>
      </c>
      <c r="X14" s="26" t="n">
        <f aca="false">IF(A14=1,Assumptions!$D$50,IF(A14=2,1-Assumptions!$D$50,0))</f>
        <v>0</v>
      </c>
      <c r="Y14" s="26" t="n">
        <f aca="false">0</f>
        <v>0</v>
      </c>
      <c r="Z14" s="26" t="n">
        <f aca="false">Assumptions!$D$65</f>
        <v>0</v>
      </c>
    </row>
    <row r="15" customFormat="false" ht="15" hidden="false" customHeight="false" outlineLevel="0" collapsed="false">
      <c r="A15" s="24" t="s">
        <v>426</v>
      </c>
      <c r="D15" s="47" t="n">
        <f aca="false">SUM(D4:D14)</f>
        <v>1</v>
      </c>
      <c r="E15" s="47" t="n">
        <f aca="false">SUM(E4:E14)</f>
        <v>1</v>
      </c>
      <c r="F15" s="47" t="n">
        <f aca="false">SUM(F4:F14)</f>
        <v>1</v>
      </c>
      <c r="G15" s="47" t="n">
        <f aca="false">SUM(G4:G14)</f>
        <v>1</v>
      </c>
      <c r="H15" s="38" t="n">
        <f aca="false">SUM(H4:H14)</f>
        <v>161450.621826062</v>
      </c>
      <c r="I15" s="38" t="n">
        <f aca="false">SUM(I4:I14)</f>
        <v>10143</v>
      </c>
      <c r="J15" s="38" t="n">
        <f aca="false">SUM(J4:J14)</f>
        <v>11230.00875</v>
      </c>
      <c r="K15" s="38" t="n">
        <f aca="false">SUM(K4:K14)</f>
        <v>1600</v>
      </c>
      <c r="L15" s="38" t="n">
        <f aca="false">SUM(L4:L14)</f>
        <v>9000</v>
      </c>
      <c r="M15" s="38" t="n">
        <f aca="false">SUM(M4:M14)</f>
        <v>193423.630576062</v>
      </c>
      <c r="O15" s="31" t="n">
        <f aca="false">SUM(O4:O14)</f>
        <v>2360.469219568</v>
      </c>
      <c r="P15" s="31" t="n">
        <f aca="false">SUM(P4:P14)</f>
        <v>303.447269360269</v>
      </c>
      <c r="Q15" s="31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1" t="n">
        <f aca="false">SUM(T4:T14)</f>
        <v>90</v>
      </c>
      <c r="U15" s="31" t="n">
        <f aca="false">SUM(U4:U14)</f>
        <v>8.750308</v>
      </c>
      <c r="V15" s="31" t="n">
        <f aca="false">SUM(V4:V14)</f>
        <v>98.750308</v>
      </c>
      <c r="X15" s="47" t="n">
        <f aca="false">SUM(X4:X14)</f>
        <v>1</v>
      </c>
      <c r="Y15" s="31" t="n">
        <f aca="false">SUM(Y4:Y14)</f>
        <v>1</v>
      </c>
      <c r="Z15" s="31" t="n">
        <f aca="false">SUM(Z4:Z14)</f>
        <v>1</v>
      </c>
    </row>
    <row r="16" customFormat="false" ht="30" hidden="false" customHeight="true" outlineLevel="0" collapsed="false">
      <c r="A16" s="9" t="s">
        <v>683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4" t="s">
        <v>684</v>
      </c>
    </row>
    <row r="19" customFormat="false" ht="15" hidden="false" customHeight="false" outlineLevel="0" collapsed="false">
      <c r="B19" s="2" t="s">
        <v>685</v>
      </c>
      <c r="F19" s="37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116489.821826062</v>
      </c>
    </row>
    <row r="20" customFormat="false" ht="15" hidden="false" customHeight="false" outlineLevel="0" collapsed="false">
      <c r="B20" s="2" t="s">
        <v>686</v>
      </c>
      <c r="F20" s="37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44920</v>
      </c>
    </row>
    <row r="21" customFormat="false" ht="15" hidden="false" customHeight="false" outlineLevel="0" collapsed="false">
      <c r="B21" s="2" t="s">
        <v>687</v>
      </c>
      <c r="F21" s="37" t="n">
        <f aca="false">SUMIFS(Channels!$X$5:$X$34,Channels!$E$5:$E$34,"Slot")</f>
        <v>10143</v>
      </c>
    </row>
    <row r="22" customFormat="false" ht="15" hidden="false" customHeight="false" outlineLevel="0" collapsed="false">
      <c r="B22" s="2" t="s">
        <v>688</v>
      </c>
      <c r="F22" s="37" t="n">
        <f aca="false">SUMIFS(Channels!$X$5:$X$34,Channels!$B$5:$B$34,"I1b Employee referral sprint (bonus on hire)",Channels!$C$5:$C$34,"&lt;&gt;Supervisors")</f>
        <v>10491.01875</v>
      </c>
    </row>
    <row r="23" customFormat="false" ht="15" hidden="false" customHeight="false" outlineLevel="0" collapsed="false">
      <c r="B23" s="2" t="s">
        <v>689</v>
      </c>
      <c r="F23" s="37" t="n">
        <f aca="false">SUMIFS(Channels!$X$5:$X$34,Channels!$B$5:$B$34,"I1b Employee referral sprint (bonus on hire)",Channels!$C$5:$C$34,"Supervisors")</f>
        <v>738.99</v>
      </c>
    </row>
    <row r="24" customFormat="false" ht="15" hidden="false" customHeight="false" outlineLevel="0" collapsed="false">
      <c r="B24" s="2" t="s">
        <v>690</v>
      </c>
      <c r="F24" s="37" t="n">
        <f aca="false">SUM(Channels!$Z$5:$Z$34)</f>
        <v>9000</v>
      </c>
    </row>
    <row r="25" customFormat="false" ht="15" hidden="false" customHeight="false" outlineLevel="0" collapsed="false">
      <c r="B25" s="2" t="s">
        <v>691</v>
      </c>
      <c r="F25" s="28" t="n">
        <f aca="false">SUMIFS(Channels!$AF$5:$AF$34,Channels!$C$5:$C$34,"&lt;&gt;Supervisors")</f>
        <v>6.43352481218988</v>
      </c>
    </row>
    <row r="26" customFormat="false" ht="15" hidden="false" customHeight="false" outlineLevel="0" collapsed="false">
      <c r="B26" s="2" t="s">
        <v>692</v>
      </c>
      <c r="F26" s="28" t="n">
        <f aca="false">SUMIFS(Channels!$AF$5:$AF$34,Channels!$C$5:$C$34,"Supervisors")</f>
        <v>1.41986569190465</v>
      </c>
    </row>
    <row r="27" customFormat="false" ht="15" hidden="false" customHeight="false" outlineLevel="0" collapsed="false">
      <c r="B27" s="2" t="s">
        <v>693</v>
      </c>
      <c r="F27" s="28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694</v>
      </c>
      <c r="F28" s="28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695</v>
      </c>
      <c r="F29" s="28" t="n">
        <f aca="false">SUMIFS(Channels!$AG$5:$AG$34,Channels!$C$5:$C$34,"&lt;&gt;Supervisors")</f>
        <v>2.1034138582348</v>
      </c>
    </row>
    <row r="30" customFormat="false" ht="15" hidden="false" customHeight="false" outlineLevel="0" collapsed="false">
      <c r="B30" s="2" t="s">
        <v>696</v>
      </c>
      <c r="F30" s="28" t="n">
        <f aca="false">SUMIFS(Channels!$AG$5:$AG$34,Channels!$C$5:$C$34,"Supervisors")</f>
        <v>0.337928034673306</v>
      </c>
    </row>
    <row r="31" customFormat="false" ht="15" hidden="false" customHeight="false" outlineLevel="0" collapsed="false">
      <c r="B31" s="2" t="s">
        <v>697</v>
      </c>
      <c r="F31" s="37" t="n">
        <f aca="false">SUMIFS(Channels!$X$5:$X$34,Channels!$B$5:$B$34,"I1a Talent rediscovery (past applicants in ATS)")</f>
        <v>40.8</v>
      </c>
    </row>
    <row r="32" customFormat="false" ht="15" hidden="false" customHeight="false" outlineLevel="0" collapsed="false">
      <c r="B32" s="2" t="s">
        <v>698</v>
      </c>
      <c r="F32" s="28" t="n">
        <f aca="false">SUMIFS(Channels!$V$5:$V$34,Channels!$B$5:$B$34,"I1a Talent rediscovery (past applicants in ATS)",Channels!$C$5:$C$34,"&lt;&gt;Supervisors")</f>
        <v>7.32</v>
      </c>
    </row>
    <row r="33" customFormat="false" ht="15" hidden="false" customHeight="false" outlineLevel="0" collapsed="false">
      <c r="B33" s="2" t="s">
        <v>699</v>
      </c>
      <c r="F33" s="28" t="n">
        <f aca="false">SUMIFS(Channels!$V$5:$V$34,Channels!$B$5:$B$34,"I1a Talent rediscovery (past applicants in ATS)",Channels!$C$5:$C$34,"Supervisors")</f>
        <v>0.84</v>
      </c>
    </row>
    <row r="34" customFormat="false" ht="15" hidden="false" customHeight="false" outlineLevel="0" collapsed="false">
      <c r="B34" s="2" t="s">
        <v>700</v>
      </c>
      <c r="F34" s="28" t="n">
        <f aca="false">SUMIFS(Channels!$W$5:$W$34,Channels!$B$5:$B$34,"I1a Talent rediscovery (past applicants in ATS)",Channels!$C$5:$C$34,"&lt;&gt;Supervisors")</f>
        <v>14.64</v>
      </c>
    </row>
    <row r="35" customFormat="false" ht="15" hidden="false" customHeight="false" outlineLevel="0" collapsed="false">
      <c r="B35" s="2" t="s">
        <v>701</v>
      </c>
      <c r="F35" s="28" t="n">
        <f aca="false">SUMIFS(Channels!$W$5:$W$34,Channels!$B$5:$B$34,"I1a Talent rediscovery (past applicants in ATS)",Channels!$C$5:$C$34,"Supervisors")</f>
        <v>1.68</v>
      </c>
    </row>
    <row r="36" customFormat="false" ht="15" hidden="false" customHeight="false" outlineLevel="0" collapsed="false">
      <c r="B36" s="2" t="s">
        <v>702</v>
      </c>
      <c r="F36" s="28" t="n">
        <f aca="false">SUMIFS(Channels!$U$5:$U$34,Channels!$B$5:$B$34,"I1a Talent rediscovery (past applicants in ATS)",Channels!$C$5:$C$34,"&lt;&gt;Supervisors")</f>
        <v>2.84495625</v>
      </c>
    </row>
    <row r="37" customFormat="false" ht="15" hidden="false" customHeight="false" outlineLevel="0" collapsed="false">
      <c r="B37" s="2" t="s">
        <v>703</v>
      </c>
      <c r="F37" s="28" t="n">
        <f aca="false">SUMIFS(Channels!$U$5:$U$34,Channels!$B$5:$B$34,"I1a Talent rediscovery (past applicants in ATS)",Channels!$C$5:$C$34,"Supervisors")</f>
        <v>0.229908</v>
      </c>
    </row>
    <row r="38" customFormat="false" ht="15" hidden="false" customHeight="false" outlineLevel="0" collapsed="false">
      <c r="B38" s="2" t="s">
        <v>704</v>
      </c>
      <c r="F38" s="26" t="n">
        <f aca="false">IF(Funnel!B23&gt;0,MIN(1,Funnel!B22/Funnel!B23),1)</f>
        <v>1</v>
      </c>
    </row>
    <row r="42" customFormat="false" ht="15" hidden="false" customHeight="false" outlineLevel="0" collapsed="false">
      <c r="A42" s="24" t="s">
        <v>705</v>
      </c>
    </row>
    <row r="43" customFormat="false" ht="30" hidden="false" customHeight="true" outlineLevel="0" collapsed="false">
      <c r="A43" s="12"/>
      <c r="B43" s="12" t="s">
        <v>282</v>
      </c>
      <c r="C43" s="12" t="s">
        <v>706</v>
      </c>
      <c r="D43" s="12" t="s">
        <v>707</v>
      </c>
      <c r="E43" s="12" t="s">
        <v>708</v>
      </c>
      <c r="F43" s="12" t="s">
        <v>709</v>
      </c>
      <c r="G43" s="12" t="s">
        <v>710</v>
      </c>
      <c r="H43" s="12" t="s">
        <v>711</v>
      </c>
      <c r="I43" s="12" t="s">
        <v>712</v>
      </c>
      <c r="J43" s="12" t="s">
        <v>713</v>
      </c>
      <c r="K43" s="12" t="s">
        <v>714</v>
      </c>
      <c r="L43" s="12" t="s">
        <v>715</v>
      </c>
      <c r="M43" s="12" t="s">
        <v>716</v>
      </c>
      <c r="N43" s="12" t="s">
        <v>426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37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37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37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37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37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37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37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37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37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37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37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38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37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6281.38560619507</v>
      </c>
      <c r="D45" s="37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9785.03452402082</v>
      </c>
      <c r="E45" s="37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11614.595671303</v>
      </c>
      <c r="F45" s="37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14881.200703857</v>
      </c>
      <c r="G45" s="37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14881.200703857</v>
      </c>
      <c r="H45" s="37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7664.47240307761</v>
      </c>
      <c r="I45" s="37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37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37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37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37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38" t="n">
        <f aca="false">SUM(C45:M45)</f>
        <v>65107.8896123105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37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10143</v>
      </c>
      <c r="D46" s="37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37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37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37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37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37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37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37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37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37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38" t="n">
        <f aca="false">SUM(C46:M46)</f>
        <v>10143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37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2381.5</v>
      </c>
      <c r="D47" s="37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3699.5</v>
      </c>
      <c r="E47" s="37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4072</v>
      </c>
      <c r="F47" s="37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5217.25</v>
      </c>
      <c r="G47" s="37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5217.25</v>
      </c>
      <c r="H47" s="37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3412.5</v>
      </c>
      <c r="I47" s="37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37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37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37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37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38" t="n">
        <f aca="false">SUM(C47:M47)</f>
        <v>24000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37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4022.18980041714</v>
      </c>
      <c r="D48" s="37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6277.72682922693</v>
      </c>
      <c r="E48" s="37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7822.14811523917</v>
      </c>
      <c r="F48" s="37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10022.1272726502</v>
      </c>
      <c r="G48" s="37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10022.1272726502</v>
      </c>
      <c r="H48" s="37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12222.1064300612</v>
      </c>
      <c r="I48" s="37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37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37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37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37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38" t="n">
        <f aca="false">SUM(C48:M48)</f>
        <v>50388.4257202448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37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1631.2</v>
      </c>
      <c r="D49" s="37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2477.6</v>
      </c>
      <c r="E49" s="37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985.6</v>
      </c>
      <c r="F49" s="37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1262.8</v>
      </c>
      <c r="G49" s="37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1262.8</v>
      </c>
      <c r="H49" s="37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37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37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37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37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37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38" t="n">
        <f aca="false">SUM(C49:M49)</f>
        <v>7620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37" t="n">
        <f aca="false">SUMIFS(Channels!$X$5:$X$34,Channels!$B$5:$B$34,$B50)*$Y$4</f>
        <v>24.48</v>
      </c>
      <c r="D50" s="37" t="n">
        <f aca="false">SUMIFS(Channels!$X$5:$X$34,Channels!$B$5:$B$34,$B50)*$Y$5</f>
        <v>11.832</v>
      </c>
      <c r="E50" s="37" t="n">
        <f aca="false">SUMIFS(Channels!$X$5:$X$34,Channels!$B$5:$B$34,$B50)*$Y$6</f>
        <v>4.488</v>
      </c>
      <c r="F50" s="37" t="n">
        <f aca="false">SUMIFS(Channels!$X$5:$X$34,Channels!$B$5:$B$34,$B50)*$Y$7</f>
        <v>0</v>
      </c>
      <c r="G50" s="37" t="n">
        <f aca="false">SUMIFS(Channels!$X$5:$X$34,Channels!$B$5:$B$34,$B50)*$Y$8</f>
        <v>0</v>
      </c>
      <c r="H50" s="37" t="n">
        <f aca="false">SUMIFS(Channels!$X$5:$X$34,Channels!$B$5:$B$34,$B50)*$Y$9</f>
        <v>0</v>
      </c>
      <c r="I50" s="37" t="n">
        <f aca="false">SUMIFS(Channels!$X$5:$X$34,Channels!$B$5:$B$34,$B50)*$Y$10</f>
        <v>0</v>
      </c>
      <c r="J50" s="37" t="n">
        <f aca="false">SUMIFS(Channels!$X$5:$X$34,Channels!$B$5:$B$34,$B50)*$Y$11</f>
        <v>0</v>
      </c>
      <c r="K50" s="37" t="n">
        <f aca="false">SUMIFS(Channels!$X$5:$X$34,Channels!$B$5:$B$34,$B50)*$Y$12</f>
        <v>0</v>
      </c>
      <c r="L50" s="37" t="n">
        <f aca="false">SUMIFS(Channels!$X$5:$X$34,Channels!$B$5:$B$34,$B50)*$Y$13</f>
        <v>0</v>
      </c>
      <c r="M50" s="37" t="n">
        <f aca="false">SUMIFS(Channels!$X$5:$X$34,Channels!$B$5:$B$34,$B50)*$Y$14</f>
        <v>0</v>
      </c>
      <c r="N50" s="38" t="n">
        <f aca="false">SUM(C50:M50)</f>
        <v>40.8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37" t="n">
        <f aca="false">SUMIFS(Channels!$X$5:$X$34,Channels!$B$5:$B$34,$B51,Channels!$C$5:$C$34,"&lt;&gt;Supervisors")*$F$4+SUMIFS(Channels!$X$5:$X$34,Channels!$B$5:$B$34,$B51,Channels!$C$5:$C$34,"Supervisors")*$G$4</f>
        <v>0</v>
      </c>
      <c r="D51" s="37" t="n">
        <f aca="false">SUMIFS(Channels!$X$5:$X$34,Channels!$B$5:$B$34,$B51,Channels!$C$5:$C$34,"&lt;&gt;Supervisors")*$F$5+SUMIFS(Channels!$X$5:$X$34,Channels!$B$5:$B$34,$B51,Channels!$C$5:$C$34,"Supervisors")*$G$5</f>
        <v>0</v>
      </c>
      <c r="E51" s="37" t="n">
        <f aca="false">SUMIFS(Channels!$X$5:$X$34,Channels!$B$5:$B$34,$B51,Channels!$C$5:$C$34,"&lt;&gt;Supervisors")*$F$6+SUMIFS(Channels!$X$5:$X$34,Channels!$B$5:$B$34,$B51,Channels!$C$5:$C$34,"Supervisors")*$G$6</f>
        <v>0</v>
      </c>
      <c r="F51" s="37" t="n">
        <f aca="false">SUMIFS(Channels!$X$5:$X$34,Channels!$B$5:$B$34,$B51,Channels!$C$5:$C$34,"&lt;&gt;Supervisors")*$F$7+SUMIFS(Channels!$X$5:$X$34,Channels!$B$5:$B$34,$B51,Channels!$C$5:$C$34,"Supervisors")*$G$7</f>
        <v>734.3713125</v>
      </c>
      <c r="G51" s="37" t="n">
        <f aca="false">SUMIFS(Channels!$X$5:$X$34,Channels!$B$5:$B$34,$B51,Channels!$C$5:$C$34,"&lt;&gt;Supervisors")*$F$8+SUMIFS(Channels!$X$5:$X$34,Channels!$B$5:$B$34,$B51,Channels!$C$5:$C$34,"Supervisors")*$G$8</f>
        <v>1222.9844625</v>
      </c>
      <c r="H51" s="37" t="n">
        <f aca="false">SUMIFS(Channels!$X$5:$X$34,Channels!$B$5:$B$34,$B51,Channels!$C$5:$C$34,"&lt;&gt;Supervisors")*$F$9+SUMIFS(Channels!$X$5:$X$34,Channels!$B$5:$B$34,$B51,Channels!$C$5:$C$34,"Supervisors")*$G$9</f>
        <v>1786.9482</v>
      </c>
      <c r="I51" s="37" t="n">
        <f aca="false">SUMIFS(Channels!$X$5:$X$34,Channels!$B$5:$B$34,$B51,Channels!$C$5:$C$34,"&lt;&gt;Supervisors")*$F$10+SUMIFS(Channels!$X$5:$X$34,Channels!$B$5:$B$34,$B51,Channels!$C$5:$C$34,"Supervisors")*$G$10</f>
        <v>2308.31004375</v>
      </c>
      <c r="J51" s="37" t="n">
        <f aca="false">SUMIFS(Channels!$X$5:$X$34,Channels!$B$5:$B$34,$B51,Channels!$C$5:$C$34,"&lt;&gt;Supervisors")*$F$11+SUMIFS(Channels!$X$5:$X$34,Channels!$B$5:$B$34,$B51,Channels!$C$5:$C$34,"Supervisors")*$G$11</f>
        <v>2352.64944375</v>
      </c>
      <c r="K51" s="37" t="n">
        <f aca="false">SUMIFS(Channels!$X$5:$X$34,Channels!$B$5:$B$34,$B51,Channels!$C$5:$C$34,"&lt;&gt;Supervisors")*$F$12+SUMIFS(Channels!$X$5:$X$34,Channels!$B$5:$B$34,$B51,Channels!$C$5:$C$34,"Supervisors")*$G$12</f>
        <v>2824.7452875</v>
      </c>
      <c r="L51" s="37" t="n">
        <f aca="false">SUMIFS(Channels!$X$5:$X$34,Channels!$B$5:$B$34,$B51,Channels!$C$5:$C$34,"&lt;&gt;Supervisors")*$F$13+SUMIFS(Channels!$X$5:$X$34,Channels!$B$5:$B$34,$B51,Channels!$C$5:$C$34,"Supervisors")*$G$13</f>
        <v>0</v>
      </c>
      <c r="M51" s="37" t="n">
        <f aca="false">SUMIFS(Channels!$X$5:$X$34,Channels!$B$5:$B$34,$B51,Channels!$C$5:$C$34,"&lt;&gt;Supervisors")*$F$14+SUMIFS(Channels!$X$5:$X$34,Channels!$B$5:$B$34,$B51,Channels!$C$5:$C$34,"Supervisors")*$G$14</f>
        <v>0</v>
      </c>
      <c r="N51" s="38" t="n">
        <f aca="false">SUM(C51:M51)</f>
        <v>11230.00875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37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2376</v>
      </c>
      <c r="D52" s="37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1848</v>
      </c>
      <c r="E52" s="37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2688</v>
      </c>
      <c r="F52" s="37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3444</v>
      </c>
      <c r="G52" s="37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3444</v>
      </c>
      <c r="H52" s="37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4200</v>
      </c>
      <c r="I52" s="37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37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37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37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37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38" t="n">
        <f aca="false">SUM(C52:M52)</f>
        <v>18000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37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854.545454545455</v>
      </c>
      <c r="D53" s="37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714.285714285714</v>
      </c>
      <c r="E53" s="37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1038.96103896104</v>
      </c>
      <c r="F53" s="37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1331.16883116883</v>
      </c>
      <c r="G53" s="37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1331.16883116883</v>
      </c>
      <c r="H53" s="37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1623.37662337662</v>
      </c>
      <c r="I53" s="37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37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37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37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37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38" t="n">
        <f aca="false">SUM(C53:M53)</f>
        <v>6893.50649350649</v>
      </c>
    </row>
    <row r="54" customFormat="false" ht="15" hidden="false" customHeight="false" outlineLevel="0" collapsed="false">
      <c r="B54" s="24" t="s">
        <v>426</v>
      </c>
      <c r="C54" s="38" t="n">
        <f aca="false">SUM(C44:C53)</f>
        <v>27714.3008611577</v>
      </c>
      <c r="D54" s="38" t="n">
        <f aca="false">SUM(D44:D53)</f>
        <v>24813.9790675335</v>
      </c>
      <c r="E54" s="38" t="n">
        <f aca="false">SUM(E44:E53)</f>
        <v>28225.7928255032</v>
      </c>
      <c r="F54" s="38" t="n">
        <f aca="false">SUM(F44:F53)</f>
        <v>36892.918120176</v>
      </c>
      <c r="G54" s="38" t="n">
        <f aca="false">SUM(G44:G53)</f>
        <v>37381.531270176</v>
      </c>
      <c r="H54" s="38" t="n">
        <f aca="false">SUM(H44:H53)</f>
        <v>30909.4036565154</v>
      </c>
      <c r="I54" s="38" t="n">
        <f aca="false">SUM(I44:I53)</f>
        <v>2308.31004375</v>
      </c>
      <c r="J54" s="38" t="n">
        <f aca="false">SUM(J44:J53)</f>
        <v>2352.64944375</v>
      </c>
      <c r="K54" s="38" t="n">
        <f aca="false">SUM(K44:K53)</f>
        <v>2824.7452875</v>
      </c>
      <c r="L54" s="38" t="n">
        <f aca="false">SUM(L44:L53)</f>
        <v>0</v>
      </c>
      <c r="M54" s="38" t="n">
        <f aca="false">SUM(M44:M53)</f>
        <v>0</v>
      </c>
      <c r="N54" s="38" t="n">
        <f aca="false">SUM(N44:N53)</f>
        <v>193423.630576062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717</v>
      </c>
    </row>
    <row r="2" customFormat="false" ht="15" hidden="false" customHeight="false" outlineLevel="0" collapsed="false">
      <c r="A2" s="2" t="s">
        <v>718</v>
      </c>
    </row>
    <row r="4" customFormat="false" ht="45" hidden="false" customHeight="true" outlineLevel="0" collapsed="false">
      <c r="A4" s="12" t="s">
        <v>22</v>
      </c>
      <c r="B4" s="12" t="s">
        <v>282</v>
      </c>
      <c r="C4" s="12" t="s">
        <v>283</v>
      </c>
      <c r="D4" s="12" t="s">
        <v>719</v>
      </c>
      <c r="E4" s="12" t="s">
        <v>720</v>
      </c>
      <c r="F4" s="12" t="s">
        <v>721</v>
      </c>
      <c r="G4" s="12" t="s">
        <v>722</v>
      </c>
      <c r="H4" s="12" t="s">
        <v>723</v>
      </c>
      <c r="I4" s="12" t="s">
        <v>724</v>
      </c>
      <c r="J4" s="12" t="s">
        <v>725</v>
      </c>
      <c r="K4" s="12" t="s">
        <v>726</v>
      </c>
      <c r="L4" s="12" t="s">
        <v>727</v>
      </c>
      <c r="M4" s="12" t="s">
        <v>728</v>
      </c>
      <c r="N4" s="12" t="s">
        <v>729</v>
      </c>
      <c r="O4" s="12" t="s">
        <v>730</v>
      </c>
      <c r="P4" s="12" t="s">
        <v>731</v>
      </c>
      <c r="Q4" s="12" t="s">
        <v>732</v>
      </c>
      <c r="R4" s="12" t="s">
        <v>733</v>
      </c>
      <c r="S4" s="12" t="s">
        <v>734</v>
      </c>
      <c r="T4" s="12" t="s">
        <v>735</v>
      </c>
      <c r="U4" s="12" t="s">
        <v>736</v>
      </c>
      <c r="V4" s="12" t="s">
        <v>737</v>
      </c>
      <c r="W4" s="12" t="s">
        <v>738</v>
      </c>
      <c r="X4" s="12" t="s">
        <v>739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39" t="n">
        <f aca="false">Channels!H5</f>
        <v>0</v>
      </c>
      <c r="E5" s="26" t="n">
        <f aca="false">Channels!I5</f>
        <v>0.1065</v>
      </c>
      <c r="F5" s="37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37" t="n">
        <f aca="false">G5+J5+M5</f>
        <v>0</v>
      </c>
      <c r="Q5" s="25" t="n">
        <f aca="false">H5+K5+N5</f>
        <v>0</v>
      </c>
      <c r="R5" s="25" t="n">
        <f aca="false">I5+L5+O5</f>
        <v>0</v>
      </c>
      <c r="S5" s="39" t="str">
        <f aca="false">IF(Q5&gt;0,P5/Q5,"")</f>
        <v/>
      </c>
      <c r="T5" s="26" t="str">
        <f aca="false">IF(Q5&gt;0,R5/Q5,"")</f>
        <v/>
      </c>
      <c r="U5" s="26" t="n">
        <f aca="false">(R5+Assumptions!$D$108*E5)/(Q5+Assumptions!$D$108)</f>
        <v>0.1065</v>
      </c>
      <c r="V5" s="37" t="n">
        <f aca="false">IF(U5&gt;0,IF(Q5&gt;=Assumptions!$D$86,S5,D5)/U5,0)</f>
        <v>0</v>
      </c>
      <c r="W5" s="48" t="str">
        <f aca="false">IF(F5&gt;0,V5/F5,"")</f>
        <v/>
      </c>
      <c r="X5" s="2" t="str">
        <f aca="false">IF(D5=0,"Free – monitor quality",IF(F5=0,"SWITCH OFF – plan expects no qualified applicants",IF(AND(P5&lt;Assumptions!$D$85,Q5&lt;Assumptions!$D$86),"Wait – too little data",IF(OR(W5&gt;=Assumptions!$D$89,AND(R5=0,P5&gt;=Assumptions!$D$90,P5/F5&gt;=Assumptions!$D$91),AND(P5&gt;=Assumptions!$D$90,P5/F5&lt;Assumptions!$D$91,Q5&lt;Assumptions!$D$92*P5/D5)),"SWITCH OFF",IF(W5&gt;=Assumptions!$D$88,"CUT 50%",IF(W5&lt;=Assumptions!$D$87,"ADD +"&amp;TEXT(Assumptions!$D$100,"0%")&amp;"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39" t="n">
        <f aca="false">Channels!H6</f>
        <v>0</v>
      </c>
      <c r="E6" s="26" t="n">
        <f aca="false">Channels!I6</f>
        <v>0.1562</v>
      </c>
      <c r="F6" s="37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37" t="n">
        <f aca="false">G6+J6+M6</f>
        <v>0</v>
      </c>
      <c r="Q6" s="25" t="n">
        <f aca="false">H6+K6+N6</f>
        <v>0</v>
      </c>
      <c r="R6" s="25" t="n">
        <f aca="false">I6+L6+O6</f>
        <v>0</v>
      </c>
      <c r="S6" s="39" t="str">
        <f aca="false">IF(Q6&gt;0,P6/Q6,"")</f>
        <v/>
      </c>
      <c r="T6" s="26" t="str">
        <f aca="false">IF(Q6&gt;0,R6/Q6,"")</f>
        <v/>
      </c>
      <c r="U6" s="26" t="n">
        <f aca="false">(R6+Assumptions!$D$108*E6)/(Q6+Assumptions!$D$108)</f>
        <v>0.1562</v>
      </c>
      <c r="V6" s="37" t="n">
        <f aca="false">IF(U6&gt;0,IF(Q6&gt;=Assumptions!$D$86,S6,D6)/U6,0)</f>
        <v>0</v>
      </c>
      <c r="W6" s="48" t="str">
        <f aca="false">IF(F6&gt;0,V6/F6,"")</f>
        <v/>
      </c>
      <c r="X6" s="2" t="str">
        <f aca="false">IF(D6=0,"Free – monitor quality",IF(F6=0,"SWITCH OFF – plan expects no qualified applicants",IF(AND(P6&lt;Assumptions!$D$85,Q6&lt;Assumptions!$D$86),"Wait – too little data",IF(OR(W6&gt;=Assumptions!$D$89,AND(R6=0,P6&gt;=Assumptions!$D$90,P6/F6&gt;=Assumptions!$D$91),AND(P6&gt;=Assumptions!$D$90,P6/F6&lt;Assumptions!$D$91,Q6&lt;Assumptions!$D$92*P6/D6)),"SWITCH OFF",IF(W6&gt;=Assumptions!$D$88,"CUT 50%",IF(W6&lt;=Assumptions!$D$87,"ADD +"&amp;TEXT(Assumptions!$D$100,"0%")&amp;"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39" t="n">
        <f aca="false">Channels!H7</f>
        <v>0</v>
      </c>
      <c r="E7" s="26" t="n">
        <f aca="false">Channels!I7</f>
        <v>0.1065</v>
      </c>
      <c r="F7" s="37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37" t="n">
        <f aca="false">G7+J7+M7</f>
        <v>0</v>
      </c>
      <c r="Q7" s="25" t="n">
        <f aca="false">H7+K7+N7</f>
        <v>0</v>
      </c>
      <c r="R7" s="25" t="n">
        <f aca="false">I7+L7+O7</f>
        <v>0</v>
      </c>
      <c r="S7" s="39" t="str">
        <f aca="false">IF(Q7&gt;0,P7/Q7,"")</f>
        <v/>
      </c>
      <c r="T7" s="26" t="str">
        <f aca="false">IF(Q7&gt;0,R7/Q7,"")</f>
        <v/>
      </c>
      <c r="U7" s="26" t="n">
        <f aca="false">(R7+Assumptions!$D$108*E7)/(Q7+Assumptions!$D$108)</f>
        <v>0.1065</v>
      </c>
      <c r="V7" s="37" t="n">
        <f aca="false">IF(U7&gt;0,IF(Q7&gt;=Assumptions!$D$86,S7,D7)/U7,0)</f>
        <v>0</v>
      </c>
      <c r="W7" s="48" t="str">
        <f aca="false">IF(F7&gt;0,V7/F7,"")</f>
        <v/>
      </c>
      <c r="X7" s="2" t="str">
        <f aca="false">IF(D7=0,"Free – monitor quality",IF(F7=0,"SWITCH OFF – plan expects no qualified applicants",IF(AND(P7&lt;Assumptions!$D$85,Q7&lt;Assumptions!$D$86),"Wait – too little data",IF(OR(W7&gt;=Assumptions!$D$89,AND(R7=0,P7&gt;=Assumptions!$D$90,P7/F7&gt;=Assumptions!$D$91),AND(P7&gt;=Assumptions!$D$90,P7/F7&lt;Assumptions!$D$91,Q7&lt;Assumptions!$D$92*P7/D7)),"SWITCH OFF",IF(W7&gt;=Assumptions!$D$88,"CUT 50%",IF(W7&lt;=Assumptions!$D$87,"ADD +"&amp;TEXT(Assumptions!$D$100,"0%")&amp;"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39" t="n">
        <f aca="false">Channels!H8</f>
        <v>0</v>
      </c>
      <c r="E8" s="26" t="n">
        <f aca="false">Channels!I8</f>
        <v>0.071</v>
      </c>
      <c r="F8" s="37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37" t="n">
        <f aca="false">G8+J8+M8</f>
        <v>0</v>
      </c>
      <c r="Q8" s="25" t="n">
        <f aca="false">H8+K8+N8</f>
        <v>0</v>
      </c>
      <c r="R8" s="25" t="n">
        <f aca="false">I8+L8+O8</f>
        <v>0</v>
      </c>
      <c r="S8" s="39" t="str">
        <f aca="false">IF(Q8&gt;0,P8/Q8,"")</f>
        <v/>
      </c>
      <c r="T8" s="26" t="str">
        <f aca="false">IF(Q8&gt;0,R8/Q8,"")</f>
        <v/>
      </c>
      <c r="U8" s="26" t="n">
        <f aca="false">(R8+Assumptions!$D$108*E8)/(Q8+Assumptions!$D$108)</f>
        <v>0.071</v>
      </c>
      <c r="V8" s="37" t="n">
        <f aca="false">IF(U8&gt;0,IF(Q8&gt;=Assumptions!$D$86,S8,D8)/U8,0)</f>
        <v>0</v>
      </c>
      <c r="W8" s="48" t="str">
        <f aca="false">IF(F8&gt;0,V8/F8,"")</f>
        <v/>
      </c>
      <c r="X8" s="2" t="str">
        <f aca="false">IF(D8=0,"Free – monitor quality",IF(F8=0,"SWITCH OFF – plan expects no qualified applicants",IF(AND(P8&lt;Assumptions!$D$85,Q8&lt;Assumptions!$D$86),"Wait – too little data",IF(OR(W8&gt;=Assumptions!$D$89,AND(R8=0,P8&gt;=Assumptions!$D$90,P8/F8&gt;=Assumptions!$D$91),AND(P8&gt;=Assumptions!$D$90,P8/F8&lt;Assumptions!$D$91,Q8&lt;Assumptions!$D$92*P8/D8)),"SWITCH OFF",IF(W8&gt;=Assumptions!$D$88,"CUT 50%",IF(W8&lt;=Assumptions!$D$87,"ADD +"&amp;TEXT(Assumptions!$D$100,"0%")&amp;"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39" t="n">
        <f aca="false">Channels!H9</f>
        <v>161</v>
      </c>
      <c r="E9" s="26" t="n">
        <f aca="false">Channels!I9</f>
        <v>0.135</v>
      </c>
      <c r="F9" s="37" t="n">
        <f aca="false">Channels!O9</f>
        <v>1192.59259259259</v>
      </c>
      <c r="G9" s="18"/>
      <c r="H9" s="15"/>
      <c r="I9" s="15"/>
      <c r="J9" s="18"/>
      <c r="K9" s="15"/>
      <c r="L9" s="15"/>
      <c r="M9" s="18"/>
      <c r="N9" s="15"/>
      <c r="O9" s="15"/>
      <c r="P9" s="37" t="n">
        <f aca="false">G9+J9+M9</f>
        <v>0</v>
      </c>
      <c r="Q9" s="25" t="n">
        <f aca="false">H9+K9+N9</f>
        <v>0</v>
      </c>
      <c r="R9" s="25" t="n">
        <f aca="false">I9+L9+O9</f>
        <v>0</v>
      </c>
      <c r="S9" s="39" t="str">
        <f aca="false">IF(Q9&gt;0,P9/Q9,"")</f>
        <v/>
      </c>
      <c r="T9" s="26" t="str">
        <f aca="false">IF(Q9&gt;0,R9/Q9,"")</f>
        <v/>
      </c>
      <c r="U9" s="26" t="n">
        <f aca="false">(R9+Assumptions!$D$108*E9)/(Q9+Assumptions!$D$108)</f>
        <v>0.135</v>
      </c>
      <c r="V9" s="37" t="n">
        <f aca="false">IF(U9&gt;0,IF(Q9&gt;=Assumptions!$D$86,S9,D9)/U9,0)</f>
        <v>1192.59259259259</v>
      </c>
      <c r="W9" s="48" t="n">
        <f aca="false">IF(F9&gt;0,V9/F9,"")</f>
        <v>1</v>
      </c>
      <c r="X9" s="2" t="str">
        <f aca="false">IF(D9=0,"Free – monitor quality",IF(F9=0,"SWITCH OFF – plan expects no qualified applicants",IF(AND(P9&lt;Assumptions!$D$85,Q9&lt;Assumptions!$D$86),"Wait – too little data",IF(OR(W9&gt;=Assumptions!$D$89,AND(R9=0,P9&gt;=Assumptions!$D$90,P9/F9&gt;=Assumptions!$D$91),AND(P9&gt;=Assumptions!$D$90,P9/F9&lt;Assumptions!$D$91,Q9&lt;Assumptions!$D$92*P9/D9)),"SWITCH OFF",IF(W9&gt;=Assumptions!$D$88,"CUT 50%",IF(W9&lt;=Assumptions!$D$87,"ADD +"&amp;TEXT(Assumptions!$D$100,"0%")&amp;"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39" t="n">
        <f aca="false">Channels!H10</f>
        <v>161</v>
      </c>
      <c r="E10" s="26" t="n">
        <f aca="false">Channels!I10</f>
        <v>0.198</v>
      </c>
      <c r="F10" s="37" t="n">
        <f aca="false">Channels!O10</f>
        <v>813.131313131313</v>
      </c>
      <c r="G10" s="18"/>
      <c r="H10" s="15"/>
      <c r="I10" s="15"/>
      <c r="J10" s="18"/>
      <c r="K10" s="15"/>
      <c r="L10" s="15"/>
      <c r="M10" s="18"/>
      <c r="N10" s="15"/>
      <c r="O10" s="15"/>
      <c r="P10" s="37" t="n">
        <f aca="false">G10+J10+M10</f>
        <v>0</v>
      </c>
      <c r="Q10" s="25" t="n">
        <f aca="false">H10+K10+N10</f>
        <v>0</v>
      </c>
      <c r="R10" s="25" t="n">
        <f aca="false">I10+L10+O10</f>
        <v>0</v>
      </c>
      <c r="S10" s="39" t="str">
        <f aca="false">IF(Q10&gt;0,P10/Q10,"")</f>
        <v/>
      </c>
      <c r="T10" s="26" t="str">
        <f aca="false">IF(Q10&gt;0,R10/Q10,"")</f>
        <v/>
      </c>
      <c r="U10" s="26" t="n">
        <f aca="false">(R10+Assumptions!$D$108*E10)/(Q10+Assumptions!$D$108)</f>
        <v>0.198</v>
      </c>
      <c r="V10" s="37" t="n">
        <f aca="false">IF(U10&gt;0,IF(Q10&gt;=Assumptions!$D$86,S10,D10)/U10,0)</f>
        <v>813.131313131313</v>
      </c>
      <c r="W10" s="48" t="n">
        <f aca="false">IF(F10&gt;0,V10/F10,"")</f>
        <v>1</v>
      </c>
      <c r="X10" s="2" t="str">
        <f aca="false">IF(D10=0,"Free – monitor quality",IF(F10=0,"SWITCH OFF – plan expects no qualified applicants",IF(AND(P10&lt;Assumptions!$D$85,Q10&lt;Assumptions!$D$86),"Wait – too little data",IF(OR(W10&gt;=Assumptions!$D$89,AND(R10=0,P10&gt;=Assumptions!$D$90,P10/F10&gt;=Assumptions!$D$91),AND(P10&gt;=Assumptions!$D$90,P10/F10&lt;Assumptions!$D$91,Q10&lt;Assumptions!$D$92*P10/D10)),"SWITCH OFF",IF(W10&gt;=Assumptions!$D$88,"CUT 50%",IF(W10&lt;=Assumptions!$D$87,"ADD +"&amp;TEXT(Assumptions!$D$100,"0%")&amp;"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39" t="n">
        <f aca="false">Channels!H11</f>
        <v>161</v>
      </c>
      <c r="E11" s="26" t="n">
        <f aca="false">Channels!I11</f>
        <v>0.135</v>
      </c>
      <c r="F11" s="37" t="n">
        <f aca="false">Channels!O11</f>
        <v>1192.59259259259</v>
      </c>
      <c r="G11" s="18"/>
      <c r="H11" s="15"/>
      <c r="I11" s="15"/>
      <c r="J11" s="18"/>
      <c r="K11" s="15"/>
      <c r="L11" s="15"/>
      <c r="M11" s="18"/>
      <c r="N11" s="15"/>
      <c r="O11" s="15"/>
      <c r="P11" s="37" t="n">
        <f aca="false">G11+J11+M11</f>
        <v>0</v>
      </c>
      <c r="Q11" s="25" t="n">
        <f aca="false">H11+K11+N11</f>
        <v>0</v>
      </c>
      <c r="R11" s="25" t="n">
        <f aca="false">I11+L11+O11</f>
        <v>0</v>
      </c>
      <c r="S11" s="39" t="str">
        <f aca="false">IF(Q11&gt;0,P11/Q11,"")</f>
        <v/>
      </c>
      <c r="T11" s="26" t="str">
        <f aca="false">IF(Q11&gt;0,R11/Q11,"")</f>
        <v/>
      </c>
      <c r="U11" s="26" t="n">
        <f aca="false">(R11+Assumptions!$D$108*E11)/(Q11+Assumptions!$D$108)</f>
        <v>0.135</v>
      </c>
      <c r="V11" s="37" t="n">
        <f aca="false">IF(U11&gt;0,IF(Q11&gt;=Assumptions!$D$86,S11,D11)/U11,0)</f>
        <v>1192.59259259259</v>
      </c>
      <c r="W11" s="48" t="n">
        <f aca="false">IF(F11&gt;0,V11/F11,"")</f>
        <v>1</v>
      </c>
      <c r="X11" s="2" t="str">
        <f aca="false">IF(D11=0,"Free – monitor quality",IF(F11=0,"SWITCH OFF – plan expects no qualified applicants",IF(AND(P11&lt;Assumptions!$D$85,Q11&lt;Assumptions!$D$86),"Wait – too little data",IF(OR(W11&gt;=Assumptions!$D$89,AND(R11=0,P11&gt;=Assumptions!$D$90,P11/F11&gt;=Assumptions!$D$91),AND(P11&gt;=Assumptions!$D$90,P11/F11&lt;Assumptions!$D$91,Q11&lt;Assumptions!$D$92*P11/D11)),"SWITCH OFF",IF(W11&gt;=Assumptions!$D$88,"CUT 50%",IF(W11&lt;=Assumptions!$D$87,"ADD +"&amp;TEXT(Assumptions!$D$100,"0%")&amp;"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39" t="n">
        <f aca="false">Channels!H12</f>
        <v>161</v>
      </c>
      <c r="E12" s="26" t="n">
        <f aca="false">Channels!I12</f>
        <v>0.09</v>
      </c>
      <c r="F12" s="37" t="n">
        <f aca="false">Channels!O12</f>
        <v>1788.88888888889</v>
      </c>
      <c r="G12" s="18"/>
      <c r="H12" s="15"/>
      <c r="I12" s="15"/>
      <c r="J12" s="18"/>
      <c r="K12" s="15"/>
      <c r="L12" s="15"/>
      <c r="M12" s="18"/>
      <c r="N12" s="15"/>
      <c r="O12" s="15"/>
      <c r="P12" s="37" t="n">
        <f aca="false">G12+J12+M12</f>
        <v>0</v>
      </c>
      <c r="Q12" s="25" t="n">
        <f aca="false">H12+K12+N12</f>
        <v>0</v>
      </c>
      <c r="R12" s="25" t="n">
        <f aca="false">I12+L12+O12</f>
        <v>0</v>
      </c>
      <c r="S12" s="39" t="str">
        <f aca="false">IF(Q12&gt;0,P12/Q12,"")</f>
        <v/>
      </c>
      <c r="T12" s="26" t="str">
        <f aca="false">IF(Q12&gt;0,R12/Q12,"")</f>
        <v/>
      </c>
      <c r="U12" s="26" t="n">
        <f aca="false">(R12+Assumptions!$D$108*E12)/(Q12+Assumptions!$D$108)</f>
        <v>0.09</v>
      </c>
      <c r="V12" s="37" t="n">
        <f aca="false">IF(U12&gt;0,IF(Q12&gt;=Assumptions!$D$86,S12,D12)/U12,0)</f>
        <v>1788.88888888889</v>
      </c>
      <c r="W12" s="48" t="n">
        <f aca="false">IF(F12&gt;0,V12/F12,"")</f>
        <v>1</v>
      </c>
      <c r="X12" s="2" t="str">
        <f aca="false">IF(D12=0,"Free – monitor quality",IF(F12=0,"SWITCH OFF – plan expects no qualified applicants",IF(AND(P12&lt;Assumptions!$D$85,Q12&lt;Assumptions!$D$86),"Wait – too little data",IF(OR(W12&gt;=Assumptions!$D$89,AND(R12=0,P12&gt;=Assumptions!$D$90,P12/F12&gt;=Assumptions!$D$91),AND(P12&gt;=Assumptions!$D$90,P12/F12&lt;Assumptions!$D$91,Q12&lt;Assumptions!$D$92*P12/D12)),"SWITCH OFF",IF(W12&gt;=Assumptions!$D$88,"CUT 50%",IF(W12&lt;=Assumptions!$D$87,"ADD +"&amp;TEXT(Assumptions!$D$100,"0%")&amp;"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39" t="n">
        <f aca="false">Channels!H13</f>
        <v>120.75</v>
      </c>
      <c r="E13" s="26" t="n">
        <f aca="false">Channels!I13</f>
        <v>0.135</v>
      </c>
      <c r="F13" s="37" t="n">
        <f aca="false">Channels!O13</f>
        <v>894.444444444444</v>
      </c>
      <c r="G13" s="18"/>
      <c r="H13" s="15"/>
      <c r="I13" s="15"/>
      <c r="J13" s="18"/>
      <c r="K13" s="15"/>
      <c r="L13" s="15"/>
      <c r="M13" s="18"/>
      <c r="N13" s="15"/>
      <c r="O13" s="15"/>
      <c r="P13" s="37" t="n">
        <f aca="false">G13+J13+M13</f>
        <v>0</v>
      </c>
      <c r="Q13" s="25" t="n">
        <f aca="false">H13+K13+N13</f>
        <v>0</v>
      </c>
      <c r="R13" s="25" t="n">
        <f aca="false">I13+L13+O13</f>
        <v>0</v>
      </c>
      <c r="S13" s="39" t="str">
        <f aca="false">IF(Q13&gt;0,P13/Q13,"")</f>
        <v/>
      </c>
      <c r="T13" s="26" t="str">
        <f aca="false">IF(Q13&gt;0,R13/Q13,"")</f>
        <v/>
      </c>
      <c r="U13" s="26" t="n">
        <f aca="false">(R13+Assumptions!$D$108*E13)/(Q13+Assumptions!$D$108)</f>
        <v>0.135</v>
      </c>
      <c r="V13" s="37" t="n">
        <f aca="false">IF(U13&gt;0,IF(Q13&gt;=Assumptions!$D$86,S13,D13)/U13,0)</f>
        <v>894.444444444444</v>
      </c>
      <c r="W13" s="48" t="n">
        <f aca="false">IF(F13&gt;0,V13/F13,"")</f>
        <v>1</v>
      </c>
      <c r="X13" s="2" t="str">
        <f aca="false">IF(D13=0,"Free – monitor quality",IF(F13=0,"SWITCH OFF – plan expects no qualified applicants",IF(AND(P13&lt;Assumptions!$D$85,Q13&lt;Assumptions!$D$86),"Wait – too little data",IF(OR(W13&gt;=Assumptions!$D$89,AND(R13=0,P13&gt;=Assumptions!$D$90,P13/F13&gt;=Assumptions!$D$91),AND(P13&gt;=Assumptions!$D$90,P13/F13&lt;Assumptions!$D$91,Q13&lt;Assumptions!$D$92*P13/D13)),"SWITCH OFF",IF(W13&gt;=Assumptions!$D$88,"CUT 50%",IF(W13&lt;=Assumptions!$D$87,"ADD +"&amp;TEXT(Assumptions!$D$100,"0%")&amp;"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39" t="n">
        <f aca="false">Channels!H14</f>
        <v>120.75</v>
      </c>
      <c r="E14" s="26" t="n">
        <f aca="false">Channels!I14</f>
        <v>0.198</v>
      </c>
      <c r="F14" s="37" t="n">
        <f aca="false">Channels!O14</f>
        <v>609.848484848485</v>
      </c>
      <c r="G14" s="18"/>
      <c r="H14" s="15"/>
      <c r="I14" s="15"/>
      <c r="J14" s="18"/>
      <c r="K14" s="15"/>
      <c r="L14" s="15"/>
      <c r="M14" s="18"/>
      <c r="N14" s="15"/>
      <c r="O14" s="15"/>
      <c r="P14" s="37" t="n">
        <f aca="false">G14+J14+M14</f>
        <v>0</v>
      </c>
      <c r="Q14" s="25" t="n">
        <f aca="false">H14+K14+N14</f>
        <v>0</v>
      </c>
      <c r="R14" s="25" t="n">
        <f aca="false">I14+L14+O14</f>
        <v>0</v>
      </c>
      <c r="S14" s="39" t="str">
        <f aca="false">IF(Q14&gt;0,P14/Q14,"")</f>
        <v/>
      </c>
      <c r="T14" s="26" t="str">
        <f aca="false">IF(Q14&gt;0,R14/Q14,"")</f>
        <v/>
      </c>
      <c r="U14" s="26" t="n">
        <f aca="false">(R14+Assumptions!$D$108*E14)/(Q14+Assumptions!$D$108)</f>
        <v>0.198</v>
      </c>
      <c r="V14" s="37" t="n">
        <f aca="false">IF(U14&gt;0,IF(Q14&gt;=Assumptions!$D$86,S14,D14)/U14,0)</f>
        <v>609.848484848485</v>
      </c>
      <c r="W14" s="48" t="n">
        <f aca="false">IF(F14&gt;0,V14/F14,"")</f>
        <v>1</v>
      </c>
      <c r="X14" s="2" t="str">
        <f aca="false">IF(D14=0,"Free – monitor quality",IF(F14=0,"SWITCH OFF – plan expects no qualified applicants",IF(AND(P14&lt;Assumptions!$D$85,Q14&lt;Assumptions!$D$86),"Wait – too little data",IF(OR(W14&gt;=Assumptions!$D$89,AND(R14=0,P14&gt;=Assumptions!$D$90,P14/F14&gt;=Assumptions!$D$91),AND(P14&gt;=Assumptions!$D$90,P14/F14&lt;Assumptions!$D$91,Q14&lt;Assumptions!$D$92*P14/D14)),"SWITCH OFF",IF(W14&gt;=Assumptions!$D$88,"CUT 50%",IF(W14&lt;=Assumptions!$D$87,"ADD +"&amp;TEXT(Assumptions!$D$100,"0%")&amp;"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39" t="n">
        <f aca="false">Channels!H15</f>
        <v>120.75</v>
      </c>
      <c r="E15" s="26" t="n">
        <f aca="false">Channels!I15</f>
        <v>0.135</v>
      </c>
      <c r="F15" s="37" t="n">
        <f aca="false">Channels!O15</f>
        <v>894.444444444444</v>
      </c>
      <c r="G15" s="18"/>
      <c r="H15" s="15"/>
      <c r="I15" s="15"/>
      <c r="J15" s="18"/>
      <c r="K15" s="15"/>
      <c r="L15" s="15"/>
      <c r="M15" s="18"/>
      <c r="N15" s="15"/>
      <c r="O15" s="15"/>
      <c r="P15" s="37" t="n">
        <f aca="false">G15+J15+M15</f>
        <v>0</v>
      </c>
      <c r="Q15" s="25" t="n">
        <f aca="false">H15+K15+N15</f>
        <v>0</v>
      </c>
      <c r="R15" s="25" t="n">
        <f aca="false">I15+L15+O15</f>
        <v>0</v>
      </c>
      <c r="S15" s="39" t="str">
        <f aca="false">IF(Q15&gt;0,P15/Q15,"")</f>
        <v/>
      </c>
      <c r="T15" s="26" t="str">
        <f aca="false">IF(Q15&gt;0,R15/Q15,"")</f>
        <v/>
      </c>
      <c r="U15" s="26" t="n">
        <f aca="false">(R15+Assumptions!$D$108*E15)/(Q15+Assumptions!$D$108)</f>
        <v>0.135</v>
      </c>
      <c r="V15" s="37" t="n">
        <f aca="false">IF(U15&gt;0,IF(Q15&gt;=Assumptions!$D$86,S15,D15)/U15,0)</f>
        <v>894.444444444444</v>
      </c>
      <c r="W15" s="48" t="n">
        <f aca="false">IF(F15&gt;0,V15/F15,"")</f>
        <v>1</v>
      </c>
      <c r="X15" s="2" t="str">
        <f aca="false">IF(D15=0,"Free – monitor quality",IF(F15=0,"SWITCH OFF – plan expects no qualified applicants",IF(AND(P15&lt;Assumptions!$D$85,Q15&lt;Assumptions!$D$86),"Wait – too little data",IF(OR(W15&gt;=Assumptions!$D$89,AND(R15=0,P15&gt;=Assumptions!$D$90,P15/F15&gt;=Assumptions!$D$91),AND(P15&gt;=Assumptions!$D$90,P15/F15&lt;Assumptions!$D$91,Q15&lt;Assumptions!$D$92*P15/D15)),"SWITCH OFF",IF(W15&gt;=Assumptions!$D$88,"CUT 50%",IF(W15&lt;=Assumptions!$D$87,"ADD +"&amp;TEXT(Assumptions!$D$100,"0%")&amp;"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39" t="n">
        <f aca="false">Channels!H16</f>
        <v>120.75</v>
      </c>
      <c r="E16" s="26" t="n">
        <f aca="false">Channels!I16</f>
        <v>0.09</v>
      </c>
      <c r="F16" s="37" t="n">
        <f aca="false">Channels!O16</f>
        <v>1341.66666666667</v>
      </c>
      <c r="G16" s="18"/>
      <c r="H16" s="15"/>
      <c r="I16" s="15"/>
      <c r="J16" s="18"/>
      <c r="K16" s="15"/>
      <c r="L16" s="15"/>
      <c r="M16" s="18"/>
      <c r="N16" s="15"/>
      <c r="O16" s="15"/>
      <c r="P16" s="37" t="n">
        <f aca="false">G16+J16+M16</f>
        <v>0</v>
      </c>
      <c r="Q16" s="25" t="n">
        <f aca="false">H16+K16+N16</f>
        <v>0</v>
      </c>
      <c r="R16" s="25" t="n">
        <f aca="false">I16+L16+O16</f>
        <v>0</v>
      </c>
      <c r="S16" s="39" t="str">
        <f aca="false">IF(Q16&gt;0,P16/Q16,"")</f>
        <v/>
      </c>
      <c r="T16" s="26" t="str">
        <f aca="false">IF(Q16&gt;0,R16/Q16,"")</f>
        <v/>
      </c>
      <c r="U16" s="26" t="n">
        <f aca="false">(R16+Assumptions!$D$108*E16)/(Q16+Assumptions!$D$108)</f>
        <v>0.09</v>
      </c>
      <c r="V16" s="37" t="n">
        <f aca="false">IF(U16&gt;0,IF(Q16&gt;=Assumptions!$D$86,S16,D16)/U16,0)</f>
        <v>1341.66666666667</v>
      </c>
      <c r="W16" s="48" t="n">
        <f aca="false">IF(F16&gt;0,V16/F16,"")</f>
        <v>1</v>
      </c>
      <c r="X16" s="2" t="str">
        <f aca="false">IF(D16=0,"Free – monitor quality",IF(F16=0,"SWITCH OFF – plan expects no qualified applicants",IF(AND(P16&lt;Assumptions!$D$85,Q16&lt;Assumptions!$D$86),"Wait – too little data",IF(OR(W16&gt;=Assumptions!$D$89,AND(R16=0,P16&gt;=Assumptions!$D$90,P16/F16&gt;=Assumptions!$D$91),AND(P16&gt;=Assumptions!$D$90,P16/F16&lt;Assumptions!$D$91,Q16&lt;Assumptions!$D$92*P16/D16)),"SWITCH OFF",IF(W16&gt;=Assumptions!$D$88,"CUT 50%",IF(W16&lt;=Assumptions!$D$87,"ADD +"&amp;TEXT(Assumptions!$D$100,"0%")&amp;"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39" t="n">
        <f aca="false">Channels!H17</f>
        <v>96</v>
      </c>
      <c r="E17" s="26" t="n">
        <f aca="false">Channels!I17</f>
        <v>0.135</v>
      </c>
      <c r="F17" s="37" t="n">
        <f aca="false">Channels!O17</f>
        <v>711.111111111111</v>
      </c>
      <c r="G17" s="18"/>
      <c r="H17" s="15"/>
      <c r="I17" s="15"/>
      <c r="J17" s="18"/>
      <c r="K17" s="15"/>
      <c r="L17" s="15"/>
      <c r="M17" s="18"/>
      <c r="N17" s="15"/>
      <c r="O17" s="15"/>
      <c r="P17" s="37" t="n">
        <f aca="false">G17+J17+M17</f>
        <v>0</v>
      </c>
      <c r="Q17" s="25" t="n">
        <f aca="false">H17+K17+N17</f>
        <v>0</v>
      </c>
      <c r="R17" s="25" t="n">
        <f aca="false">I17+L17+O17</f>
        <v>0</v>
      </c>
      <c r="S17" s="39" t="str">
        <f aca="false">IF(Q17&gt;0,P17/Q17,"")</f>
        <v/>
      </c>
      <c r="T17" s="26" t="str">
        <f aca="false">IF(Q17&gt;0,R17/Q17,"")</f>
        <v/>
      </c>
      <c r="U17" s="26" t="n">
        <f aca="false">(R17+Assumptions!$D$108*E17)/(Q17+Assumptions!$D$108)</f>
        <v>0.135</v>
      </c>
      <c r="V17" s="37" t="n">
        <f aca="false">IF(U17&gt;0,IF(Q17&gt;=Assumptions!$D$86,S17,D17)/U17,0)</f>
        <v>711.111111111111</v>
      </c>
      <c r="W17" s="48" t="n">
        <f aca="false">IF(F17&gt;0,V17/F17,"")</f>
        <v>1</v>
      </c>
      <c r="X17" s="2" t="str">
        <f aca="false">IF(D17=0,"Free – monitor quality",IF(F17=0,"SWITCH OFF – plan expects no qualified applicants",IF(AND(P17&lt;Assumptions!$D$85,Q17&lt;Assumptions!$D$86),"Wait – too little data",IF(OR(W17&gt;=Assumptions!$D$89,AND(R17=0,P17&gt;=Assumptions!$D$90,P17/F17&gt;=Assumptions!$D$91),AND(P17&gt;=Assumptions!$D$90,P17/F17&lt;Assumptions!$D$91,Q17&lt;Assumptions!$D$92*P17/D17)),"SWITCH OFF",IF(W17&gt;=Assumptions!$D$88,"CUT 50%",IF(W17&lt;=Assumptions!$D$87,"ADD +"&amp;TEXT(Assumptions!$D$100,"0%")&amp;"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39" t="n">
        <f aca="false">Channels!H18</f>
        <v>96</v>
      </c>
      <c r="E18" s="26" t="n">
        <f aca="false">Channels!I18</f>
        <v>0.09</v>
      </c>
      <c r="F18" s="37" t="n">
        <f aca="false">Channels!O18</f>
        <v>1066.66666666667</v>
      </c>
      <c r="G18" s="18"/>
      <c r="H18" s="15"/>
      <c r="I18" s="15"/>
      <c r="J18" s="18"/>
      <c r="K18" s="15"/>
      <c r="L18" s="15"/>
      <c r="M18" s="18"/>
      <c r="N18" s="15"/>
      <c r="O18" s="15"/>
      <c r="P18" s="37" t="n">
        <f aca="false">G18+J18+M18</f>
        <v>0</v>
      </c>
      <c r="Q18" s="25" t="n">
        <f aca="false">H18+K18+N18</f>
        <v>0</v>
      </c>
      <c r="R18" s="25" t="n">
        <f aca="false">I18+L18+O18</f>
        <v>0</v>
      </c>
      <c r="S18" s="39" t="str">
        <f aca="false">IF(Q18&gt;0,P18/Q18,"")</f>
        <v/>
      </c>
      <c r="T18" s="26" t="str">
        <f aca="false">IF(Q18&gt;0,R18/Q18,"")</f>
        <v/>
      </c>
      <c r="U18" s="26" t="n">
        <f aca="false">(R18+Assumptions!$D$108*E18)/(Q18+Assumptions!$D$108)</f>
        <v>0.09</v>
      </c>
      <c r="V18" s="37" t="n">
        <f aca="false">IF(U18&gt;0,IF(Q18&gt;=Assumptions!$D$86,S18,D18)/U18,0)</f>
        <v>1066.66666666667</v>
      </c>
      <c r="W18" s="48" t="n">
        <f aca="false">IF(F18&gt;0,V18/F18,"")</f>
        <v>1</v>
      </c>
      <c r="X18" s="2" t="str">
        <f aca="false">IF(D18=0,"Free – monitor quality",IF(F18=0,"SWITCH OFF – plan expects no qualified applicants",IF(AND(P18&lt;Assumptions!$D$85,Q18&lt;Assumptions!$D$86),"Wait – too little data",IF(OR(W18&gt;=Assumptions!$D$89,AND(R18=0,P18&gt;=Assumptions!$D$90,P18/F18&gt;=Assumptions!$D$91),AND(P18&gt;=Assumptions!$D$90,P18/F18&lt;Assumptions!$D$91,Q18&lt;Assumptions!$D$92*P18/D18)),"SWITCH OFF",IF(W18&gt;=Assumptions!$D$88,"CUT 50%",IF(W18&lt;=Assumptions!$D$87,"ADD +"&amp;TEXT(Assumptions!$D$100,"0%")&amp;"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39" t="n">
        <f aca="false">Channels!H19</f>
        <v>84</v>
      </c>
      <c r="E19" s="26" t="n">
        <f aca="false">Channels!I19</f>
        <v>0.075</v>
      </c>
      <c r="F19" s="37" t="n">
        <f aca="false">Channels!O19</f>
        <v>1120</v>
      </c>
      <c r="G19" s="18"/>
      <c r="H19" s="15"/>
      <c r="I19" s="15"/>
      <c r="J19" s="18"/>
      <c r="K19" s="15"/>
      <c r="L19" s="15"/>
      <c r="M19" s="18"/>
      <c r="N19" s="15"/>
      <c r="O19" s="15"/>
      <c r="P19" s="37" t="n">
        <f aca="false">G19+J19+M19</f>
        <v>0</v>
      </c>
      <c r="Q19" s="25" t="n">
        <f aca="false">H19+K19+N19</f>
        <v>0</v>
      </c>
      <c r="R19" s="25" t="n">
        <f aca="false">I19+L19+O19</f>
        <v>0</v>
      </c>
      <c r="S19" s="39" t="str">
        <f aca="false">IF(Q19&gt;0,P19/Q19,"")</f>
        <v/>
      </c>
      <c r="T19" s="26" t="str">
        <f aca="false">IF(Q19&gt;0,R19/Q19,"")</f>
        <v/>
      </c>
      <c r="U19" s="26" t="n">
        <f aca="false">(R19+Assumptions!$D$108*E19)/(Q19+Assumptions!$D$108)</f>
        <v>0.075</v>
      </c>
      <c r="V19" s="37" t="n">
        <f aca="false">IF(U19&gt;0,IF(Q19&gt;=Assumptions!$D$86,S19,D19)/U19,0)</f>
        <v>1120</v>
      </c>
      <c r="W19" s="48" t="n">
        <f aca="false">IF(F19&gt;0,V19/F19,"")</f>
        <v>1</v>
      </c>
      <c r="X19" s="2" t="str">
        <f aca="false">IF(D19=0,"Free – monitor quality",IF(F19=0,"SWITCH OFF – plan expects no qualified applicants",IF(AND(P19&lt;Assumptions!$D$85,Q19&lt;Assumptions!$D$86),"Wait – too little data",IF(OR(W19&gt;=Assumptions!$D$89,AND(R19=0,P19&gt;=Assumptions!$D$90,P19/F19&gt;=Assumptions!$D$91),AND(P19&gt;=Assumptions!$D$90,P19/F19&lt;Assumptions!$D$91,Q19&lt;Assumptions!$D$92*P19/D19)),"SWITCH OFF",IF(W19&gt;=Assumptions!$D$88,"CUT 50%",IF(W19&lt;=Assumptions!$D$87,"ADD +"&amp;TEXT(Assumptions!$D$100,"0%")&amp;"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39" t="n">
        <f aca="false">Channels!H20</f>
        <v>84</v>
      </c>
      <c r="E20" s="26" t="n">
        <f aca="false">Channels!I20</f>
        <v>0.11</v>
      </c>
      <c r="F20" s="37" t="n">
        <f aca="false">Channels!O20</f>
        <v>763.636363636364</v>
      </c>
      <c r="G20" s="18"/>
      <c r="H20" s="15"/>
      <c r="I20" s="15"/>
      <c r="J20" s="18"/>
      <c r="K20" s="15"/>
      <c r="L20" s="15"/>
      <c r="M20" s="18"/>
      <c r="N20" s="15"/>
      <c r="O20" s="15"/>
      <c r="P20" s="37" t="n">
        <f aca="false">G20+J20+M20</f>
        <v>0</v>
      </c>
      <c r="Q20" s="25" t="n">
        <f aca="false">H20+K20+N20</f>
        <v>0</v>
      </c>
      <c r="R20" s="25" t="n">
        <f aca="false">I20+L20+O20</f>
        <v>0</v>
      </c>
      <c r="S20" s="39" t="str">
        <f aca="false">IF(Q20&gt;0,P20/Q20,"")</f>
        <v/>
      </c>
      <c r="T20" s="26" t="str">
        <f aca="false">IF(Q20&gt;0,R20/Q20,"")</f>
        <v/>
      </c>
      <c r="U20" s="26" t="n">
        <f aca="false">(R20+Assumptions!$D$108*E20)/(Q20+Assumptions!$D$108)</f>
        <v>0.11</v>
      </c>
      <c r="V20" s="37" t="n">
        <f aca="false">IF(U20&gt;0,IF(Q20&gt;=Assumptions!$D$86,S20,D20)/U20,0)</f>
        <v>763.636363636364</v>
      </c>
      <c r="W20" s="48" t="n">
        <f aca="false">IF(F20&gt;0,V20/F20,"")</f>
        <v>1</v>
      </c>
      <c r="X20" s="2" t="str">
        <f aca="false">IF(D20=0,"Free – monitor quality",IF(F20=0,"SWITCH OFF – plan expects no qualified applicants",IF(AND(P20&lt;Assumptions!$D$85,Q20&lt;Assumptions!$D$86),"Wait – too little data",IF(OR(W20&gt;=Assumptions!$D$89,AND(R20=0,P20&gt;=Assumptions!$D$90,P20/F20&gt;=Assumptions!$D$91),AND(P20&gt;=Assumptions!$D$90,P20/F20&lt;Assumptions!$D$91,Q20&lt;Assumptions!$D$92*P20/D20)),"SWITCH OFF",IF(W20&gt;=Assumptions!$D$88,"CUT 50%",IF(W20&lt;=Assumptions!$D$87,"ADD +"&amp;TEXT(Assumptions!$D$100,"0%")&amp;"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39" t="n">
        <f aca="false">Channels!H21</f>
        <v>179</v>
      </c>
      <c r="E21" s="26" t="n">
        <f aca="false">Channels!I21</f>
        <v>0.1065</v>
      </c>
      <c r="F21" s="37" t="n">
        <f aca="false">Channels!O21</f>
        <v>1680.75117370892</v>
      </c>
      <c r="G21" s="18"/>
      <c r="H21" s="15"/>
      <c r="I21" s="15"/>
      <c r="J21" s="18"/>
      <c r="K21" s="15"/>
      <c r="L21" s="15"/>
      <c r="M21" s="18"/>
      <c r="N21" s="15"/>
      <c r="O21" s="15"/>
      <c r="P21" s="37" t="n">
        <f aca="false">G21+J21+M21</f>
        <v>0</v>
      </c>
      <c r="Q21" s="25" t="n">
        <f aca="false">H21+K21+N21</f>
        <v>0</v>
      </c>
      <c r="R21" s="25" t="n">
        <f aca="false">I21+L21+O21</f>
        <v>0</v>
      </c>
      <c r="S21" s="39" t="str">
        <f aca="false">IF(Q21&gt;0,P21/Q21,"")</f>
        <v/>
      </c>
      <c r="T21" s="26" t="str">
        <f aca="false">IF(Q21&gt;0,R21/Q21,"")</f>
        <v/>
      </c>
      <c r="U21" s="26" t="n">
        <f aca="false">(R21+Assumptions!$D$108*E21)/(Q21+Assumptions!$D$108)</f>
        <v>0.1065</v>
      </c>
      <c r="V21" s="37" t="n">
        <f aca="false">IF(U21&gt;0,IF(Q21&gt;=Assumptions!$D$86,S21,D21)/U21,0)</f>
        <v>1680.75117370892</v>
      </c>
      <c r="W21" s="48" t="n">
        <f aca="false">IF(F21&gt;0,V21/F21,"")</f>
        <v>1</v>
      </c>
      <c r="X21" s="2" t="str">
        <f aca="false">IF(D21=0,"Free – monitor quality",IF(F21=0,"SWITCH OFF – plan expects no qualified applicants",IF(AND(P21&lt;Assumptions!$D$85,Q21&lt;Assumptions!$D$86),"Wait – too little data",IF(OR(W21&gt;=Assumptions!$D$89,AND(R21=0,P21&gt;=Assumptions!$D$90,P21/F21&gt;=Assumptions!$D$91),AND(P21&gt;=Assumptions!$D$90,P21/F21&lt;Assumptions!$D$91,Q21&lt;Assumptions!$D$92*P21/D21)),"SWITCH OFF",IF(W21&gt;=Assumptions!$D$88,"CUT 50%",IF(W21&lt;=Assumptions!$D$87,"ADD +"&amp;TEXT(Assumptions!$D$100,"0%")&amp;"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39" t="n">
        <f aca="false">Channels!H22</f>
        <v>179</v>
      </c>
      <c r="E22" s="26" t="n">
        <f aca="false">Channels!I22</f>
        <v>0.1562</v>
      </c>
      <c r="F22" s="37" t="n">
        <f aca="false">Channels!O22</f>
        <v>1145.96670934699</v>
      </c>
      <c r="G22" s="18"/>
      <c r="H22" s="15"/>
      <c r="I22" s="15"/>
      <c r="J22" s="18"/>
      <c r="K22" s="15"/>
      <c r="L22" s="15"/>
      <c r="M22" s="18"/>
      <c r="N22" s="15"/>
      <c r="O22" s="15"/>
      <c r="P22" s="37" t="n">
        <f aca="false">G22+J22+M22</f>
        <v>0</v>
      </c>
      <c r="Q22" s="25" t="n">
        <f aca="false">H22+K22+N22</f>
        <v>0</v>
      </c>
      <c r="R22" s="25" t="n">
        <f aca="false">I22+L22+O22</f>
        <v>0</v>
      </c>
      <c r="S22" s="39" t="str">
        <f aca="false">IF(Q22&gt;0,P22/Q22,"")</f>
        <v/>
      </c>
      <c r="T22" s="26" t="str">
        <f aca="false">IF(Q22&gt;0,R22/Q22,"")</f>
        <v/>
      </c>
      <c r="U22" s="26" t="n">
        <f aca="false">(R22+Assumptions!$D$108*E22)/(Q22+Assumptions!$D$108)</f>
        <v>0.1562</v>
      </c>
      <c r="V22" s="37" t="n">
        <f aca="false">IF(U22&gt;0,IF(Q22&gt;=Assumptions!$D$86,S22,D22)/U22,0)</f>
        <v>1145.96670934699</v>
      </c>
      <c r="W22" s="48" t="n">
        <f aca="false">IF(F22&gt;0,V22/F22,"")</f>
        <v>1</v>
      </c>
      <c r="X22" s="2" t="str">
        <f aca="false">IF(D22=0,"Free – monitor quality",IF(F22=0,"SWITCH OFF – plan expects no qualified applicants",IF(AND(P22&lt;Assumptions!$D$85,Q22&lt;Assumptions!$D$86),"Wait – too little data",IF(OR(W22&gt;=Assumptions!$D$89,AND(R22=0,P22&gt;=Assumptions!$D$90,P22/F22&gt;=Assumptions!$D$91),AND(P22&gt;=Assumptions!$D$90,P22/F22&lt;Assumptions!$D$91,Q22&lt;Assumptions!$D$92*P22/D22)),"SWITCH OFF",IF(W22&gt;=Assumptions!$D$88,"CUT 50%",IF(W22&lt;=Assumptions!$D$87,"ADD +"&amp;TEXT(Assumptions!$D$100,"0%")&amp;"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39" t="n">
        <f aca="false">Channels!H23</f>
        <v>179</v>
      </c>
      <c r="E23" s="26" t="n">
        <f aca="false">Channels!I23</f>
        <v>0.1065</v>
      </c>
      <c r="F23" s="37" t="n">
        <f aca="false">Channels!O23</f>
        <v>1680.75117370892</v>
      </c>
      <c r="G23" s="18"/>
      <c r="H23" s="15"/>
      <c r="I23" s="15"/>
      <c r="J23" s="18"/>
      <c r="K23" s="15"/>
      <c r="L23" s="15"/>
      <c r="M23" s="18"/>
      <c r="N23" s="15"/>
      <c r="O23" s="15"/>
      <c r="P23" s="37" t="n">
        <f aca="false">G23+J23+M23</f>
        <v>0</v>
      </c>
      <c r="Q23" s="25" t="n">
        <f aca="false">H23+K23+N23</f>
        <v>0</v>
      </c>
      <c r="R23" s="25" t="n">
        <f aca="false">I23+L23+O23</f>
        <v>0</v>
      </c>
      <c r="S23" s="39" t="str">
        <f aca="false">IF(Q23&gt;0,P23/Q23,"")</f>
        <v/>
      </c>
      <c r="T23" s="26" t="str">
        <f aca="false">IF(Q23&gt;0,R23/Q23,"")</f>
        <v/>
      </c>
      <c r="U23" s="26" t="n">
        <f aca="false">(R23+Assumptions!$D$108*E23)/(Q23+Assumptions!$D$108)</f>
        <v>0.1065</v>
      </c>
      <c r="V23" s="37" t="n">
        <f aca="false">IF(U23&gt;0,IF(Q23&gt;=Assumptions!$D$86,S23,D23)/U23,0)</f>
        <v>1680.75117370892</v>
      </c>
      <c r="W23" s="48" t="n">
        <f aca="false">IF(F23&gt;0,V23/F23,"")</f>
        <v>1</v>
      </c>
      <c r="X23" s="2" t="str">
        <f aca="false">IF(D23=0,"Free – monitor quality",IF(F23=0,"SWITCH OFF – plan expects no qualified applicants",IF(AND(P23&lt;Assumptions!$D$85,Q23&lt;Assumptions!$D$86),"Wait – too little data",IF(OR(W23&gt;=Assumptions!$D$89,AND(R23=0,P23&gt;=Assumptions!$D$90,P23/F23&gt;=Assumptions!$D$91),AND(P23&gt;=Assumptions!$D$90,P23/F23&lt;Assumptions!$D$91,Q23&lt;Assumptions!$D$92*P23/D23)),"SWITCH OFF",IF(W23&gt;=Assumptions!$D$88,"CUT 50%",IF(W23&lt;=Assumptions!$D$87,"ADD +"&amp;TEXT(Assumptions!$D$100,"0%")&amp;"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39" t="n">
        <f aca="false">Channels!H24</f>
        <v>179</v>
      </c>
      <c r="E24" s="26" t="n">
        <f aca="false">Channels!I24</f>
        <v>0.071</v>
      </c>
      <c r="F24" s="37" t="n">
        <f aca="false">Channels!O24</f>
        <v>2521.12676056338</v>
      </c>
      <c r="G24" s="18"/>
      <c r="H24" s="15"/>
      <c r="I24" s="15"/>
      <c r="J24" s="18"/>
      <c r="K24" s="15"/>
      <c r="L24" s="15"/>
      <c r="M24" s="18"/>
      <c r="N24" s="15"/>
      <c r="O24" s="15"/>
      <c r="P24" s="37" t="n">
        <f aca="false">G24+J24+M24</f>
        <v>0</v>
      </c>
      <c r="Q24" s="25" t="n">
        <f aca="false">H24+K24+N24</f>
        <v>0</v>
      </c>
      <c r="R24" s="25" t="n">
        <f aca="false">I24+L24+O24</f>
        <v>0</v>
      </c>
      <c r="S24" s="39" t="str">
        <f aca="false">IF(Q24&gt;0,P24/Q24,"")</f>
        <v/>
      </c>
      <c r="T24" s="26" t="str">
        <f aca="false">IF(Q24&gt;0,R24/Q24,"")</f>
        <v/>
      </c>
      <c r="U24" s="26" t="n">
        <f aca="false">(R24+Assumptions!$D$108*E24)/(Q24+Assumptions!$D$108)</f>
        <v>0.071</v>
      </c>
      <c r="V24" s="37" t="n">
        <f aca="false">IF(U24&gt;0,IF(Q24&gt;=Assumptions!$D$86,S24,D24)/U24,0)</f>
        <v>2521.12676056338</v>
      </c>
      <c r="W24" s="48" t="n">
        <f aca="false">IF(F24&gt;0,V24/F24,"")</f>
        <v>1</v>
      </c>
      <c r="X24" s="2" t="str">
        <f aca="false">IF(D24=0,"Free – monitor quality",IF(F24=0,"SWITCH OFF – plan expects no qualified applicants",IF(AND(P24&lt;Assumptions!$D$85,Q24&lt;Assumptions!$D$86),"Wait – too little data",IF(OR(W24&gt;=Assumptions!$D$89,AND(R24=0,P24&gt;=Assumptions!$D$90,P24/F24&gt;=Assumptions!$D$91),AND(P24&gt;=Assumptions!$D$90,P24/F24&lt;Assumptions!$D$91,Q24&lt;Assumptions!$D$92*P24/D24)),"SWITCH OFF",IF(W24&gt;=Assumptions!$D$88,"CUT 50%",IF(W24&lt;=Assumptions!$D$87,"ADD +"&amp;TEXT(Assumptions!$D$100,"0%")&amp;"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39" t="n">
        <f aca="false">Channels!H25</f>
        <v>2.5</v>
      </c>
      <c r="E25" s="26" t="n">
        <f aca="false">Channels!I25</f>
        <v>0.5</v>
      </c>
      <c r="F25" s="37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37" t="n">
        <f aca="false">G25+J25+M25</f>
        <v>0</v>
      </c>
      <c r="Q25" s="25" t="n">
        <f aca="false">H25+K25+N25</f>
        <v>0</v>
      </c>
      <c r="R25" s="25" t="n">
        <f aca="false">I25+L25+O25</f>
        <v>0</v>
      </c>
      <c r="S25" s="39" t="str">
        <f aca="false">IF(Q25&gt;0,P25/Q25,"")</f>
        <v/>
      </c>
      <c r="T25" s="26" t="str">
        <f aca="false">IF(Q25&gt;0,R25/Q25,"")</f>
        <v/>
      </c>
      <c r="U25" s="26" t="n">
        <f aca="false">(R25+Assumptions!$D$108*E25)/(Q25+Assumptions!$D$108)</f>
        <v>0.5</v>
      </c>
      <c r="V25" s="37" t="n">
        <f aca="false">IF(U25&gt;0,IF(Q25&gt;=Assumptions!$D$86,S25,D25)/U25,0)</f>
        <v>5</v>
      </c>
      <c r="W25" s="48" t="n">
        <f aca="false">IF(F25&gt;0,V25/F25,"")</f>
        <v>1</v>
      </c>
      <c r="X25" s="2" t="str">
        <f aca="false">IF(D25=0,"Free – monitor quality",IF(F25=0,"SWITCH OFF – plan expects no qualified applicants",IF(AND(P25&lt;Assumptions!$D$85,Q25&lt;Assumptions!$D$86),"Wait – too little data",IF(OR(W25&gt;=Assumptions!$D$89,AND(R25=0,P25&gt;=Assumptions!$D$90,P25/F25&gt;=Assumptions!$D$91),AND(P25&gt;=Assumptions!$D$90,P25/F25&lt;Assumptions!$D$91,Q25&lt;Assumptions!$D$92*P25/D25)),"SWITCH OFF",IF(W25&gt;=Assumptions!$D$88,"CUT 50%",IF(W25&lt;=Assumptions!$D$87,"ADD +"&amp;TEXT(Assumptions!$D$100,"0%")&amp;"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39" t="n">
        <f aca="false">Channels!H26</f>
        <v>2.5</v>
      </c>
      <c r="E26" s="26" t="n">
        <f aca="false">Channels!I26</f>
        <v>0.5</v>
      </c>
      <c r="F26" s="37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37" t="n">
        <f aca="false">G26+J26+M26</f>
        <v>0</v>
      </c>
      <c r="Q26" s="25" t="n">
        <f aca="false">H26+K26+N26</f>
        <v>0</v>
      </c>
      <c r="R26" s="25" t="n">
        <f aca="false">I26+L26+O26</f>
        <v>0</v>
      </c>
      <c r="S26" s="39" t="str">
        <f aca="false">IF(Q26&gt;0,P26/Q26,"")</f>
        <v/>
      </c>
      <c r="T26" s="26" t="str">
        <f aca="false">IF(Q26&gt;0,R26/Q26,"")</f>
        <v/>
      </c>
      <c r="U26" s="26" t="n">
        <f aca="false">(R26+Assumptions!$D$108*E26)/(Q26+Assumptions!$D$108)</f>
        <v>0.5</v>
      </c>
      <c r="V26" s="37" t="n">
        <f aca="false">IF(U26&gt;0,IF(Q26&gt;=Assumptions!$D$86,S26,D26)/U26,0)</f>
        <v>5</v>
      </c>
      <c r="W26" s="48" t="n">
        <f aca="false">IF(F26&gt;0,V26/F26,"")</f>
        <v>1</v>
      </c>
      <c r="X26" s="2" t="str">
        <f aca="false">IF(D26=0,"Free – monitor quality",IF(F26=0,"SWITCH OFF – plan expects no qualified applicants",IF(AND(P26&lt;Assumptions!$D$85,Q26&lt;Assumptions!$D$86),"Wait – too little data",IF(OR(W26&gt;=Assumptions!$D$89,AND(R26=0,P26&gt;=Assumptions!$D$90,P26/F26&gt;=Assumptions!$D$91),AND(P26&gt;=Assumptions!$D$90,P26/F26&lt;Assumptions!$D$91,Q26&lt;Assumptions!$D$92*P26/D26)),"SWITCH OFF",IF(W26&gt;=Assumptions!$D$88,"CUT 50%",IF(W26&lt;=Assumptions!$D$87,"ADD +"&amp;TEXT(Assumptions!$D$100,"0%")&amp;"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39" t="n">
        <f aca="false">Channels!H27</f>
        <v>2.5</v>
      </c>
      <c r="E27" s="26" t="n">
        <f aca="false">Channels!I27</f>
        <v>0.5</v>
      </c>
      <c r="F27" s="37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37" t="n">
        <f aca="false">G27+J27+M27</f>
        <v>0</v>
      </c>
      <c r="Q27" s="25" t="n">
        <f aca="false">H27+K27+N27</f>
        <v>0</v>
      </c>
      <c r="R27" s="25" t="n">
        <f aca="false">I27+L27+O27</f>
        <v>0</v>
      </c>
      <c r="S27" s="39" t="str">
        <f aca="false">IF(Q27&gt;0,P27/Q27,"")</f>
        <v/>
      </c>
      <c r="T27" s="26" t="str">
        <f aca="false">IF(Q27&gt;0,R27/Q27,"")</f>
        <v/>
      </c>
      <c r="U27" s="26" t="n">
        <f aca="false">(R27+Assumptions!$D$108*E27)/(Q27+Assumptions!$D$108)</f>
        <v>0.5</v>
      </c>
      <c r="V27" s="37" t="n">
        <f aca="false">IF(U27&gt;0,IF(Q27&gt;=Assumptions!$D$86,S27,D27)/U27,0)</f>
        <v>5</v>
      </c>
      <c r="W27" s="48" t="n">
        <f aca="false">IF(F27&gt;0,V27/F27,"")</f>
        <v>1</v>
      </c>
      <c r="X27" s="2" t="str">
        <f aca="false">IF(D27=0,"Free – monitor quality",IF(F27=0,"SWITCH OFF – plan expects no qualified applicants",IF(AND(P27&lt;Assumptions!$D$85,Q27&lt;Assumptions!$D$86),"Wait – too little data",IF(OR(W27&gt;=Assumptions!$D$89,AND(R27=0,P27&gt;=Assumptions!$D$90,P27/F27&gt;=Assumptions!$D$91),AND(P27&gt;=Assumptions!$D$90,P27/F27&lt;Assumptions!$D$91,Q27&lt;Assumptions!$D$92*P27/D27)),"SWITCH OFF",IF(W27&gt;=Assumptions!$D$88,"CUT 50%",IF(W27&lt;=Assumptions!$D$87,"ADD +"&amp;TEXT(Assumptions!$D$100,"0%")&amp;"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39" t="n">
        <f aca="false">Channels!H28</f>
        <v>2.5</v>
      </c>
      <c r="E28" s="26" t="n">
        <f aca="false">Channels!I28</f>
        <v>0.5</v>
      </c>
      <c r="F28" s="37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37" t="n">
        <f aca="false">G28+J28+M28</f>
        <v>0</v>
      </c>
      <c r="Q28" s="25" t="n">
        <f aca="false">H28+K28+N28</f>
        <v>0</v>
      </c>
      <c r="R28" s="25" t="n">
        <f aca="false">I28+L28+O28</f>
        <v>0</v>
      </c>
      <c r="S28" s="39" t="str">
        <f aca="false">IF(Q28&gt;0,P28/Q28,"")</f>
        <v/>
      </c>
      <c r="T28" s="26" t="str">
        <f aca="false">IF(Q28&gt;0,R28/Q28,"")</f>
        <v/>
      </c>
      <c r="U28" s="26" t="n">
        <f aca="false">(R28+Assumptions!$D$108*E28)/(Q28+Assumptions!$D$108)</f>
        <v>0.5</v>
      </c>
      <c r="V28" s="37" t="n">
        <f aca="false">IF(U28&gt;0,IF(Q28&gt;=Assumptions!$D$86,S28,D28)/U28,0)</f>
        <v>5</v>
      </c>
      <c r="W28" s="48" t="n">
        <f aca="false">IF(F28&gt;0,V28/F28,"")</f>
        <v>1</v>
      </c>
      <c r="X28" s="2" t="str">
        <f aca="false">IF(D28=0,"Free – monitor quality",IF(F28=0,"SWITCH OFF – plan expects no qualified applicants",IF(AND(P28&lt;Assumptions!$D$85,Q28&lt;Assumptions!$D$86),"Wait – too little data",IF(OR(W28&gt;=Assumptions!$D$89,AND(R28=0,P28&gt;=Assumptions!$D$90,P28/F28&gt;=Assumptions!$D$91),AND(P28&gt;=Assumptions!$D$90,P28/F28&lt;Assumptions!$D$91,Q28&lt;Assumptions!$D$92*P28/D28)),"SWITCH OFF",IF(W28&gt;=Assumptions!$D$88,"CUT 50%",IF(W28&lt;=Assumptions!$D$87,"ADD +"&amp;TEXT(Assumptions!$D$100,"0%")&amp;"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39" t="n">
        <f aca="false">Channels!H29</f>
        <v>163.0125</v>
      </c>
      <c r="E29" s="26" t="n">
        <f aca="false">Channels!I29</f>
        <v>0.45</v>
      </c>
      <c r="F29" s="37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37" t="n">
        <f aca="false">G29+J29+M29</f>
        <v>0</v>
      </c>
      <c r="Q29" s="25" t="n">
        <f aca="false">H29+K29+N29</f>
        <v>0</v>
      </c>
      <c r="R29" s="25" t="n">
        <f aca="false">I29+L29+O29</f>
        <v>0</v>
      </c>
      <c r="S29" s="39" t="str">
        <f aca="false">IF(Q29&gt;0,P29/Q29,"")</f>
        <v/>
      </c>
      <c r="T29" s="26" t="str">
        <f aca="false">IF(Q29&gt;0,R29/Q29,"")</f>
        <v/>
      </c>
      <c r="U29" s="26" t="n">
        <f aca="false">(R29+Assumptions!$D$108*E29)/(Q29+Assumptions!$D$108)</f>
        <v>0.45</v>
      </c>
      <c r="V29" s="37" t="n">
        <f aca="false">IF(U29&gt;0,IF(Q29&gt;=Assumptions!$D$86,S29,D29)/U29,0)</f>
        <v>362.25</v>
      </c>
      <c r="W29" s="48" t="n">
        <f aca="false">IF(F29&gt;0,V29/F29,"")</f>
        <v>1</v>
      </c>
      <c r="X29" s="2" t="str">
        <f aca="false">IF(D29=0,"Free – monitor quality",IF(F29=0,"SWITCH OFF – plan expects no qualified applicants",IF(AND(P29&lt;Assumptions!$D$85,Q29&lt;Assumptions!$D$86),"Wait – too little data",IF(OR(W29&gt;=Assumptions!$D$89,AND(R29=0,P29&gt;=Assumptions!$D$90,P29/F29&gt;=Assumptions!$D$91),AND(P29&gt;=Assumptions!$D$90,P29/F29&lt;Assumptions!$D$91,Q29&lt;Assumptions!$D$92*P29/D29)),"SWITCH OFF",IF(W29&gt;=Assumptions!$D$88,"CUT 50%",IF(W29&lt;=Assumptions!$D$87,"ADD +"&amp;TEXT(Assumptions!$D$100,"0%")&amp;"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39" t="n">
        <f aca="false">Channels!H30</f>
        <v>192.121875</v>
      </c>
      <c r="E30" s="26" t="n">
        <f aca="false">Channels!I30</f>
        <v>0.45</v>
      </c>
      <c r="F30" s="37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37" t="n">
        <f aca="false">G30+J30+M30</f>
        <v>0</v>
      </c>
      <c r="Q30" s="25" t="n">
        <f aca="false">H30+K30+N30</f>
        <v>0</v>
      </c>
      <c r="R30" s="25" t="n">
        <f aca="false">I30+L30+O30</f>
        <v>0</v>
      </c>
      <c r="S30" s="39" t="str">
        <f aca="false">IF(Q30&gt;0,P30/Q30,"")</f>
        <v/>
      </c>
      <c r="T30" s="26" t="str">
        <f aca="false">IF(Q30&gt;0,R30/Q30,"")</f>
        <v/>
      </c>
      <c r="U30" s="26" t="n">
        <f aca="false">(R30+Assumptions!$D$108*E30)/(Q30+Assumptions!$D$108)</f>
        <v>0.45</v>
      </c>
      <c r="V30" s="37" t="n">
        <f aca="false">IF(U30&gt;0,IF(Q30&gt;=Assumptions!$D$86,S30,D30)/U30,0)</f>
        <v>426.9375</v>
      </c>
      <c r="W30" s="48" t="n">
        <f aca="false">IF(F30&gt;0,V30/F30,"")</f>
        <v>1</v>
      </c>
      <c r="X30" s="2" t="str">
        <f aca="false">IF(D30=0,"Free – monitor quality",IF(F30=0,"SWITCH OFF – plan expects no qualified applicants",IF(AND(P30&lt;Assumptions!$D$85,Q30&lt;Assumptions!$D$86),"Wait – too little data",IF(OR(W30&gt;=Assumptions!$D$89,AND(R30=0,P30&gt;=Assumptions!$D$90,P30/F30&gt;=Assumptions!$D$91),AND(P30&gt;=Assumptions!$D$90,P30/F30&lt;Assumptions!$D$91,Q30&lt;Assumptions!$D$92*P30/D30)),"SWITCH OFF",IF(W30&gt;=Assumptions!$D$88,"CUT 50%",IF(W30&lt;=Assumptions!$D$87,"ADD +"&amp;TEXT(Assumptions!$D$100,"0%")&amp;"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39" t="n">
        <f aca="false">Channels!H31</f>
        <v>146.71125</v>
      </c>
      <c r="E31" s="26" t="n">
        <f aca="false">Channels!I31</f>
        <v>0.45</v>
      </c>
      <c r="F31" s="37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37" t="n">
        <f aca="false">G31+J31+M31</f>
        <v>0</v>
      </c>
      <c r="Q31" s="25" t="n">
        <f aca="false">H31+K31+N31</f>
        <v>0</v>
      </c>
      <c r="R31" s="25" t="n">
        <f aca="false">I31+L31+O31</f>
        <v>0</v>
      </c>
      <c r="S31" s="39" t="str">
        <f aca="false">IF(Q31&gt;0,P31/Q31,"")</f>
        <v/>
      </c>
      <c r="T31" s="26" t="str">
        <f aca="false">IF(Q31&gt;0,R31/Q31,"")</f>
        <v/>
      </c>
      <c r="U31" s="26" t="n">
        <f aca="false">(R31+Assumptions!$D$108*E31)/(Q31+Assumptions!$D$108)</f>
        <v>0.45</v>
      </c>
      <c r="V31" s="37" t="n">
        <f aca="false">IF(U31&gt;0,IF(Q31&gt;=Assumptions!$D$86,S31,D31)/U31,0)</f>
        <v>326.025</v>
      </c>
      <c r="W31" s="48" t="n">
        <f aca="false">IF(F31&gt;0,V31/F31,"")</f>
        <v>1</v>
      </c>
      <c r="X31" s="2" t="str">
        <f aca="false">IF(D31=0,"Free – monitor quality",IF(F31=0,"SWITCH OFF – plan expects no qualified applicants",IF(AND(P31&lt;Assumptions!$D$85,Q31&lt;Assumptions!$D$86),"Wait – too little data",IF(OR(W31&gt;=Assumptions!$D$89,AND(R31=0,P31&gt;=Assumptions!$D$90,P31/F31&gt;=Assumptions!$D$91),AND(P31&gt;=Assumptions!$D$90,P31/F31&lt;Assumptions!$D$91,Q31&lt;Assumptions!$D$92*P31/D31)),"SWITCH OFF",IF(W31&gt;=Assumptions!$D$88,"CUT 50%",IF(W31&lt;=Assumptions!$D$87,"ADD +"&amp;TEXT(Assumptions!$D$100,"0%")&amp;"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39" t="n">
        <f aca="false">Channels!H32</f>
        <v>123.165</v>
      </c>
      <c r="E32" s="26" t="n">
        <f aca="false">Channels!I32</f>
        <v>0.45</v>
      </c>
      <c r="F32" s="37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37" t="n">
        <f aca="false">G32+J32+M32</f>
        <v>0</v>
      </c>
      <c r="Q32" s="25" t="n">
        <f aca="false">H32+K32+N32</f>
        <v>0</v>
      </c>
      <c r="R32" s="25" t="n">
        <f aca="false">I32+L32+O32</f>
        <v>0</v>
      </c>
      <c r="S32" s="39" t="str">
        <f aca="false">IF(Q32&gt;0,P32/Q32,"")</f>
        <v/>
      </c>
      <c r="T32" s="26" t="str">
        <f aca="false">IF(Q32&gt;0,R32/Q32,"")</f>
        <v/>
      </c>
      <c r="U32" s="26" t="n">
        <f aca="false">(R32+Assumptions!$D$108*E32)/(Q32+Assumptions!$D$108)</f>
        <v>0.45</v>
      </c>
      <c r="V32" s="37" t="n">
        <f aca="false">IF(U32&gt;0,IF(Q32&gt;=Assumptions!$D$86,S32,D32)/U32,0)</f>
        <v>273.7</v>
      </c>
      <c r="W32" s="48" t="n">
        <f aca="false">IF(F32&gt;0,V32/F32,"")</f>
        <v>1</v>
      </c>
      <c r="X32" s="2" t="str">
        <f aca="false">IF(D32=0,"Free – monitor quality",IF(F32=0,"SWITCH OFF – plan expects no qualified applicants",IF(AND(P32&lt;Assumptions!$D$85,Q32&lt;Assumptions!$D$86),"Wait – too little data",IF(OR(W32&gt;=Assumptions!$D$89,AND(R32=0,P32&gt;=Assumptions!$D$90,P32/F32&gt;=Assumptions!$D$91),AND(P32&gt;=Assumptions!$D$90,P32/F32&lt;Assumptions!$D$91,Q32&lt;Assumptions!$D$92*P32/D32)),"SWITCH OFF",IF(W32&gt;=Assumptions!$D$88,"CUT 50%",IF(W32&lt;=Assumptions!$D$87,"ADD +"&amp;TEXT(Assumptions!$D$100,"0%")&amp;"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39" t="n">
        <f aca="false">Channels!H33</f>
        <v>84</v>
      </c>
      <c r="E33" s="26" t="n">
        <f aca="false">Channels!I33</f>
        <v>0.15</v>
      </c>
      <c r="F33" s="37" t="n">
        <f aca="false">Channels!O33</f>
        <v>560</v>
      </c>
      <c r="G33" s="18"/>
      <c r="H33" s="15"/>
      <c r="I33" s="15"/>
      <c r="J33" s="18"/>
      <c r="K33" s="15"/>
      <c r="L33" s="15"/>
      <c r="M33" s="18"/>
      <c r="N33" s="15"/>
      <c r="O33" s="15"/>
      <c r="P33" s="37" t="n">
        <f aca="false">G33+J33+M33</f>
        <v>0</v>
      </c>
      <c r="Q33" s="25" t="n">
        <f aca="false">H33+K33+N33</f>
        <v>0</v>
      </c>
      <c r="R33" s="25" t="n">
        <f aca="false">I33+L33+O33</f>
        <v>0</v>
      </c>
      <c r="S33" s="39" t="str">
        <f aca="false">IF(Q33&gt;0,P33/Q33,"")</f>
        <v/>
      </c>
      <c r="T33" s="26" t="str">
        <f aca="false">IF(Q33&gt;0,R33/Q33,"")</f>
        <v/>
      </c>
      <c r="U33" s="26" t="n">
        <f aca="false">(R33+Assumptions!$D$108*E33)/(Q33+Assumptions!$D$108)</f>
        <v>0.15</v>
      </c>
      <c r="V33" s="37" t="n">
        <f aca="false">IF(U33&gt;0,IF(Q33&gt;=Assumptions!$D$86,S33,D33)/U33,0)</f>
        <v>560</v>
      </c>
      <c r="W33" s="48" t="n">
        <f aca="false">IF(F33&gt;0,V33/F33,"")</f>
        <v>1</v>
      </c>
      <c r="X33" s="2" t="str">
        <f aca="false">IF(D33=0,"Free – monitor quality",IF(F33=0,"SWITCH OFF – plan expects no qualified applicants",IF(AND(P33&lt;Assumptions!$D$85,Q33&lt;Assumptions!$D$86),"Wait – too little data",IF(OR(W33&gt;=Assumptions!$D$89,AND(R33=0,P33&gt;=Assumptions!$D$90,P33/F33&gt;=Assumptions!$D$91),AND(P33&gt;=Assumptions!$D$90,P33/F33&lt;Assumptions!$D$91,Q33&lt;Assumptions!$D$92*P33/D33)),"SWITCH OFF",IF(W33&gt;=Assumptions!$D$88,"CUT 50%",IF(W33&lt;=Assumptions!$D$87,"ADD +"&amp;TEXT(Assumptions!$D$100,"0%")&amp;"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39" t="n">
        <f aca="false">Channels!H34</f>
        <v>18.75</v>
      </c>
      <c r="E34" s="26" t="n">
        <f aca="false">Channels!I34</f>
        <v>0.14</v>
      </c>
      <c r="F34" s="37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37" t="n">
        <f aca="false">G34+J34+M34</f>
        <v>0</v>
      </c>
      <c r="Q34" s="25" t="n">
        <f aca="false">H34+K34+N34</f>
        <v>0</v>
      </c>
      <c r="R34" s="25" t="n">
        <f aca="false">I34+L34+O34</f>
        <v>0</v>
      </c>
      <c r="S34" s="39" t="str">
        <f aca="false">IF(Q34&gt;0,P34/Q34,"")</f>
        <v/>
      </c>
      <c r="T34" s="26" t="str">
        <f aca="false">IF(Q34&gt;0,R34/Q34,"")</f>
        <v/>
      </c>
      <c r="U34" s="26" t="n">
        <f aca="false">(R34+Assumptions!$D$108*E34)/(Q34+Assumptions!$D$108)</f>
        <v>0.14</v>
      </c>
      <c r="V34" s="37" t="n">
        <f aca="false">IF(U34&gt;0,IF(Q34&gt;=Assumptions!$D$86,S34,D34)/U34,0)</f>
        <v>133.928571428571</v>
      </c>
      <c r="W34" s="48" t="n">
        <f aca="false">IF(F34&gt;0,V34/F34,"")</f>
        <v>1</v>
      </c>
      <c r="X34" s="2" t="str">
        <f aca="false">IF(D34=0,"Free – monitor quality",IF(F34=0,"SWITCH OFF – plan expects no qualified applicants",IF(AND(P34&lt;Assumptions!$D$85,Q34&lt;Assumptions!$D$86),"Wait – too little data",IF(OR(W34&gt;=Assumptions!$D$89,AND(R34=0,P34&gt;=Assumptions!$D$90,P34/F34&gt;=Assumptions!$D$91),AND(P34&gt;=Assumptions!$D$90,P34/F34&lt;Assumptions!$D$91,Q34&lt;Assumptions!$D$92*P34/D34)),"SWITCH OFF",IF(W34&gt;=Assumptions!$D$88,"CUT 50%",IF(W34&lt;=Assumptions!$D$87,"ADD +"&amp;TEXT(Assumptions!$D$100,"0%")&amp;" (if slots free)","HOLD"))))))</f>
        <v>Wait – too little data</v>
      </c>
    </row>
    <row r="35" customFormat="false" ht="15" hidden="false" customHeight="false" outlineLevel="0" collapsed="false">
      <c r="B35" s="24" t="s">
        <v>426</v>
      </c>
      <c r="G35" s="38" t="n">
        <f aca="false">SUM(G5:G34)</f>
        <v>0</v>
      </c>
      <c r="H35" s="29" t="n">
        <f aca="false">SUM(H5:H34)</f>
        <v>0</v>
      </c>
      <c r="I35" s="29" t="n">
        <f aca="false">SUM(I5:I34)</f>
        <v>0</v>
      </c>
      <c r="J35" s="38" t="n">
        <f aca="false">SUM(J5:J34)</f>
        <v>0</v>
      </c>
      <c r="K35" s="29" t="n">
        <f aca="false">SUM(K5:K34)</f>
        <v>0</v>
      </c>
      <c r="L35" s="29" t="n">
        <f aca="false">SUM(L5:L34)</f>
        <v>0</v>
      </c>
      <c r="M35" s="38" t="n">
        <f aca="false">SUM(M5:M34)</f>
        <v>0</v>
      </c>
      <c r="N35" s="29" t="n">
        <f aca="false">SUM(N5:N34)</f>
        <v>0</v>
      </c>
      <c r="O35" s="29" t="n">
        <f aca="false">SUM(O5:O34)</f>
        <v>0</v>
      </c>
      <c r="P35" s="38" t="n">
        <f aca="false">SUM(P5:P34)</f>
        <v>0</v>
      </c>
      <c r="Q35" s="29" t="n">
        <f aca="false">SUM(Q5:Q34)</f>
        <v>0</v>
      </c>
      <c r="R35" s="29" t="n">
        <f aca="false">SUM(R5:R34)</f>
        <v>0</v>
      </c>
    </row>
    <row r="38" customFormat="false" ht="15" hidden="false" customHeight="false" outlineLevel="0" collapsed="false">
      <c r="A38" s="24" t="s">
        <v>740</v>
      </c>
    </row>
    <row r="39" customFormat="false" ht="45" hidden="false" customHeight="true" outlineLevel="0" collapsed="false">
      <c r="A39" s="12"/>
      <c r="B39" s="12" t="s">
        <v>283</v>
      </c>
      <c r="C39" s="12" t="s">
        <v>741</v>
      </c>
      <c r="D39" s="12" t="s">
        <v>742</v>
      </c>
      <c r="E39" s="12" t="s">
        <v>743</v>
      </c>
      <c r="F39" s="12" t="s">
        <v>744</v>
      </c>
      <c r="G39" s="12" t="s">
        <v>745</v>
      </c>
      <c r="H39" s="12" t="s">
        <v>746</v>
      </c>
      <c r="I39" s="12" t="s">
        <v>747</v>
      </c>
      <c r="J39" s="12" t="s">
        <v>748</v>
      </c>
      <c r="K39" s="12" t="s">
        <v>749</v>
      </c>
      <c r="L39" s="12" t="s">
        <v>750</v>
      </c>
      <c r="M39" s="12" t="s">
        <v>751</v>
      </c>
      <c r="N39" s="12" t="s">
        <v>752</v>
      </c>
      <c r="O39" s="12" t="s">
        <v>49</v>
      </c>
      <c r="P39" s="12" t="s">
        <v>753</v>
      </c>
    </row>
    <row r="40" customFormat="false" ht="15" hidden="false" customHeight="false" outlineLevel="0" collapsed="false">
      <c r="B40" s="2" t="s">
        <v>50</v>
      </c>
      <c r="C40" s="15"/>
      <c r="D40" s="15"/>
      <c r="E40" s="15"/>
      <c r="F40" s="15"/>
      <c r="G40" s="15"/>
      <c r="H40" s="26" t="n">
        <f aca="false">Assumptions!$D$33</f>
        <v>0.5</v>
      </c>
      <c r="I40" s="26" t="n">
        <f aca="false">IF(D40&gt;=Assumptions!$D$101,E40/D40,H40)</f>
        <v>0.5</v>
      </c>
      <c r="J40" s="26" t="n">
        <f aca="false">Assumptions!$D$41</f>
        <v>0.7</v>
      </c>
      <c r="K40" s="26" t="n">
        <f aca="false">IF(F40&gt;=Assumptions!$D$102,G40/F40,J40)</f>
        <v>0.7</v>
      </c>
      <c r="L40" s="27" t="n">
        <f aca="false">IF(Funnel!O5*Funnel!G5&gt;0,I40*Assumptions!$D$37*K40*Budget!G21/(Funnel!O5*Funnel!G5),0)</f>
        <v>0.310819324673479</v>
      </c>
      <c r="M40" s="28" t="n">
        <f aca="false">MAX(0,Funnel!O5-C40)</f>
        <v>96.5190952380953</v>
      </c>
      <c r="N40" s="42" t="n">
        <f aca="false">MIN(O40,G40+(F40-G40)*K40+(E40-F40)*Assumptions!$D$37*K40+(C40-D40)*L40+M40*L40)</f>
        <v>30</v>
      </c>
      <c r="O40" s="25" t="n">
        <f aca="false">Funnel!B5</f>
        <v>30</v>
      </c>
      <c r="P40" s="28" t="n">
        <f aca="false">O40-N40</f>
        <v>0</v>
      </c>
    </row>
    <row r="41" customFormat="false" ht="15" hidden="false" customHeight="false" outlineLevel="0" collapsed="false">
      <c r="B41" s="2" t="s">
        <v>45</v>
      </c>
      <c r="C41" s="15"/>
      <c r="D41" s="15"/>
      <c r="E41" s="15"/>
      <c r="F41" s="15"/>
      <c r="G41" s="15"/>
      <c r="H41" s="26" t="n">
        <f aca="false">Assumptions!$D$34</f>
        <v>0.55</v>
      </c>
      <c r="I41" s="26" t="n">
        <f aca="false">IF(D41&gt;=Assumptions!$D$101,E41/D41,H41)</f>
        <v>0.55</v>
      </c>
      <c r="J41" s="26" t="n">
        <f aca="false">Assumptions!$D$42</f>
        <v>0.75</v>
      </c>
      <c r="K41" s="26" t="n">
        <f aca="false">IF(F41&gt;=Assumptions!$D$102,G41/F41,J41)</f>
        <v>0.75</v>
      </c>
      <c r="L41" s="27" t="n">
        <f aca="false">IF(Funnel!O6*Funnel!G6&gt;0,I41*Assumptions!$D$38*K41*Budget!G22/(Funnel!O6*Funnel!G6),0)</f>
        <v>0.37930472549832</v>
      </c>
      <c r="M41" s="28" t="n">
        <f aca="false">MAX(0,Funnel!O6-C41)</f>
        <v>118.638121212121</v>
      </c>
      <c r="N41" s="42" t="n">
        <f aca="false">MIN(O41,G41+(F41-G41)*K41+(E41-F41)*Assumptions!$D$38*K41+(C41-D41)*L41+M41*L41)</f>
        <v>45</v>
      </c>
      <c r="O41" s="25" t="n">
        <f aca="false">Funnel!B6</f>
        <v>45</v>
      </c>
      <c r="P41" s="28" t="n">
        <f aca="false">O41-N41</f>
        <v>0</v>
      </c>
    </row>
    <row r="42" customFormat="false" ht="15" hidden="false" customHeight="false" outlineLevel="0" collapsed="false">
      <c r="B42" s="2" t="s">
        <v>55</v>
      </c>
      <c r="C42" s="15"/>
      <c r="D42" s="15"/>
      <c r="E42" s="15"/>
      <c r="F42" s="15"/>
      <c r="G42" s="15"/>
      <c r="H42" s="26" t="n">
        <f aca="false">Assumptions!$D$35</f>
        <v>0.45</v>
      </c>
      <c r="I42" s="26" t="n">
        <f aca="false">IF(D42&gt;=Assumptions!$D$101,E42/D42,H42)</f>
        <v>0.45</v>
      </c>
      <c r="J42" s="26" t="n">
        <f aca="false">Assumptions!$D$43</f>
        <v>0.7</v>
      </c>
      <c r="K42" s="26" t="n">
        <f aca="false">IF(F42&gt;=Assumptions!$D$102,G42/F42,J42)</f>
        <v>0.7</v>
      </c>
      <c r="L42" s="27" t="n">
        <f aca="false">IF(Funnel!O7*Funnel!G7&gt;0,I42*Assumptions!$D$39*K42*Budget!G23/(Funnel!O7*Funnel!G7),0)</f>
        <v>0.28815646438625</v>
      </c>
      <c r="M42" s="28" t="n">
        <f aca="false">MAX(0,Funnel!O7-C42)</f>
        <v>52.0550529100529</v>
      </c>
      <c r="N42" s="42" t="n">
        <f aca="false">MIN(O42,G42+(F42-G42)*K42+(E42-F42)*Assumptions!$D$39*K42+(C42-D42)*L42+M42*L42)</f>
        <v>15</v>
      </c>
      <c r="O42" s="25" t="n">
        <f aca="false">Funnel!B7</f>
        <v>15</v>
      </c>
      <c r="P42" s="28" t="n">
        <f aca="false">O42-N42</f>
        <v>0</v>
      </c>
    </row>
    <row r="43" customFormat="false" ht="15" hidden="false" customHeight="false" outlineLevel="0" collapsed="false">
      <c r="B43" s="2" t="s">
        <v>57</v>
      </c>
      <c r="C43" s="15"/>
      <c r="D43" s="15"/>
      <c r="E43" s="15"/>
      <c r="F43" s="15"/>
      <c r="G43" s="15"/>
      <c r="H43" s="26" t="n">
        <f aca="false">Assumptions!$D$36</f>
        <v>0.4</v>
      </c>
      <c r="I43" s="26" t="n">
        <f aca="false">IF(D43&gt;=Assumptions!$D$101,E43/D43,H43)</f>
        <v>0.4</v>
      </c>
      <c r="J43" s="26" t="n">
        <f aca="false">Assumptions!$D$44</f>
        <v>0.7</v>
      </c>
      <c r="K43" s="26" t="n">
        <f aca="false">IF(F43&gt;=Assumptions!$D$102,G43/F43,J43)</f>
        <v>0.7</v>
      </c>
      <c r="L43" s="27" t="n">
        <f aca="false">IF(Funnel!O8*Funnel!G8&gt;0,I43*Assumptions!$D$40*K43*Budget!G24/(Funnel!O8*Funnel!G8),0)</f>
        <v>0.241487732854974</v>
      </c>
      <c r="M43" s="28" t="n">
        <f aca="false">MAX(0,Funnel!O8-C43)</f>
        <v>36.235</v>
      </c>
      <c r="N43" s="42" t="n">
        <f aca="false">MIN(O43,G43+(F43-G43)*K43+(E43-F43)*Assumptions!$D$40*K43+(C43-D43)*L43+M43*L43)</f>
        <v>8.750308</v>
      </c>
      <c r="O43" s="25" t="n">
        <f aca="false">Funnel!B8</f>
        <v>10</v>
      </c>
      <c r="P43" s="28" t="n">
        <f aca="false">O43-N43</f>
        <v>1.249692</v>
      </c>
    </row>
    <row r="44" customFormat="false" ht="15" hidden="false" customHeight="false" outlineLevel="0" collapsed="false">
      <c r="B44" s="24" t="s">
        <v>426</v>
      </c>
      <c r="C44" s="31" t="n">
        <f aca="false">SUM(C40:C43)</f>
        <v>0</v>
      </c>
      <c r="D44" s="31" t="n">
        <f aca="false">SUM(D40:D43)</f>
        <v>0</v>
      </c>
      <c r="E44" s="31" t="n">
        <f aca="false">SUM(E40:E43)</f>
        <v>0</v>
      </c>
      <c r="F44" s="31" t="n">
        <f aca="false">SUM(F40:F43)</f>
        <v>0</v>
      </c>
      <c r="G44" s="31" t="n">
        <f aca="false">SUM(G40:G43)</f>
        <v>0</v>
      </c>
      <c r="M44" s="31" t="n">
        <f aca="false">SUM(M40:M43)</f>
        <v>303.447269360269</v>
      </c>
      <c r="N44" s="31" t="n">
        <f aca="false">SUM(N40:N43)</f>
        <v>98.750308</v>
      </c>
      <c r="O44" s="31" t="n">
        <f aca="false">SUM(O40:O43)</f>
        <v>100</v>
      </c>
      <c r="P44" s="31" t="n">
        <f aca="false">SUM(P40:P43)</f>
        <v>1.249692</v>
      </c>
    </row>
    <row r="46" customFormat="false" ht="15" hidden="false" customHeight="true" outlineLevel="0" collapsed="false">
      <c r="A46" s="9" t="s">
        <v>754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2026-10-09T06:26:12Z</dcterms:created>
  <dc:creator>openpyxl</dc:creator>
  <dc:description/>
  <dc:language>en-US</dc:language>
  <cp:lastModifiedBy/>
  <dcterms:modified xsi:type="dcterms:W3CDTF">2026-10-09T06:26:12Z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