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<sst xmlns="http://schemas.openxmlformats.org/spreadsheetml/2006/main" count="1500" uniqueCount="794">
  <si>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</si>
  <si>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</si>
  <si>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</si>
  <si>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</si>
  <si>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</si>
  <si>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</si>
  <si>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</si>
  <si>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</si>
  <si>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</si>
  <si>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</si>
  <si>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</si>
  <si>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</si>
  <si>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</si>
  <si>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</si>
  <si>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</si>
  <si>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</si>
  <si>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</si>
  <si>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</si>
  <si>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</si>
  <si>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</si>
  <si>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</si>
  <si>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</si>
  <si>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</si>
  <si>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</si>
  <si>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</si>
  <si>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</si>
  <si>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</si>
  <si>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</si>
  <si>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</si>
  <si>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</si>
  <si>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</si>
  <si>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</si>
  <si>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</si>
  <si>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</si>
  <si>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</si>
  <si>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</si>
  <si>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</si>
  <si>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</si>
  <si>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</si>
  <si>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</si>
  <si>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</si>
  <si>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</si>
  <si>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</si>
  <si>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</si>
  <si>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</si>
  <si>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</si>
  <si>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</si>
  <si>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</si>
  <si>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</si>
  <si>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</si>
  <si>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</si>
  <si>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</si>
  <si>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</si>
  <si>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</si>
  <si>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</si>
  <si>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</si>
  <si>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</si>
  <si>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</si>
  <si>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</si>
  <si>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</si>
  <si>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</si>
  <si>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</si>
  <si>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</si>
  <si>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</si>
  <si>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</si>
  <si>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</si>
  <si>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</si>
  <si>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</si>
  <si>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</si>
  <si>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</si>
  <si>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</si>
  <si>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</si>
  <si>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</si>
  <si>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</si>
  <si>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</si>
  <si>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</si>
  <si>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</si>
  <si>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</si>
  <si>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</si>
  <si>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</si>
  <si>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</si>
  <si>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</si>
  <si>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</si>
  <si>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</si>
  <si>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</si>
  <si>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</si>
  <si>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</si>
  <si>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</si>
  <si>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</si>
  <si>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</si>
  <si>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</si>
  <si>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</si>
  <si>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</si>
  <si>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</si>
  <si>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</si>
  <si>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</si>
  <si>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</si>
  <si>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</si>
  <si>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</si>
  <si>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</si>
  <si>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</si>
  <si>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</si>
  <si>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</si>
  <si>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</si>
  <si>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</si>
  <si>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</si>
  <si>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</si>
  <si>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</si>
  <si>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</si>
  <si>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</si>
  <si>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</si>
  <si>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</si>
  <si>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</si>
  <si>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</si>
  <si>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</si>
  <si>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</si>
  <si>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</si>
  <si>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</si>
  <si>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</si>
  <si>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</si>
  <si>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</si>
  <si>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</si>
  <si>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</si>
  <si>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</si>
  <si>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</si>
  <si>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</si>
  <si>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</si>
  <si>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</si>
  <si>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</si>
  <si>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</si>
  <si>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</si>
  <si>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</si>
  <si>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</si>
  <si>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</si>
  <si>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</si>
  <si>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</si>
  <si>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</si>
  <si>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</si>
  <si>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</si>
  <si>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</si>
  <si>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</si>
  <si>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</si>
  <si>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</si>
  <si>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</si>
  <si>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</si>
  <si>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</si>
  <si>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</si>
  <si>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</si>
  <si>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</si>
  <si>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</si>
  <si>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</si>
  <si>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</si>
  <si>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</si>
  <si>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</si>
  <si>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</si>
  <si>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</si>
  <si>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</si>
  <si>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</si>
  <si>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</si>
  <si>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</si>
  <si>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</si>
  <si>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</si>
  <si>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</si>
  <si>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</si>
  <si>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</si>
  <si>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</si>
  <si>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</si>
  <si>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</si>
  <si>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</si>
  <si>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</si>
  <si>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</si>
  <si>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</si>
  <si>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</si>
  <si>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</si>
  <si>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</si>
  <si>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</si>
  <si>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</si>
  <si>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</si>
  <si>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</si>
  <si>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</si>
  <si>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</si>
  <si>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</si>
  <si>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</si>
  <si>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</si>
  <si>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</si>
  <si>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</si>
  <si>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</si>
  <si>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</si>
  <si>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</si>
  <si>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</si>
  <si>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</si>
  <si>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</si>
  <si>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</si>
  <si>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</si>
  <si>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</si>
  <si>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</si>
  <si>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</si>
  <si>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</si>
  <si>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</si>
  <si>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</si>
  <si>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</si>
  <si>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</si>
  <si>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</si>
  <si>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</si>
  <si>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</si>
  <si>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</si>
  <si>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</si>
  <si>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</si>
  <si>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</si>
  <si>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</si>
  <si>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</si>
  <si>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</si>
  <si>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</si>
  <si>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</si>
  <si>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</si>
  <si>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</si>
  <si>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</si>
  <si>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</si>
  <si>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</si>
  <si>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</si>
  <si>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</si>
  <si>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</si>
  <si>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</si>
  <si>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</si>
  <si>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</si>
  <si>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</si>
  <si>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</si>
  <si>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</si>
  <si>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</si>
  <si>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</si>
  <si>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</si>
  <si>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</si>
  <si>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</si>
  <si>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</si>
  <si>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</si>
  <si>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</si>
  <si>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</si>
  <si>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</si>
  <si>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</si>
  <si>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</si>
  <si>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</si>
  <si>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</si>
  <si>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</si>
  <si>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</si>
  <si>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</si>
  <si>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</si>
  <si>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</si>
  <si>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</si>
  <si>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</si>
  <si>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</si>
  <si>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</si>
  <si>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</si>
  <si>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</si>
  <si>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</si>
  <si>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</si>
  <si>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</si>
  <si>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</si>
  <si>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</si>
  <si>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</si>
  <si>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</si>
  <si>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</si>
  <si>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</si>
  <si>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</si>
  <si>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</si>
  <si>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</si>
  <si>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</si>
  <si>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</si>
  <si>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</si>
  <si>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</si>
  <si>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</si>
  <si>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</si>
  <si>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</si>
  <si>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</si>
  <si>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</si>
  <si>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</si>
  <si>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</si>
  <si>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</si>
  <si>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</si>
  <si>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</si>
  <si>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</si>
  <si>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</si>
  <si>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</si>
  <si>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</si>
  <si>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</si>
  <si>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</si>
  <si>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</si>
  <si>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</si>
  <si>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</si>
  <si>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</si>
  <si>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</si>
  <si>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</si>
  <si>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</si>
  <si>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</si>
  <si>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</si>
  <si>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</si>
  <si>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</si>
  <si>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</si>
  <si>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</si>
  <si>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</si>
  <si>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</si>
  <si>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</si>
  <si>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</si>
  <si>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</si>
  <si>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</si>
  <si>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</si>
  <si>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</si>
  <si>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</si>
  <si>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</si>
  <si>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</si>
  <si>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</si>
  <si>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</si>
  <si>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</si>
  <si>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</si>
  <si>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</si>
  <si>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</si>
  <si>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</si>
  <si>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</si>
  <si>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</si>
  <si>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</si>
  <si>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</si>
  <si>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</si>
  <si>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</si>
  <si>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</si>
  <si>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</si>
  <si>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</si>
  <si>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</si>
  <si>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</si>
  <si>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</si>
  <si>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</si>
  <si>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</si>
  <si>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</si>
  <si>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</si>
  <si>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</si>
  <si>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</si>
  <si>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</si>
  <si>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</si>
  <si>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</si>
  <si>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</si>
  <si>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</si>
  <si>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</si>
  <si>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</si>
  <si>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</si>
  <si>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</si>
  <si>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</si>
  <si>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</si>
  <si>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</si>
  <si>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</si>
  <si>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</si>
  <si>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</si>
  <si>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</si>
  <si>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</si>
  <si>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</si>
  <si>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</si>
  <si>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</si>
  <si>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</si>
  <si>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</si>
  <si>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</si>
  <si>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</si>
  <si>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</si>
  <si>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</si>
  <si>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</si>
  <si>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</si>
  <si>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</si>
  <si>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</si>
  <si>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</si>
  <si>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</si>
  <si>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</si>
  <si>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</si>
  <si>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</si>
  <si>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</si>
  <si>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</si>
  <si>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</si>
  <si>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</si>
  <si>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</si>
  <si>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</si>
  <si>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</si>
  <si>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</si>
  <si>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</si>
  <si>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</si>
  <si>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</si>
  <si>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</si>
  <si>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</si>
  <si>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</si>
  <si>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</si>
  <si>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</si>
  <si>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</si>
  <si>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</si>
  <si>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</si>
  <si>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</si>
  <si>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</si>
  <si>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</si>
  <si>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</si>
  <si>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</si>
  <si>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</si>
  <si>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</si>
  <si>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</si>
  <si>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</si>
  <si>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</si>
  <si>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</si>
  <si>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</si>
  <si>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</si>
  <si>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</si>
  <si>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</si>
  <si>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</si>
  <si>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</si>
  <si>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</si>
  <si>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</si>
  <si>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</si>
  <si>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</si>
  <si>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</si>
  <si>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</si>
  <si>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</si>
  <si>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</si>
  <si>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</si>
  <si>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</si>
  <si>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</si>
  <si>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</si>
  <si>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</si>
  <si>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</si>
  <si>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</si>
  <si>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</si>
  <si>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</si>
  <si>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</si>
  <si>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</si>
  <si>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</si>
  <si>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</si>
  <si>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</si>
  <si>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</si>
  <si>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</si>
  <si>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</si>
  <si>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</si>
  <si>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</si>
  <si>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</si>
  <si>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</si>
  <si>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</si>
  <si>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</si>
  <si>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</si>
  <si>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</si>
  <si>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</si>
  <si>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</si>
  <si>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</si>
  <si>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</si>
  <si>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</si>
  <si>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</si>
  <si>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</si>
  <si>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</si>
  <si>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</si>
  <si>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</si>
  <si>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</si>
  <si>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</si>
  <si>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</si>
  <si>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</si>
  <si>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</si>
  <si>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</si>
  <si>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</si>
  <si>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</si>
  <si>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</si>
  <si>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</si>
  <si>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</si>
  <si>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</si>
  <si>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</si>
  <si>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</si>
  <si>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</si>
  <si>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</si>
  <si>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</si>
  <si>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</si>
  <si>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</si>
  <si>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</si>
  <si>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</si>
  <si>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</si>
  <si>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</si>
  <si>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</si>
  <si>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</si>
  <si>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</si>
  <si>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</si>
  <si>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</si>
  <si>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</si>
  <si>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</si>
  <si>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</si>
  <si>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</si>
  <si>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</si>
  <si>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</si>
  <si>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</si>
  <si>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</si>
  <si>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</si>
  <si>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</si>
  <si>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</si>
  <si>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</si>
  <si>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</si>
  <si>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</si>
  <si>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</si>
  <si>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</si>
  <si>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</si>
  <si>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</si>
  <si>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</si>
  <si>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</si>
  <si>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</si>
  <si>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</si>
  <si>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</si>
  <si>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</si>
  <si>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</si>
  <si>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</si>
  <si>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</si>
  <si>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</si>
  <si>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</si>
  <si>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</si>
  <si>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</si>
  <si>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</si>
  <si>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</si>
  <si>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</si>
  <si>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</si>
  <si>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</si>
  <si>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</si>
  <si>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</si>
  <si>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</si>
  <si>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</si>
  <si>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</si>
  <si>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</si>
  <si>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</si>
  <si>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</si>
  <si>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</si>
  <si>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</si>
  <si>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</si>
  <si>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</si>
  <si>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</si>
  <si>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</si>
  <si>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</si>
  <si>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</si>
  <si>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</si>
  <si>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</si>
  <si>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</si>
  <si>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</si>
  <si>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</si>
  <si>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</si>
  <si>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</si>
  <si>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</si>
  <si>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</si>
  <si>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</si>
  <si>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</si>
  <si>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</si>
  <si>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</si>
  <si>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</si>
  <si>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</si>
  <si>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</si>
  <si>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</si>
  <si>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</si>
  <si>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</si>
  <si>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</si>
  <si>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</si>
  <si>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</si>
  <si>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</si>
  <si>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</si>
  <si>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</si>
  <si>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</si>
  <si>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</si>
  <si>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</si>
  <si>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</si>
  <si>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</si>
  <si>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</si>
  <si>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</si>
  <si>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</si>
  <si>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</si>
  <si>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</si>
  <si>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</si>
  <si>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</si>
  <si>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</si>
  <si>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</si>
  <si>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</si>
  <si>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</si>
  <si>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</si>
  <si>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</si>
  <si>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</si>
  <si>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</si>
  <si>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</si>
  <si>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</si>
  <si>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</si>
  <si>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</si>
  <si>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</si>
  <si>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</si>
  <si>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</si>
  <si>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</si>
  <si>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</si>
  <si>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</si>
  <si>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</si>
  <si>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</si>
  <si>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</si>
  <si>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</si>
  <si>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</si>
  <si>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</si>
  <si>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</si>
  <si>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</si>
  <si>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</si>
  <si>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</si>
  <si>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</si>
  <si>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</si>
  <si>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</si>
  <si>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</si>
  <si>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</si>
  <si>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</si>
  <si>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</si>
  <si>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</si>
  <si>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</si>
  <si>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</si>
  <si>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</si>
  <si>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</si>
  <si>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</si>
  <si>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</si>
  <si>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</si>
  <si>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</si>
  <si>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</si>
  <si>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</si>
  <si>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</si>
  <si>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</si>
  <si>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</si>
  <si>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</si>
  <si>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</si>
  <si>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</si>
  <si>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</si>
  <si>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</si>
  <si>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</si>
  <si>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</si>
  <si>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</si>
  <si>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</si>
  <si>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</si>
  <si>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</si>
  <si>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</si>
  <si>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</si>
  <si>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</si>
  <si>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</si>
  <si>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</si>
  <si>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</si>
  <si>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</si>
  <si>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</si>
  <si>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</si>
  <si>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</si>
  <si>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</si>
  <si>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</si>
  <si>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</si>
  <si>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</si>
  <si>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</si>
  <si>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</si>
  <si>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</si>
  <si>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</si>
  <si>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</si>
  <si>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</si>
  <si>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</si>
  <si>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</si>
  <si>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</si>
  <si>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</si>
  <si>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</si>
  <si>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</si>
  <si>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</si>
  <si>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</si>
  <si>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</si>
  <si>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</si>
  <si>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</si>
  <si>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</si>
  <si>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</si>
  <si>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</si>
  <si>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</si>
  <si>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</si>
  <si>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</si>
  <si>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</si>
  <si>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</si>
  <si>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</si>
  <si>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</si>
  <si>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</si>
  <si>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</si>
  <si>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</si>
  <si>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</si>
  <si>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</si>
  <si>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</si>
  <si>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</si>
  <si>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</si>
  <si>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</si>
  <si>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</si>
  <si>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</si>
  <si>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</si>
  <si>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</si>
  <si>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</si>
  <si>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</si>
  <si>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</si>
  <si>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</si>
  <si>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</si>
  <si>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</si>
  <si>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</si>
  <si>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</si>
  <si>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</si>
  <si>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</si>
  <si>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</si>
  <si>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</si>
  <si>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</si>
  <si>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</si>
  <si>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</si>
  <si>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</si>
  <si>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</si>
  <si>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</si>
  <si>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</si>
  <si>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</si>
  <si>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</si>
  <si>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</si>
  <si>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</si>
  <si>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</si>
  <si>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</si>
  <si>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</si>
  <si>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</si>
  <si>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</si>
  <si>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</si>
  <si>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I2 live days (fallback)</t>
  </si>
  <si>
    <t xml:space="preserve">I3 live days (fallback)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</si>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</sst>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social-media-recruiting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pin.com/blog/recruiting-outreach-benchmark-report/" TargetMode="External"/><Relationship Id="rId74" Type="http://schemas.openxmlformats.org/officeDocument/2006/relationships/hyperlink" Target="https://www.shrm.org/mena/topics-tools/news/technology/talent-rediscovery-tools-help-address-labor-shortages" TargetMode="External"/><Relationship Id="rId75" Type="http://schemas.openxmlformats.org/officeDocument/2006/relationships/hyperlink" Target="https://iab-forum.de/online-medien-sind-bei-der-personalsuche-auf-dem-vormarsch/" TargetMode="External"/><Relationship Id="rId76" Type="http://schemas.openxmlformats.org/officeDocument/2006/relationships/hyperlink" Target="https://www.seven.io/en/prices/" TargetMode="External"/><Relationship Id="rId77" Type="http://schemas.openxmlformats.org/officeDocument/2006/relationships/hyperlink" Target="https://www.personalwirtschaft.de/?p=166393" TargetMode="External"/><Relationship Id="rId78" Type="http://schemas.openxmlformats.org/officeDocument/2006/relationships/hyperlink" Target="https://www.metaview.ai/resources/blog/do-referred-candidates-interview-better" TargetMode="External"/><Relationship Id="rId79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0" Type="http://schemas.openxmlformats.org/officeDocument/2006/relationships/hyperlink" Target="https://www.talentbait.de/social-media-recruiting" TargetMode="External"/><Relationship Id="rId81" Type="http://schemas.openxmlformats.org/officeDocument/2006/relationships/hyperlink" Target="https://www.freelancermap.de/freelancer/texterstellung" TargetMode="External"/><Relationship Id="rId82" Type="http://schemas.openxmlformats.org/officeDocument/2006/relationships/hyperlink" Target="https://dlafirm.pracuj.pl/cennik-uslug/pakiety-ogloszen" TargetMode="External"/><Relationship Id="rId83" Type="http://schemas.openxmlformats.org/officeDocument/2006/relationships/hyperlink" Target="https://ec.europa.eu/eurostat/databrowser/view/edat_aes_l23/default/table" TargetMode="External"/><Relationship Id="rId84" Type="http://schemas.openxmlformats.org/officeDocument/2006/relationships/hyperlink" Target="https://www.indeed.com/hire/c/info/what-is-a-phone-screen" TargetMode="External"/><Relationship Id="rId85" Type="http://schemas.openxmlformats.org/officeDocument/2006/relationships/hyperlink" Target="https://rocketjobs.pl/oferta-pracy/intent-tech-recruiter-freelance--warszawa-hr-recruitment-9e0cdcee" TargetMode="External"/><Relationship Id="rId86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70</v>
      </c>
      <c r="G124" s="17" t="s">
        <v>313</v>
      </c>
    </row>
    <row r="126" customFormat="false" ht="15" hidden="false" customHeight="false" outlineLevel="0" collapsed="false">
      <c r="A126" s="10" t="s">
        <v>314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 customFormat="false" ht="45" hidden="false" customHeight="true" outlineLevel="0" collapsed="false">
      <c r="A127" s="12" t="s">
        <v>22</v>
      </c>
      <c r="B127" s="12" t="s">
        <v>315</v>
      </c>
      <c r="C127" s="12" t="s">
        <v>316</v>
      </c>
      <c r="D127" s="12" t="s">
        <v>317</v>
      </c>
      <c r="E127" s="12" t="s">
        <v>318</v>
      </c>
      <c r="F127" s="12" t="s">
        <v>319</v>
      </c>
      <c r="G127" s="12" t="s">
        <v>320</v>
      </c>
      <c r="H127" s="12" t="s">
        <v>321</v>
      </c>
      <c r="I127" s="12" t="s">
        <v>322</v>
      </c>
      <c r="J127" s="12" t="s">
        <v>323</v>
      </c>
      <c r="K127" s="12" t="s">
        <v>27</v>
      </c>
      <c r="L127" s="12" t="s">
        <v>28</v>
      </c>
    </row>
    <row r="128" customFormat="false" ht="26.85" hidden="false" customHeight="false" outlineLevel="0" collapsed="false">
      <c r="A128" s="2" t="s">
        <v>324</v>
      </c>
      <c r="B128" s="13" t="s">
        <v>325</v>
      </c>
      <c r="C128" s="2" t="s">
        <v>48</v>
      </c>
      <c r="D128" s="2" t="s">
        <v>326</v>
      </c>
      <c r="E128" s="23" t="n">
        <v>0</v>
      </c>
      <c r="F128" s="24"/>
      <c r="G128" s="25" t="n">
        <f aca="false">Assumptions!$D$29*Assumptions!$D$109</f>
        <v>0.175</v>
      </c>
      <c r="H128" s="26" t="n">
        <f aca="false">ROUND(Assumptions!$D$11*Assumptions!$D$114*Assumptions!$D$115,0)</f>
        <v>105</v>
      </c>
      <c r="I128" s="20" t="n">
        <v>1</v>
      </c>
      <c r="J128" s="18" t="n">
        <v>0</v>
      </c>
      <c r="K128" s="2" t="s">
        <v>70</v>
      </c>
      <c r="L128" s="17" t="s">
        <v>327</v>
      </c>
    </row>
    <row r="129" customFormat="false" ht="26.85" hidden="false" customHeight="false" outlineLevel="0" collapsed="false">
      <c r="A129" s="2" t="s">
        <v>328</v>
      </c>
      <c r="B129" s="13" t="s">
        <v>325</v>
      </c>
      <c r="C129" s="2" t="s">
        <v>43</v>
      </c>
      <c r="D129" s="2" t="s">
        <v>326</v>
      </c>
      <c r="E129" s="23" t="n">
        <v>0</v>
      </c>
      <c r="F129" s="24"/>
      <c r="G129" s="25" t="n">
        <f aca="false">Assumptions!$D$30*Assumptions!$D$109</f>
        <v>0.175</v>
      </c>
      <c r="H129" s="26" t="n">
        <f aca="false">ROUND(Assumptions!$D$12*Assumptions!$D$114*Assumptions!$D$115,0)</f>
        <v>158</v>
      </c>
      <c r="I129" s="20" t="n">
        <v>1</v>
      </c>
      <c r="J129" s="18" t="n">
        <v>0</v>
      </c>
      <c r="K129" s="2" t="s">
        <v>70</v>
      </c>
      <c r="L129" s="17" t="s">
        <v>327</v>
      </c>
    </row>
    <row r="130" customFormat="false" ht="26.85" hidden="false" customHeight="false" outlineLevel="0" collapsed="false">
      <c r="A130" s="2" t="s">
        <v>329</v>
      </c>
      <c r="B130" s="13" t="s">
        <v>325</v>
      </c>
      <c r="C130" s="2" t="s">
        <v>52</v>
      </c>
      <c r="D130" s="2" t="s">
        <v>326</v>
      </c>
      <c r="E130" s="23" t="n">
        <v>0</v>
      </c>
      <c r="F130" s="24"/>
      <c r="G130" s="25" t="n">
        <f aca="false">Assumptions!$D$31*Assumptions!$D$109</f>
        <v>0.175</v>
      </c>
      <c r="H130" s="26" t="n">
        <f aca="false">ROUND(Assumptions!$D$13*Assumptions!$D$114*Assumptions!$D$115,0)</f>
        <v>53</v>
      </c>
      <c r="I130" s="20" t="n">
        <v>1</v>
      </c>
      <c r="J130" s="18" t="n">
        <v>0</v>
      </c>
      <c r="K130" s="2" t="s">
        <v>70</v>
      </c>
      <c r="L130" s="17" t="s">
        <v>327</v>
      </c>
    </row>
    <row r="131" customFormat="false" ht="26.85" hidden="false" customHeight="false" outlineLevel="0" collapsed="false">
      <c r="A131" s="2" t="s">
        <v>330</v>
      </c>
      <c r="B131" s="13" t="s">
        <v>325</v>
      </c>
      <c r="C131" s="2" t="s">
        <v>54</v>
      </c>
      <c r="D131" s="2" t="s">
        <v>326</v>
      </c>
      <c r="E131" s="23" t="n">
        <v>0</v>
      </c>
      <c r="F131" s="24"/>
      <c r="G131" s="25" t="n">
        <f aca="false">Assumptions!$D$32*Assumptions!$D$109</f>
        <v>0.161</v>
      </c>
      <c r="H131" s="26" t="n">
        <f aca="false">ROUND(Assumptions!$D$14*Assumptions!$D$114*Assumptions!$D$115,0)</f>
        <v>35</v>
      </c>
      <c r="I131" s="20" t="n">
        <v>1</v>
      </c>
      <c r="J131" s="18" t="n">
        <v>0</v>
      </c>
      <c r="K131" s="2" t="s">
        <v>70</v>
      </c>
      <c r="L131" s="17" t="s">
        <v>327</v>
      </c>
    </row>
    <row r="132" customFormat="false" ht="26.85" hidden="false" customHeight="false" outlineLevel="0" collapsed="false">
      <c r="A132" s="2" t="s">
        <v>331</v>
      </c>
      <c r="B132" s="13" t="s">
        <v>332</v>
      </c>
      <c r="C132" s="2" t="s">
        <v>48</v>
      </c>
      <c r="D132" s="2" t="s">
        <v>333</v>
      </c>
      <c r="E132" s="23" t="n">
        <v>161</v>
      </c>
      <c r="F132" s="24"/>
      <c r="G132" s="25" t="n">
        <f aca="false">Assumptions!$D$29*Assumptions!$D$108</f>
        <v>0.225</v>
      </c>
      <c r="H132" s="26" t="n">
        <f aca="false">IF(G132&gt;0,ROUND((Assumptions!$D$68*Assumptions!$D$72+Assumptions!$D$76)*Assumptions!$D$111/G132,-1),0)</f>
        <v>910</v>
      </c>
      <c r="I132" s="20" t="n">
        <v>1</v>
      </c>
      <c r="J132" s="18" t="n">
        <v>0</v>
      </c>
      <c r="K132" s="2" t="s">
        <v>70</v>
      </c>
      <c r="L132" s="17" t="s">
        <v>334</v>
      </c>
    </row>
    <row r="133" customFormat="false" ht="26.85" hidden="false" customHeight="false" outlineLevel="0" collapsed="false">
      <c r="A133" s="2" t="s">
        <v>335</v>
      </c>
      <c r="B133" s="13" t="s">
        <v>332</v>
      </c>
      <c r="C133" s="2" t="s">
        <v>43</v>
      </c>
      <c r="D133" s="2" t="s">
        <v>333</v>
      </c>
      <c r="E133" s="23" t="n">
        <v>161</v>
      </c>
      <c r="F133" s="24"/>
      <c r="G133" s="25" t="n">
        <f aca="false">Assumptions!$D$30*Assumptions!$D$108</f>
        <v>0.225</v>
      </c>
      <c r="H133" s="26" t="n">
        <f aca="false">IF(G133&gt;0,ROUND((Assumptions!$D$69*Assumptions!$D$73+Assumptions!$D$77)*Assumptions!$D$111/G133,-1),0)</f>
        <v>4690</v>
      </c>
      <c r="I133" s="20" t="n">
        <v>1</v>
      </c>
      <c r="J133" s="18" t="n">
        <v>0</v>
      </c>
      <c r="K133" s="2" t="s">
        <v>70</v>
      </c>
      <c r="L133" s="17" t="s">
        <v>334</v>
      </c>
    </row>
    <row r="134" customFormat="false" ht="26.85" hidden="false" customHeight="false" outlineLevel="0" collapsed="false">
      <c r="A134" s="2" t="s">
        <v>336</v>
      </c>
      <c r="B134" s="13" t="s">
        <v>332</v>
      </c>
      <c r="C134" s="2" t="s">
        <v>52</v>
      </c>
      <c r="D134" s="2" t="s">
        <v>333</v>
      </c>
      <c r="E134" s="23" t="n">
        <v>161</v>
      </c>
      <c r="F134" s="24"/>
      <c r="G134" s="25" t="n">
        <f aca="false">Assumptions!$D$31*Assumptions!$D$108</f>
        <v>0.225</v>
      </c>
      <c r="H134" s="26" t="n">
        <f aca="false">IF(G134&gt;0,ROUND((Assumptions!$D$70*Assumptions!$D$74+Assumptions!$D$78)*Assumptions!$D$111/G134,-1),0)</f>
        <v>380</v>
      </c>
      <c r="I134" s="20" t="n">
        <v>1</v>
      </c>
      <c r="J134" s="18" t="n">
        <v>0</v>
      </c>
      <c r="K134" s="2" t="s">
        <v>70</v>
      </c>
      <c r="L134" s="17" t="s">
        <v>334</v>
      </c>
    </row>
    <row r="135" customFormat="false" ht="26.85" hidden="false" customHeight="false" outlineLevel="0" collapsed="false">
      <c r="A135" s="2" t="s">
        <v>337</v>
      </c>
      <c r="B135" s="13" t="s">
        <v>332</v>
      </c>
      <c r="C135" s="2" t="s">
        <v>54</v>
      </c>
      <c r="D135" s="2" t="s">
        <v>333</v>
      </c>
      <c r="E135" s="23" t="n">
        <v>161</v>
      </c>
      <c r="F135" s="24"/>
      <c r="G135" s="25" t="n">
        <f aca="false">Assumptions!$D$32*Assumptions!$D$108</f>
        <v>0.207</v>
      </c>
      <c r="H135" s="26" t="n">
        <f aca="false">IF(G135&gt;0,ROUND((Assumptions!$D$71*Assumptions!$D$75+Assumptions!$D$79)*Assumptions!$D$111/G135,-1),0)</f>
        <v>430</v>
      </c>
      <c r="I135" s="20" t="n">
        <v>1</v>
      </c>
      <c r="J135" s="18" t="n">
        <v>0</v>
      </c>
      <c r="K135" s="2" t="s">
        <v>70</v>
      </c>
      <c r="L135" s="17" t="s">
        <v>334</v>
      </c>
    </row>
    <row r="136" customFormat="false" ht="15" hidden="false" customHeight="false" outlineLevel="0" collapsed="false">
      <c r="A136" s="2" t="s">
        <v>338</v>
      </c>
      <c r="B136" s="13" t="s">
        <v>339</v>
      </c>
      <c r="C136" s="2" t="s">
        <v>48</v>
      </c>
      <c r="D136" s="2" t="s">
        <v>340</v>
      </c>
      <c r="E136" s="23" t="n">
        <v>1449</v>
      </c>
      <c r="F136" s="15" t="n">
        <v>12</v>
      </c>
      <c r="G136" s="25" t="n">
        <f aca="false">Assumptions!$D$29*Assumptions!$D$108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341</v>
      </c>
    </row>
    <row r="137" customFormat="false" ht="15" hidden="false" customHeight="false" outlineLevel="0" collapsed="false">
      <c r="A137" s="2" t="s">
        <v>342</v>
      </c>
      <c r="B137" s="13" t="s">
        <v>339</v>
      </c>
      <c r="C137" s="2" t="s">
        <v>43</v>
      </c>
      <c r="D137" s="2" t="s">
        <v>340</v>
      </c>
      <c r="E137" s="23" t="n">
        <v>1449</v>
      </c>
      <c r="F137" s="15" t="n">
        <v>12</v>
      </c>
      <c r="G137" s="25" t="n">
        <f aca="false">Assumptions!$D$30*Assumptions!$D$108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341</v>
      </c>
    </row>
    <row r="138" customFormat="false" ht="15" hidden="false" customHeight="false" outlineLevel="0" collapsed="false">
      <c r="A138" s="2" t="s">
        <v>343</v>
      </c>
      <c r="B138" s="13" t="s">
        <v>339</v>
      </c>
      <c r="C138" s="2" t="s">
        <v>52</v>
      </c>
      <c r="D138" s="2" t="s">
        <v>340</v>
      </c>
      <c r="E138" s="23" t="n">
        <v>1449</v>
      </c>
      <c r="F138" s="15" t="n">
        <v>12</v>
      </c>
      <c r="G138" s="25" t="n">
        <f aca="false">Assumptions!$D$31*Assumptions!$D$108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70</v>
      </c>
      <c r="L138" s="17" t="s">
        <v>341</v>
      </c>
    </row>
    <row r="139" customFormat="false" ht="15" hidden="false" customHeight="false" outlineLevel="0" collapsed="false">
      <c r="A139" s="2" t="s">
        <v>344</v>
      </c>
      <c r="B139" s="13" t="s">
        <v>339</v>
      </c>
      <c r="C139" s="2" t="s">
        <v>54</v>
      </c>
      <c r="D139" s="2" t="s">
        <v>340</v>
      </c>
      <c r="E139" s="23" t="n">
        <v>1449</v>
      </c>
      <c r="F139" s="15" t="n">
        <v>12</v>
      </c>
      <c r="G139" s="25" t="n">
        <f aca="false">Assumptions!$D$32*Assumptions!$D$108</f>
        <v>0.207</v>
      </c>
      <c r="H139" s="26" t="n">
        <f aca="false">MAX(0,ROUNDUP((Funnel!$B$20-Assumptions!$D$7+1)/Assumptions!$D$119,0))</f>
        <v>1</v>
      </c>
      <c r="I139" s="20" t="n">
        <v>1</v>
      </c>
      <c r="J139" s="18" t="n">
        <v>0</v>
      </c>
      <c r="K139" s="2" t="s">
        <v>70</v>
      </c>
      <c r="L139" s="17" t="s">
        <v>341</v>
      </c>
    </row>
    <row r="140" customFormat="false" ht="15" hidden="false" customHeight="false" outlineLevel="0" collapsed="false">
      <c r="A140" s="2" t="s">
        <v>345</v>
      </c>
      <c r="B140" s="13" t="s">
        <v>346</v>
      </c>
      <c r="C140" s="2" t="s">
        <v>52</v>
      </c>
      <c r="D140" s="2" t="s">
        <v>333</v>
      </c>
      <c r="E140" s="23" t="n">
        <v>96</v>
      </c>
      <c r="F140" s="24"/>
      <c r="G140" s="25" t="n">
        <f aca="false">Assumptions!$D$31*Assumptions!$D$108</f>
        <v>0.225</v>
      </c>
      <c r="H140" s="26" t="n">
        <f aca="false">IF(G140&gt;0,ROUND((Assumptions!$D$70*Assumptions!$D$74+Assumptions!$D$78)*Assumptions!$D$112/G140,-1),0)</f>
        <v>160</v>
      </c>
      <c r="I140" s="20" t="n">
        <v>1</v>
      </c>
      <c r="J140" s="18" t="n">
        <v>0</v>
      </c>
      <c r="K140" s="2" t="s">
        <v>70</v>
      </c>
      <c r="L140" s="17" t="s">
        <v>347</v>
      </c>
    </row>
    <row r="141" customFormat="false" ht="15" hidden="false" customHeight="false" outlineLevel="0" collapsed="false">
      <c r="A141" s="2" t="s">
        <v>348</v>
      </c>
      <c r="B141" s="13" t="s">
        <v>346</v>
      </c>
      <c r="C141" s="2" t="s">
        <v>54</v>
      </c>
      <c r="D141" s="2" t="s">
        <v>333</v>
      </c>
      <c r="E141" s="23" t="n">
        <v>96</v>
      </c>
      <c r="F141" s="24"/>
      <c r="G141" s="25" t="n">
        <f aca="false">Assumptions!$D$32*Assumptions!$D$108</f>
        <v>0.207</v>
      </c>
      <c r="H141" s="26" t="n">
        <f aca="false">IF(G141&gt;0,ROUND((Assumptions!$D$71*Assumptions!$D$75+Assumptions!$D$79)*Assumptions!$D$112/G141,-1),0)</f>
        <v>180</v>
      </c>
      <c r="I141" s="20" t="n">
        <v>1</v>
      </c>
      <c r="J141" s="18" t="n">
        <v>0</v>
      </c>
      <c r="K141" s="2" t="s">
        <v>70</v>
      </c>
      <c r="L141" s="17" t="s">
        <v>347</v>
      </c>
    </row>
    <row r="142" customFormat="false" ht="15" hidden="false" customHeight="false" outlineLevel="0" collapsed="false">
      <c r="A142" s="2" t="s">
        <v>349</v>
      </c>
      <c r="B142" s="13" t="s">
        <v>350</v>
      </c>
      <c r="C142" s="2" t="s">
        <v>48</v>
      </c>
      <c r="D142" s="2" t="s">
        <v>333</v>
      </c>
      <c r="E142" s="23" t="n">
        <v>84</v>
      </c>
      <c r="F142" s="24"/>
      <c r="G142" s="25" t="n">
        <f aca="false">Assumptions!$D$29*Assumptions!$D$110</f>
        <v>0.1025</v>
      </c>
      <c r="H142" s="26" t="n">
        <f aca="false">IF(G142&gt;0,ROUND(Assumptions!$D$116/G142,-1),0)</f>
        <v>200</v>
      </c>
      <c r="I142" s="20" t="n">
        <v>1</v>
      </c>
      <c r="J142" s="18" t="n">
        <v>0</v>
      </c>
      <c r="K142" s="2" t="s">
        <v>63</v>
      </c>
      <c r="L142" s="17" t="s">
        <v>351</v>
      </c>
    </row>
    <row r="143" customFormat="false" ht="15" hidden="false" customHeight="false" outlineLevel="0" collapsed="false">
      <c r="A143" s="2" t="s">
        <v>352</v>
      </c>
      <c r="B143" s="13" t="s">
        <v>350</v>
      </c>
      <c r="C143" s="2" t="s">
        <v>43</v>
      </c>
      <c r="D143" s="2" t="s">
        <v>333</v>
      </c>
      <c r="E143" s="23" t="n">
        <v>84</v>
      </c>
      <c r="F143" s="24"/>
      <c r="G143" s="25" t="n">
        <f aca="false">Assumptions!$D$30*Assumptions!$D$110</f>
        <v>0.1025</v>
      </c>
      <c r="H143" s="26" t="n">
        <f aca="false">IF(G143&gt;0,ROUND(Assumptions!$D$117/G143,-1),0)</f>
        <v>220</v>
      </c>
      <c r="I143" s="20" t="n">
        <v>1</v>
      </c>
      <c r="J143" s="18" t="n">
        <v>0</v>
      </c>
      <c r="K143" s="2" t="s">
        <v>63</v>
      </c>
      <c r="L143" s="17" t="s">
        <v>351</v>
      </c>
    </row>
    <row r="144" customFormat="false" ht="15" hidden="false" customHeight="false" outlineLevel="0" collapsed="false">
      <c r="A144" s="2" t="s">
        <v>353</v>
      </c>
      <c r="B144" s="13" t="s">
        <v>354</v>
      </c>
      <c r="C144" s="2" t="s">
        <v>48</v>
      </c>
      <c r="D144" s="2" t="s">
        <v>333</v>
      </c>
      <c r="E144" s="23" t="n">
        <v>179</v>
      </c>
      <c r="F144" s="24"/>
      <c r="G144" s="25" t="n">
        <f aca="false">Assumptions!$D$29*Assumptions!$D$109</f>
        <v>0.175</v>
      </c>
      <c r="H144" s="26" t="n">
        <f aca="false">IF(G144&gt;0,ROUND((Assumptions!$D$68*Assumptions!$D$72+Assumptions!$D$76)*Assumptions!$D$113/G144,-1),0)</f>
        <v>340</v>
      </c>
      <c r="I144" s="20" t="n">
        <v>1</v>
      </c>
      <c r="J144" s="18" t="n">
        <v>0</v>
      </c>
      <c r="K144" s="2" t="s">
        <v>70</v>
      </c>
      <c r="L144" s="17" t="s">
        <v>355</v>
      </c>
    </row>
    <row r="145" customFormat="false" ht="15" hidden="false" customHeight="false" outlineLevel="0" collapsed="false">
      <c r="A145" s="2" t="s">
        <v>356</v>
      </c>
      <c r="B145" s="13" t="s">
        <v>354</v>
      </c>
      <c r="C145" s="2" t="s">
        <v>43</v>
      </c>
      <c r="D145" s="2" t="s">
        <v>333</v>
      </c>
      <c r="E145" s="23" t="n">
        <v>179</v>
      </c>
      <c r="F145" s="24"/>
      <c r="G145" s="25" t="n">
        <f aca="false">Assumptions!$D$30*Assumptions!$D$109</f>
        <v>0.175</v>
      </c>
      <c r="H145" s="26" t="n">
        <f aca="false">IF(G145&gt;0,ROUND((Assumptions!$D$69*Assumptions!$D$73+Assumptions!$D$77)*Assumptions!$D$113/G145,-1),0)</f>
        <v>1760</v>
      </c>
      <c r="I145" s="20" t="n">
        <v>1</v>
      </c>
      <c r="J145" s="18" t="n">
        <v>0</v>
      </c>
      <c r="K145" s="2" t="s">
        <v>70</v>
      </c>
      <c r="L145" s="17" t="s">
        <v>355</v>
      </c>
    </row>
    <row r="146" customFormat="false" ht="15" hidden="false" customHeight="false" outlineLevel="0" collapsed="false">
      <c r="A146" s="2" t="s">
        <v>357</v>
      </c>
      <c r="B146" s="13" t="s">
        <v>354</v>
      </c>
      <c r="C146" s="2" t="s">
        <v>52</v>
      </c>
      <c r="D146" s="2" t="s">
        <v>333</v>
      </c>
      <c r="E146" s="23" t="n">
        <v>179</v>
      </c>
      <c r="F146" s="24"/>
      <c r="G146" s="25" t="n">
        <f aca="false">Assumptions!$D$31*Assumptions!$D$109</f>
        <v>0.175</v>
      </c>
      <c r="H146" s="26" t="n">
        <f aca="false">IF(G146&gt;0,ROUND((Assumptions!$D$70*Assumptions!$D$74+Assumptions!$D$78)*Assumptions!$D$113/G146,-1),0)</f>
        <v>140</v>
      </c>
      <c r="I146" s="20" t="n">
        <v>1</v>
      </c>
      <c r="J146" s="18" t="n">
        <v>0</v>
      </c>
      <c r="K146" s="2" t="s">
        <v>70</v>
      </c>
      <c r="L146" s="17" t="s">
        <v>355</v>
      </c>
    </row>
    <row r="147" customFormat="false" ht="15" hidden="false" customHeight="false" outlineLevel="0" collapsed="false">
      <c r="A147" s="2" t="s">
        <v>358</v>
      </c>
      <c r="B147" s="13" t="s">
        <v>354</v>
      </c>
      <c r="C147" s="2" t="s">
        <v>54</v>
      </c>
      <c r="D147" s="2" t="s">
        <v>333</v>
      </c>
      <c r="E147" s="23" t="n">
        <v>179</v>
      </c>
      <c r="F147" s="24"/>
      <c r="G147" s="25" t="n">
        <f aca="false">Assumptions!$D$32*Assumptions!$D$109</f>
        <v>0.161</v>
      </c>
      <c r="H147" s="26" t="n">
        <f aca="false">IF(G147&gt;0,ROUND((Assumptions!$D$71*Assumptions!$D$75+Assumptions!$D$79)*Assumptions!$D$113/G147,-1),0)</f>
        <v>160</v>
      </c>
      <c r="I147" s="20" t="n">
        <v>1</v>
      </c>
      <c r="J147" s="18" t="n">
        <v>0</v>
      </c>
      <c r="K147" s="2" t="s">
        <v>70</v>
      </c>
      <c r="L147" s="17" t="s">
        <v>355</v>
      </c>
    </row>
    <row r="149" customFormat="false" ht="15" hidden="false" customHeight="false" outlineLevel="0" collapsed="false">
      <c r="A149" s="10" t="s">
        <v>359</v>
      </c>
      <c r="B149" s="11"/>
      <c r="C149" s="11"/>
      <c r="D149" s="11"/>
      <c r="E149" s="11"/>
      <c r="F149" s="11"/>
      <c r="G149" s="11"/>
    </row>
    <row r="150" customFormat="false" ht="15" hidden="false" customHeight="false" outlineLevel="0" collapsed="false">
      <c r="A150" s="12" t="s">
        <v>22</v>
      </c>
      <c r="B150" s="12" t="s">
        <v>23</v>
      </c>
      <c r="C150" s="12" t="s">
        <v>24</v>
      </c>
      <c r="D150" s="12" t="s">
        <v>25</v>
      </c>
      <c r="E150" s="12" t="s">
        <v>26</v>
      </c>
      <c r="F150" s="12" t="s">
        <v>27</v>
      </c>
      <c r="G150" s="12" t="s">
        <v>28</v>
      </c>
    </row>
    <row r="151" customFormat="false" ht="26.85" hidden="false" customHeight="false" outlineLevel="0" collapsed="false">
      <c r="A151" s="2" t="s">
        <v>360</v>
      </c>
      <c r="B151" s="13" t="s">
        <v>361</v>
      </c>
      <c r="C151" s="2" t="s">
        <v>48</v>
      </c>
      <c r="D151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1" s="2" t="s">
        <v>362</v>
      </c>
      <c r="F151" s="2" t="s">
        <v>63</v>
      </c>
      <c r="G151" s="13" t="s">
        <v>363</v>
      </c>
    </row>
    <row r="152" customFormat="false" ht="26.85" hidden="false" customHeight="false" outlineLevel="0" collapsed="false">
      <c r="A152" s="2" t="s">
        <v>364</v>
      </c>
      <c r="B152" s="13" t="s">
        <v>361</v>
      </c>
      <c r="C152" s="2" t="s">
        <v>43</v>
      </c>
      <c r="D152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2" s="2" t="s">
        <v>362</v>
      </c>
      <c r="F152" s="2" t="s">
        <v>63</v>
      </c>
      <c r="G152" s="13" t="s">
        <v>363</v>
      </c>
    </row>
    <row r="153" customFormat="false" ht="26.85" hidden="false" customHeight="false" outlineLevel="0" collapsed="false">
      <c r="A153" s="2" t="s">
        <v>365</v>
      </c>
      <c r="B153" s="13" t="s">
        <v>361</v>
      </c>
      <c r="C153" s="2" t="s">
        <v>52</v>
      </c>
      <c r="D153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3" s="2" t="s">
        <v>362</v>
      </c>
      <c r="F153" s="2" t="s">
        <v>63</v>
      </c>
      <c r="G153" s="13" t="s">
        <v>363</v>
      </c>
    </row>
    <row r="154" customFormat="false" ht="26.85" hidden="false" customHeight="false" outlineLevel="0" collapsed="false">
      <c r="A154" s="2" t="s">
        <v>366</v>
      </c>
      <c r="B154" s="13" t="s">
        <v>361</v>
      </c>
      <c r="C154" s="2" t="s">
        <v>54</v>
      </c>
      <c r="D154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4" s="2" t="s">
        <v>362</v>
      </c>
      <c r="F154" s="2" t="s">
        <v>63</v>
      </c>
      <c r="G154" s="13" t="s">
        <v>363</v>
      </c>
    </row>
    <row r="155" customFormat="false" ht="26.85" hidden="false" customHeight="false" outlineLevel="0" collapsed="false">
      <c r="A155" s="2" t="s">
        <v>367</v>
      </c>
      <c r="B155" s="13" t="s">
        <v>368</v>
      </c>
      <c r="C155" s="2" t="s">
        <v>31</v>
      </c>
      <c r="D155" s="16" t="n">
        <v>0.12</v>
      </c>
      <c r="E155" s="2" t="s">
        <v>44</v>
      </c>
      <c r="F155" s="2" t="s">
        <v>63</v>
      </c>
      <c r="G155" s="17" t="s">
        <v>369</v>
      </c>
    </row>
    <row r="156" customFormat="false" ht="15" hidden="false" customHeight="false" outlineLevel="0" collapsed="false">
      <c r="A156" s="2" t="s">
        <v>370</v>
      </c>
      <c r="B156" s="13" t="s">
        <v>371</v>
      </c>
      <c r="C156" s="2" t="s">
        <v>31</v>
      </c>
      <c r="D156" s="16" t="n">
        <v>0.5</v>
      </c>
      <c r="E156" s="2" t="s">
        <v>44</v>
      </c>
      <c r="F156" s="2" t="s">
        <v>63</v>
      </c>
      <c r="G156" s="17" t="s">
        <v>372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48</v>
      </c>
      <c r="D157" s="26" t="n">
        <f aca="false">IF((Assumptions!$D$33*Assumptions!$D$37*Assumptions!$D$41)*Assumptions!$D$161*Assumptions!$D$164&gt;0,ROUND(Assumptions!$D$123*Assumptions!$D$11/(Assumptions!$D$161*(Assumptions!$D$33*Assumptions!$D$37*Assumptions!$D$41)*Assumptions!$D$164),0),0)</f>
        <v>20</v>
      </c>
      <c r="E157" s="2" t="s">
        <v>186</v>
      </c>
      <c r="F157" s="2" t="s">
        <v>63</v>
      </c>
      <c r="G157" s="13" t="s">
        <v>375</v>
      </c>
    </row>
    <row r="158" customFormat="false" ht="26.85" hidden="false" customHeight="false" outlineLevel="0" collapsed="false">
      <c r="A158" s="2" t="s">
        <v>376</v>
      </c>
      <c r="B158" s="13" t="s">
        <v>374</v>
      </c>
      <c r="C158" s="2" t="s">
        <v>43</v>
      </c>
      <c r="D158" s="26" t="n">
        <f aca="false">IF((Assumptions!$D$34*Assumptions!$D$38*Assumptions!$D$42)*Assumptions!$D$161*Assumptions!$D$164&gt;0,ROUND(Assumptions!$D$123*Assumptions!$D$12/(Assumptions!$D$161*(Assumptions!$D$34*Assumptions!$D$38*Assumptions!$D$42)*Assumptions!$D$164),0),0)</f>
        <v>26</v>
      </c>
      <c r="E158" s="2" t="s">
        <v>186</v>
      </c>
      <c r="F158" s="2" t="s">
        <v>63</v>
      </c>
      <c r="G158" s="13" t="s">
        <v>375</v>
      </c>
    </row>
    <row r="159" customFormat="false" ht="26.85" hidden="false" customHeight="false" outlineLevel="0" collapsed="false">
      <c r="A159" s="2" t="s">
        <v>377</v>
      </c>
      <c r="B159" s="13" t="s">
        <v>374</v>
      </c>
      <c r="C159" s="2" t="s">
        <v>52</v>
      </c>
      <c r="D159" s="26" t="n">
        <f aca="false">IF((Assumptions!$D$35*Assumptions!$D$39*Assumptions!$D$43)*Assumptions!$D$161*Assumptions!$D$164&gt;0,ROUND(Assumptions!$D$123*Assumptions!$D$13/(Assumptions!$D$161*(Assumptions!$D$35*Assumptions!$D$39*Assumptions!$D$43)*Assumptions!$D$164),0),0)</f>
        <v>11</v>
      </c>
      <c r="E159" s="2" t="s">
        <v>186</v>
      </c>
      <c r="F159" s="2" t="s">
        <v>63</v>
      </c>
      <c r="G159" s="13" t="s">
        <v>375</v>
      </c>
    </row>
    <row r="160" customFormat="false" ht="26.85" hidden="false" customHeight="false" outlineLevel="0" collapsed="false">
      <c r="A160" s="2" t="s">
        <v>378</v>
      </c>
      <c r="B160" s="13" t="s">
        <v>374</v>
      </c>
      <c r="C160" s="2" t="s">
        <v>54</v>
      </c>
      <c r="D160" s="26" t="n">
        <f aca="false">IF((Assumptions!$D$36*Assumptions!$D$40*Assumptions!$D$44)*Assumptions!$D$161*Assumptions!$D$164&gt;0,ROUND(Assumptions!$D$123*Assumptions!$D$14/(Assumptions!$D$161*(Assumptions!$D$36*Assumptions!$D$40*Assumptions!$D$44)*Assumptions!$D$164),0),0)</f>
        <v>9</v>
      </c>
      <c r="E160" s="2" t="s">
        <v>186</v>
      </c>
      <c r="F160" s="2" t="s">
        <v>63</v>
      </c>
      <c r="G160" s="13" t="s">
        <v>375</v>
      </c>
    </row>
    <row r="161" customFormat="false" ht="15" hidden="false" customHeight="false" outlineLevel="0" collapsed="false">
      <c r="A161" s="2" t="s">
        <v>379</v>
      </c>
      <c r="B161" s="13" t="s">
        <v>380</v>
      </c>
      <c r="C161" s="2" t="s">
        <v>31</v>
      </c>
      <c r="D161" s="16" t="n">
        <v>0.45</v>
      </c>
      <c r="E161" s="2" t="s">
        <v>44</v>
      </c>
      <c r="F161" s="2" t="s">
        <v>63</v>
      </c>
      <c r="G161" s="17" t="s">
        <v>381</v>
      </c>
    </row>
    <row r="162" customFormat="false" ht="26.85" hidden="false" customHeight="false" outlineLevel="0" collapsed="false">
      <c r="A162" s="2" t="s">
        <v>382</v>
      </c>
      <c r="B162" s="13" t="s">
        <v>383</v>
      </c>
      <c r="C162" s="2" t="s">
        <v>31</v>
      </c>
      <c r="D162" s="23" t="n">
        <v>0.3</v>
      </c>
      <c r="E162" s="2" t="s">
        <v>119</v>
      </c>
      <c r="F162" s="2" t="s">
        <v>63</v>
      </c>
      <c r="G162" s="17" t="s">
        <v>384</v>
      </c>
    </row>
    <row r="163" customFormat="false" ht="26.8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8" t="n">
        <v>1000</v>
      </c>
      <c r="E163" s="2" t="s">
        <v>119</v>
      </c>
      <c r="F163" s="2" t="s">
        <v>70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0" t="n">
        <v>1.15</v>
      </c>
      <c r="E164" s="2" t="s">
        <v>256</v>
      </c>
      <c r="F164" s="2" t="s">
        <v>63</v>
      </c>
      <c r="G164" s="17" t="s">
        <v>390</v>
      </c>
    </row>
    <row r="165" customFormat="false" ht="39.55" hidden="false" customHeight="false" outlineLevel="0" collapsed="false">
      <c r="A165" s="2" t="s">
        <v>391</v>
      </c>
      <c r="B165" s="13" t="s">
        <v>392</v>
      </c>
      <c r="C165" s="2" t="s">
        <v>48</v>
      </c>
      <c r="D165" s="15" t="n">
        <v>10000</v>
      </c>
      <c r="E165" s="2" t="s">
        <v>159</v>
      </c>
      <c r="F165" s="2" t="s">
        <v>63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48</v>
      </c>
      <c r="D166" s="27" t="n">
        <f aca="false">IF(Assumptions!$D$168*Assumptions!$D$165&gt;0,Assumptions!$D$118/Assumptions!$D$168/Assumptions!$D$165,0)</f>
        <v>0.0118</v>
      </c>
      <c r="E166" s="2" t="s">
        <v>44</v>
      </c>
      <c r="F166" s="2" t="s">
        <v>63</v>
      </c>
      <c r="G166" s="13" t="s">
        <v>396</v>
      </c>
    </row>
    <row r="167" customFormat="false" ht="26.8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8" t="n">
        <v>84</v>
      </c>
      <c r="E167" s="2" t="s">
        <v>119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5" t="n">
        <f aca="false">Assumptions!$D$29</f>
        <v>0.25</v>
      </c>
      <c r="E168" s="2" t="s">
        <v>44</v>
      </c>
      <c r="F168" s="2" t="s">
        <v>63</v>
      </c>
      <c r="G168" s="13" t="s">
        <v>402</v>
      </c>
    </row>
    <row r="169" customFormat="false" ht="15" hidden="false" customHeight="false" outlineLevel="0" collapsed="false">
      <c r="A169" s="2" t="s">
        <v>403</v>
      </c>
      <c r="B169" s="13" t="s">
        <v>404</v>
      </c>
      <c r="C169" s="2" t="s">
        <v>48</v>
      </c>
      <c r="D169" s="20" t="n">
        <v>0.9</v>
      </c>
      <c r="E169" s="2" t="s">
        <v>256</v>
      </c>
      <c r="F169" s="2" t="s">
        <v>63</v>
      </c>
      <c r="G169" s="13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18" t="n">
        <v>1200</v>
      </c>
      <c r="E170" s="2" t="s">
        <v>119</v>
      </c>
      <c r="F170" s="2" t="s">
        <v>63</v>
      </c>
      <c r="G170" s="17" t="s">
        <v>408</v>
      </c>
    </row>
    <row r="171" customFormat="false" ht="26.85" hidden="false" customHeight="false" outlineLevel="0" collapsed="false">
      <c r="A171" s="2" t="s">
        <v>409</v>
      </c>
      <c r="B171" s="13" t="s">
        <v>410</v>
      </c>
      <c r="C171" s="2" t="s">
        <v>43</v>
      </c>
      <c r="D171" s="18" t="n">
        <v>14</v>
      </c>
      <c r="E171" s="2" t="s">
        <v>119</v>
      </c>
      <c r="F171" s="2" t="s">
        <v>63</v>
      </c>
      <c r="G171" s="17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43</v>
      </c>
      <c r="D172" s="16" t="n">
        <v>0.14</v>
      </c>
      <c r="E172" s="2" t="s">
        <v>44</v>
      </c>
      <c r="F172" s="2" t="s">
        <v>63</v>
      </c>
      <c r="G172" s="17" t="s">
        <v>414</v>
      </c>
    </row>
    <row r="173" customFormat="false" ht="15" hidden="false" customHeight="false" outlineLevel="0" collapsed="false">
      <c r="A173" s="2" t="s">
        <v>415</v>
      </c>
      <c r="B173" s="13" t="s">
        <v>416</v>
      </c>
      <c r="C173" s="2" t="s">
        <v>43</v>
      </c>
      <c r="D173" s="26" t="n">
        <f aca="false">IF(Assumptions!$D$172*Assumptions!$D$34*Assumptions!$D$38*Assumptions!$D$42*Assumptions!$D$174&gt;0,ROUNDUP(Assumptions!$D$10*Assumptions!$D$12/(Assumptions!$D$172*Assumptions!$D$34*Assumptions!$D$38*Assumptions!$D$42*Assumptions!$D$174),-1),0)</f>
        <v>350</v>
      </c>
      <c r="E173" s="2" t="s">
        <v>186</v>
      </c>
      <c r="F173" s="2" t="s">
        <v>63</v>
      </c>
      <c r="G173" s="13" t="s">
        <v>417</v>
      </c>
    </row>
    <row r="174" customFormat="false" ht="15" hidden="false" customHeight="false" outlineLevel="0" collapsed="false">
      <c r="A174" s="2" t="s">
        <v>418</v>
      </c>
      <c r="B174" s="13" t="s">
        <v>419</v>
      </c>
      <c r="C174" s="2" t="s">
        <v>43</v>
      </c>
      <c r="D174" s="20" t="n">
        <v>1</v>
      </c>
      <c r="E174" s="2" t="s">
        <v>256</v>
      </c>
      <c r="F174" s="2" t="s">
        <v>63</v>
      </c>
      <c r="G174" s="13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5" t="n">
        <v>15</v>
      </c>
      <c r="E175" s="2" t="s">
        <v>423</v>
      </c>
      <c r="F175" s="2" t="s">
        <v>70</v>
      </c>
      <c r="G175" s="17" t="s">
        <v>424</v>
      </c>
    </row>
    <row r="176" customFormat="false" ht="15" hidden="false" customHeight="false" outlineLevel="0" collapsed="false">
      <c r="A176" s="2" t="s">
        <v>425</v>
      </c>
      <c r="B176" s="13" t="s">
        <v>426</v>
      </c>
      <c r="C176" s="2" t="s">
        <v>43</v>
      </c>
      <c r="D176" s="18" t="n">
        <v>19</v>
      </c>
      <c r="E176" s="2" t="s">
        <v>119</v>
      </c>
      <c r="F176" s="2" t="s">
        <v>70</v>
      </c>
      <c r="G176" s="17" t="s">
        <v>427</v>
      </c>
    </row>
    <row r="177" customFormat="false" ht="15" hidden="false" customHeight="false" outlineLevel="0" collapsed="false">
      <c r="A177" s="2" t="s">
        <v>428</v>
      </c>
      <c r="B177" s="13" t="s">
        <v>429</v>
      </c>
      <c r="C177" s="2" t="s">
        <v>43</v>
      </c>
      <c r="D177" s="18" t="n">
        <v>400</v>
      </c>
      <c r="E177" s="2" t="s">
        <v>119</v>
      </c>
      <c r="F177" s="2" t="s">
        <v>63</v>
      </c>
      <c r="G177" s="17" t="s">
        <v>430</v>
      </c>
    </row>
    <row r="178" customFormat="false" ht="26.85" hidden="false" customHeight="false" outlineLevel="0" collapsed="false">
      <c r="A178" s="2" t="s">
        <v>431</v>
      </c>
      <c r="B178" s="13" t="s">
        <v>432</v>
      </c>
      <c r="C178" s="2" t="s">
        <v>48</v>
      </c>
      <c r="D178" s="15" t="n">
        <v>3</v>
      </c>
      <c r="E178" s="2" t="s">
        <v>62</v>
      </c>
      <c r="F178" s="2" t="s">
        <v>63</v>
      </c>
      <c r="G178" s="13" t="s">
        <v>433</v>
      </c>
    </row>
    <row r="179" customFormat="false" ht="26.8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5" t="n">
        <v>7</v>
      </c>
      <c r="E179" s="2" t="s">
        <v>62</v>
      </c>
      <c r="F179" s="2" t="s">
        <v>63</v>
      </c>
      <c r="G179" s="13" t="s">
        <v>436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8:G147 D155:D156 D161 D166 D168 D172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 E128:F147 H128:J147 D151:D154 D157:D160 D162:D165 D167 D169:D171 D173:D177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78:D17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0" r:id="rId65" display="DACH median €96 per application (TalentBait). Used only for automation and supervisors. https://www.talentbait.de/recruiting-kanaele-uebersicht/"/>
    <hyperlink ref="L141" r:id="rId66" display="DACH median €96 per application (TalentBait). Used only for automation and supervisors. https://www.talentbait.de/recruiting-kanaele-uebersicht/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Own estimate: TalentBait's example ad shows ~€84 per application for trades (its measured averages: €52 raw, €104 per qualified); volume from Redline campaign data. https://www.talentbait.de/social-media-recruiting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G155" r:id="rId73" display="Cold outreach gets ~5% replies (Pin 2026); past applicants already know the employer, so I assume 12%. https://www.pin.com/blog/recruiting-outreach-benchmark-report/"/>
    <hyperlink ref="G156" r:id="rId74" display="They met the requirements once; I assume half still do (Forrester via SHRM: most remain a 70%+ match). https://www.shrm.org/mena/topics-tools/news/technology/talent-rediscovery-tools-help-address-labor-shortages"/>
    <hyperlink ref="G161" r:id="rId75" display="Referred applicants are better pre-filtered (IAB: referrals are the most decisive channel), so 45% qualify. https://iab-forum.de/online-medien-sind-bei-der-personalsuche-auf-dem-vormarsch/"/>
    <hyperlink ref="G162" r:id="rId76" display="Three text messages at ~€0.075 each (seven.io price list, 2016 rates) plus email, rounded up to €0.30. https://www.seven.io/en/prices/"/>
    <hyperlink ref="G163" r:id="rId77" display="Most firms pay €501–1,000 per successful referral (Radancy survey, 335 firms worldwide). https://www.personalwirtschaft.de/?p=166393"/>
    <hyperlink ref="G164" r:id="rId78" display="Referred and known candidates pass and accept a little more often (+15%). https://www.metaview.ai/resources/blog/do-referred-candidates-interview-better"/>
    <hyperlink ref="G165" r:id="rId79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7" r:id="rId80" display="Own estimate: TalentBait's example ad shows ~€84 per application for trades; its measured averages are €52 per raw application and €104 per qualified one. https://www.talentbait.de/social-media-recruiting"/>
    <hyperlink ref="G170" r:id="rId81" display="Copywriter (~11 hours at €65) plus a quiz tool for 3 months. https://www.freelancermap.de/freelancer/texterstellung"/>
    <hyperlink ref="G171" r:id="rId82" display="Pracuj.pl ad price divided by expected applications, blended with OLX and Meta. https://dlafirm.pracuj.pl/cennik-uslug/pakiety-ogloszen"/>
    <hyperlink ref="G172" r:id="rId83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5" r:id="rId84" display="Phone screens take 15–30 minutes (Indeed); a checklist call takes 15. https://www.indeed.com/hire/c/info/what-is-a-phone-screen"/>
    <hyperlink ref="G176" r:id="rId85" display="Polish freelance recruiters charge ~€14–19 an hour. https://rocketjobs.pl/oferta-pracy/intent-tech-recruiter-freelance--warszawa-hr-recruitment-9e0cdcee"/>
    <hyperlink ref="G177" r:id="rId86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48" hidden="false" customHeight="true" outlineLevel="0" collapsed="false">
      <c r="A4" s="12" t="s">
        <v>316</v>
      </c>
      <c r="B4" s="12" t="s">
        <v>47</v>
      </c>
      <c r="C4" s="12" t="s">
        <v>439</v>
      </c>
      <c r="D4" s="12" t="s">
        <v>440</v>
      </c>
      <c r="E4" s="12" t="s">
        <v>441</v>
      </c>
      <c r="F4" s="12" t="s">
        <v>442</v>
      </c>
      <c r="G4" s="12" t="s">
        <v>443</v>
      </c>
      <c r="H4" s="12" t="s">
        <v>444</v>
      </c>
      <c r="I4" s="12" t="s">
        <v>445</v>
      </c>
      <c r="J4" s="12" t="s">
        <v>446</v>
      </c>
      <c r="K4" s="12" t="s">
        <v>447</v>
      </c>
      <c r="L4" s="12" t="s">
        <v>448</v>
      </c>
      <c r="M4" s="12" t="s">
        <v>449</v>
      </c>
      <c r="N4" s="12" t="s">
        <v>450</v>
      </c>
      <c r="O4" s="12" t="s">
        <v>451</v>
      </c>
      <c r="P4" s="12" t="s">
        <v>452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453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454</v>
      </c>
    </row>
    <row r="12" customFormat="false" ht="15" hidden="false" customHeight="false" outlineLevel="0" collapsed="false">
      <c r="A12" s="28" t="s">
        <v>455</v>
      </c>
    </row>
    <row r="13" customFormat="false" ht="15" hidden="false" customHeight="false" outlineLevel="0" collapsed="false">
      <c r="A13" s="2" t="s">
        <v>456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457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458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459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460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461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462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463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464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465</v>
      </c>
      <c r="B26" s="38" t="n">
        <f aca="false">B22*B25</f>
        <v>102.049737036446</v>
      </c>
      <c r="C26" s="2" t="s">
        <v>466</v>
      </c>
    </row>
    <row r="28" customFormat="false" ht="15" hidden="false" customHeight="false" outlineLevel="0" collapsed="false">
      <c r="A28" s="28" t="s">
        <v>467</v>
      </c>
    </row>
    <row r="29" customFormat="false" ht="60" hidden="false" customHeight="true" outlineLevel="0" collapsed="false">
      <c r="A29" s="12" t="s">
        <v>316</v>
      </c>
      <c r="B29" s="12" t="s">
        <v>47</v>
      </c>
      <c r="C29" s="12" t="s">
        <v>468</v>
      </c>
      <c r="D29" s="12" t="s">
        <v>469</v>
      </c>
      <c r="E29" s="12" t="s">
        <v>470</v>
      </c>
      <c r="F29" s="12" t="s">
        <v>471</v>
      </c>
      <c r="G29" s="12" t="s">
        <v>472</v>
      </c>
      <c r="H29" s="12" t="s">
        <v>473</v>
      </c>
      <c r="I29" s="12" t="s">
        <v>474</v>
      </c>
      <c r="J29" s="12" t="s">
        <v>475</v>
      </c>
      <c r="K29" s="12" t="s">
        <v>476</v>
      </c>
      <c r="L29" s="12" t="s">
        <v>477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478</v>
      </c>
      <c r="J30" s="2" t="s">
        <v>479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480</v>
      </c>
      <c r="J31" s="2" t="s">
        <v>481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478</v>
      </c>
      <c r="J32" s="2" t="s">
        <v>481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478</v>
      </c>
      <c r="J33" s="2" t="s">
        <v>481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482</v>
      </c>
    </row>
    <row r="40" customFormat="false" ht="15" hidden="false" customHeight="false" outlineLevel="0" collapsed="false">
      <c r="A40" s="2" t="s">
        <v>483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484</v>
      </c>
      <c r="B41" s="12" t="s">
        <v>485</v>
      </c>
      <c r="C41" s="12" t="s">
        <v>10</v>
      </c>
      <c r="D41" s="12" t="s">
        <v>486</v>
      </c>
      <c r="E41" s="12" t="s">
        <v>487</v>
      </c>
      <c r="F41" s="12" t="s">
        <v>488</v>
      </c>
      <c r="G41" s="12" t="s">
        <v>489</v>
      </c>
      <c r="H41" s="12" t="s">
        <v>490</v>
      </c>
    </row>
    <row r="42" customFormat="false" ht="30" hidden="false" customHeight="true" outlineLevel="0" collapsed="false">
      <c r="A42" s="13" t="s">
        <v>491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492</v>
      </c>
    </row>
    <row r="43" customFormat="false" ht="30" hidden="false" customHeight="true" outlineLevel="0" collapsed="false">
      <c r="A43" s="13" t="s">
        <v>493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494</v>
      </c>
    </row>
    <row r="44" customFormat="false" ht="30" hidden="false" customHeight="true" outlineLevel="0" collapsed="false">
      <c r="A44" s="13" t="s">
        <v>495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496</v>
      </c>
    </row>
    <row r="45" customFormat="false" ht="30" hidden="false" customHeight="true" outlineLevel="0" collapsed="false">
      <c r="A45" s="13" t="s">
        <v>497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498</v>
      </c>
    </row>
    <row r="46" customFormat="false" ht="30" hidden="false" customHeight="true" outlineLevel="0" collapsed="false">
      <c r="A46" s="13" t="s">
        <v>499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500</v>
      </c>
    </row>
    <row r="47" customFormat="false" ht="30" hidden="false" customHeight="true" outlineLevel="0" collapsed="false">
      <c r="A47" s="13" t="s">
        <v>501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502</v>
      </c>
    </row>
    <row r="49" customFormat="false" ht="15" hidden="false" customHeight="false" outlineLevel="0" collapsed="false">
      <c r="A49" s="28" t="s">
        <v>503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504</v>
      </c>
    </row>
    <row r="57" customFormat="false" ht="45" hidden="false" customHeight="true" outlineLevel="0" collapsed="false">
      <c r="A57" s="12" t="s">
        <v>316</v>
      </c>
      <c r="B57" s="12" t="s">
        <v>505</v>
      </c>
      <c r="C57" s="12" t="s">
        <v>506</v>
      </c>
      <c r="D57" s="12" t="s">
        <v>507</v>
      </c>
      <c r="E57" s="12" t="s">
        <v>508</v>
      </c>
      <c r="F57" s="12" t="s">
        <v>509</v>
      </c>
      <c r="G57" s="12" t="s">
        <v>510</v>
      </c>
      <c r="H57" s="12" t="s">
        <v>511</v>
      </c>
      <c r="I57" s="12" t="s">
        <v>512</v>
      </c>
      <c r="J57" s="12" t="s">
        <v>513</v>
      </c>
      <c r="K57" s="12" t="s">
        <v>514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515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516</v>
      </c>
    </row>
    <row r="2" customFormat="false" ht="15" hidden="false" customHeight="false" outlineLevel="0" collapsed="false">
      <c r="A2" s="2" t="s">
        <v>517</v>
      </c>
    </row>
    <row r="3" customFormat="false" ht="15" hidden="false" customHeight="false" outlineLevel="0" collapsed="false">
      <c r="A3" s="28" t="s">
        <v>518</v>
      </c>
    </row>
    <row r="4" customFormat="false" ht="15" hidden="false" customHeight="false" outlineLevel="0" collapsed="false">
      <c r="A4" s="12" t="s">
        <v>519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453</v>
      </c>
    </row>
    <row r="5" customFormat="false" ht="15" hidden="false" customHeight="false" outlineLevel="0" collapsed="false">
      <c r="A5" s="2" t="s">
        <v>520</v>
      </c>
      <c r="B5" s="29" t="n">
        <f aca="false">Assumptions!$D$151</f>
        <v>65</v>
      </c>
      <c r="C5" s="29" t="n">
        <f aca="false">Assumptions!$D$152</f>
        <v>76</v>
      </c>
      <c r="D5" s="29" t="n">
        <f aca="false">Assumptions!$D$153</f>
        <v>38</v>
      </c>
      <c r="E5" s="29" t="n">
        <f aca="false">Assumptions!$D$154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521</v>
      </c>
      <c r="B6" s="30" t="n">
        <f aca="false">Assumptions!$D$155</f>
        <v>0.12</v>
      </c>
      <c r="C6" s="30" t="n">
        <f aca="false">Assumptions!$D$155</f>
        <v>0.12</v>
      </c>
      <c r="D6" s="30" t="n">
        <f aca="false">Assumptions!$D$155</f>
        <v>0.12</v>
      </c>
      <c r="E6" s="30" t="n">
        <f aca="false">Assumptions!$D$155</f>
        <v>0.12</v>
      </c>
    </row>
    <row r="7" customFormat="false" ht="15" hidden="false" customHeight="false" outlineLevel="0" collapsed="false">
      <c r="A7" s="2" t="s">
        <v>522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523</v>
      </c>
      <c r="B8" s="30" t="n">
        <f aca="false">Assumptions!$D$156</f>
        <v>0.5</v>
      </c>
      <c r="C8" s="30" t="n">
        <f aca="false">Assumptions!$D$156</f>
        <v>0.5</v>
      </c>
      <c r="D8" s="30" t="n">
        <f aca="false">Assumptions!$D$156</f>
        <v>0.5</v>
      </c>
      <c r="E8" s="30" t="n">
        <f aca="false">Assumptions!$D$156</f>
        <v>0.5</v>
      </c>
    </row>
    <row r="9" customFormat="false" ht="15" hidden="false" customHeight="false" outlineLevel="0" collapsed="false">
      <c r="A9" s="2" t="s">
        <v>524</v>
      </c>
      <c r="B9" s="31" t="n">
        <f aca="false">Funnel!$G$5*Assumptions!$D$164</f>
        <v>0.36225</v>
      </c>
      <c r="C9" s="31" t="n">
        <f aca="false">Funnel!$G$6*Assumptions!$D$164</f>
        <v>0.4269375</v>
      </c>
      <c r="D9" s="31" t="n">
        <f aca="false">Funnel!$G$7*Assumptions!$D$164</f>
        <v>0.326025</v>
      </c>
      <c r="E9" s="31" t="n">
        <f aca="false">Funnel!$G$8*Assumptions!$D$164</f>
        <v>0.2737</v>
      </c>
    </row>
    <row r="10" customFormat="false" ht="15" hidden="false" customHeight="false" outlineLevel="0" collapsed="false">
      <c r="A10" s="2" t="s">
        <v>525</v>
      </c>
      <c r="B10" s="41" t="n">
        <f aca="false">B5*Assumptions!$D$162</f>
        <v>19.5</v>
      </c>
      <c r="C10" s="41" t="n">
        <f aca="false">C5*Assumptions!$D$162</f>
        <v>22.8</v>
      </c>
      <c r="D10" s="41" t="n">
        <f aca="false">D5*Assumptions!$D$162</f>
        <v>11.4</v>
      </c>
      <c r="E10" s="41" t="n">
        <f aca="false">E5*Assumptions!$D$162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526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527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528</v>
      </c>
      <c r="B13" s="32" t="n">
        <f aca="false">Assumptions!$D$157</f>
        <v>20</v>
      </c>
      <c r="C13" s="32" t="n">
        <f aca="false">Assumptions!$D$158</f>
        <v>26</v>
      </c>
      <c r="D13" s="32" t="n">
        <f aca="false">Assumptions!$D$159</f>
        <v>11</v>
      </c>
      <c r="E13" s="32" t="n">
        <f aca="false">Assumptions!$D$160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529</v>
      </c>
      <c r="B14" s="30" t="n">
        <f aca="false">Assumptions!$D$161</f>
        <v>0.45</v>
      </c>
      <c r="C14" s="30" t="n">
        <f aca="false">Assumptions!$D$161</f>
        <v>0.45</v>
      </c>
      <c r="D14" s="30" t="n">
        <f aca="false">Assumptions!$D$161</f>
        <v>0.45</v>
      </c>
      <c r="E14" s="30" t="n">
        <f aca="false">Assumptions!$D$161</f>
        <v>0.45</v>
      </c>
    </row>
    <row r="15" customFormat="false" ht="15" hidden="false" customHeight="false" outlineLevel="0" collapsed="false">
      <c r="A15" s="2" t="s">
        <v>530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531</v>
      </c>
      <c r="B16" s="41" t="n">
        <f aca="false">B15*Assumptions!$D$163</f>
        <v>3260.25</v>
      </c>
      <c r="C16" s="41" t="n">
        <f aca="false">C15*Assumptions!$D$163</f>
        <v>4995.16875</v>
      </c>
      <c r="D16" s="41" t="n">
        <f aca="false">D15*Assumptions!$D$163</f>
        <v>1613.82375</v>
      </c>
      <c r="E16" s="41" t="n">
        <f aca="false">E15*Assumptions!$D$163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532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533</v>
      </c>
    </row>
    <row r="18" customFormat="false" ht="15" hidden="false" customHeight="false" outlineLevel="0" collapsed="false">
      <c r="A18" s="2" t="s">
        <v>534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535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536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537</v>
      </c>
    </row>
    <row r="24" customFormat="false" ht="15" hidden="false" customHeight="false" outlineLevel="0" collapsed="false">
      <c r="A24" s="2" t="s">
        <v>538</v>
      </c>
      <c r="B24" s="29" t="n">
        <f aca="false">Assumptions!$D$165</f>
        <v>10000</v>
      </c>
    </row>
    <row r="25" customFormat="false" ht="15" hidden="false" customHeight="false" outlineLevel="0" collapsed="false">
      <c r="A25" s="2" t="s">
        <v>539</v>
      </c>
      <c r="B25" s="31" t="n">
        <f aca="false">Assumptions!$D$166</f>
        <v>0.0118</v>
      </c>
    </row>
    <row r="26" customFormat="false" ht="15" hidden="false" customHeight="false" outlineLevel="0" collapsed="false">
      <c r="A26" s="2" t="s">
        <v>540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541</v>
      </c>
      <c r="B27" s="41" t="n">
        <f aca="false">Assumptions!$D$167</f>
        <v>84</v>
      </c>
    </row>
    <row r="28" customFormat="false" ht="15" hidden="false" customHeight="false" outlineLevel="0" collapsed="false">
      <c r="A28" s="2" t="s">
        <v>542</v>
      </c>
      <c r="B28" s="30" t="n">
        <f aca="false">Assumptions!$D$168</f>
        <v>0.25</v>
      </c>
    </row>
    <row r="29" customFormat="false" ht="15" hidden="false" customHeight="false" outlineLevel="0" collapsed="false">
      <c r="A29" s="2" t="s">
        <v>543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544</v>
      </c>
      <c r="B30" s="31" t="n">
        <f aca="false">Funnel!$G$5*Assumptions!$D$169</f>
        <v>0.2835</v>
      </c>
    </row>
    <row r="31" customFormat="false" ht="15" hidden="false" customHeight="false" outlineLevel="0" collapsed="false">
      <c r="A31" s="2" t="s">
        <v>545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546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547</v>
      </c>
      <c r="B33" s="41" t="n">
        <f aca="false">Assumptions!$D$170</f>
        <v>1200</v>
      </c>
    </row>
    <row r="34" customFormat="false" ht="15" hidden="false" customHeight="false" outlineLevel="0" collapsed="false">
      <c r="A34" s="2" t="s">
        <v>548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549</v>
      </c>
    </row>
    <row r="38" customFormat="false" ht="15" hidden="false" customHeight="false" outlineLevel="0" collapsed="false">
      <c r="A38" s="2" t="s">
        <v>550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551</v>
      </c>
      <c r="B39" s="30" t="n">
        <f aca="false">Assumptions!$D$172</f>
        <v>0.14</v>
      </c>
    </row>
    <row r="40" customFormat="false" ht="15" hidden="false" customHeight="false" outlineLevel="0" collapsed="false">
      <c r="A40" s="2" t="s">
        <v>540</v>
      </c>
      <c r="B40" s="29" t="n">
        <f aca="false">Assumptions!$D$173</f>
        <v>350</v>
      </c>
    </row>
    <row r="41" customFormat="false" ht="15" hidden="false" customHeight="false" outlineLevel="0" collapsed="false">
      <c r="A41" s="2" t="s">
        <v>552</v>
      </c>
      <c r="B41" s="31" t="n">
        <f aca="false">Funnel!$G$6*Assumptions!$D$174</f>
        <v>0.37125</v>
      </c>
    </row>
    <row r="42" customFormat="false" ht="15" hidden="false" customHeight="false" outlineLevel="0" collapsed="false">
      <c r="A42" s="2" t="s">
        <v>553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554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555</v>
      </c>
      <c r="B44" s="43" t="n">
        <f aca="false">Assumptions!$D$171</f>
        <v>14</v>
      </c>
    </row>
    <row r="45" customFormat="false" ht="15" hidden="false" customHeight="false" outlineLevel="0" collapsed="false">
      <c r="A45" s="2" t="s">
        <v>556</v>
      </c>
      <c r="B45" s="43" t="n">
        <f aca="false">Assumptions!$D$175/60*Assumptions!$D$176</f>
        <v>4.75</v>
      </c>
    </row>
    <row r="46" customFormat="false" ht="15" hidden="false" customHeight="false" outlineLevel="0" collapsed="false">
      <c r="A46" s="2" t="s">
        <v>557</v>
      </c>
      <c r="B46" s="41" t="n">
        <f aca="false">Assumptions!$D$177</f>
        <v>400</v>
      </c>
    </row>
    <row r="47" customFormat="false" ht="15" hidden="false" customHeight="false" outlineLevel="0" collapsed="false">
      <c r="A47" s="2" t="s">
        <v>558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559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"&amp;TEXT(Assumptions!$D$166,"0.0%")&amp;" response assumed for construction electricians (I2). So the corridor needs a stronger response (German pay is the pull); at I2’s rate it brings ~"&amp;TEXT(Assumptions!$D$124*Assumptions!$D$121*Assumptions!$D$166,"0")&amp;"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560</v>
      </c>
    </row>
    <row r="52" customFormat="false" ht="60" hidden="false" customHeight="true" outlineLevel="0" collapsed="false">
      <c r="A52" s="12" t="s">
        <v>561</v>
      </c>
      <c r="B52" s="12" t="s">
        <v>562</v>
      </c>
      <c r="C52" s="12" t="s">
        <v>563</v>
      </c>
      <c r="D52" s="12" t="s">
        <v>564</v>
      </c>
      <c r="E52" s="12" t="s">
        <v>565</v>
      </c>
      <c r="F52" s="12" t="s">
        <v>566</v>
      </c>
      <c r="G52" s="12" t="s">
        <v>567</v>
      </c>
      <c r="H52" s="12" t="s">
        <v>568</v>
      </c>
      <c r="I52" s="12" t="s">
        <v>569</v>
      </c>
      <c r="J52" s="12" t="s">
        <v>570</v>
      </c>
      <c r="K52" s="12" t="s">
        <v>571</v>
      </c>
    </row>
    <row r="53" customFormat="false" ht="48" hidden="false" customHeight="true" outlineLevel="0" collapsed="false">
      <c r="A53" s="28" t="s">
        <v>572</v>
      </c>
      <c r="B53" s="13" t="s">
        <v>573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574</v>
      </c>
      <c r="G53" s="29" t="n">
        <f aca="false">MAX(1,ROUNDDOWN(E53*Assumptions!$D$89,0))</f>
        <v>14</v>
      </c>
      <c r="H53" s="2" t="s">
        <v>575</v>
      </c>
      <c r="I53" s="29" t="n">
        <f aca="false">MIN(G53,MAX(1,ROUNDUP(E53*Assumptions!$D$91,0)))</f>
        <v>8</v>
      </c>
      <c r="J53" s="2" t="s">
        <v>575</v>
      </c>
      <c r="K53" s="13" t="s">
        <v>576</v>
      </c>
    </row>
    <row r="54" customFormat="false" ht="48" hidden="false" customHeight="true" outlineLevel="0" collapsed="false">
      <c r="A54" s="28" t="s">
        <v>577</v>
      </c>
      <c r="B54" s="13" t="s">
        <v>578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579</v>
      </c>
    </row>
    <row r="55" customFormat="false" ht="48" hidden="false" customHeight="true" outlineLevel="0" collapsed="false">
      <c r="A55" s="28" t="s">
        <v>580</v>
      </c>
      <c r="B55" s="13" t="s">
        <v>581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582</v>
      </c>
    </row>
    <row r="57" customFormat="false" ht="26.85" hidden="false" customHeight="false" outlineLevel="0" collapsed="false">
      <c r="A57" s="13" t="s">
        <v>583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584</v>
      </c>
    </row>
    <row r="2" customFormat="false" ht="369.4" hidden="false" customHeight="false" outlineLevel="0" collapsed="false">
      <c r="A2" s="13" t="s">
        <v>585</v>
      </c>
    </row>
    <row r="3" customFormat="false" ht="318.65" hidden="false" customHeight="false" outlineLevel="0" collapsed="false">
      <c r="A3" s="13" t="s">
        <v>586</v>
      </c>
    </row>
    <row r="4" customFormat="false" ht="60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587</v>
      </c>
      <c r="E4" s="12" t="s">
        <v>317</v>
      </c>
      <c r="F4" s="12" t="s">
        <v>588</v>
      </c>
      <c r="G4" s="12" t="s">
        <v>589</v>
      </c>
      <c r="H4" s="12" t="s">
        <v>541</v>
      </c>
      <c r="I4" s="12" t="s">
        <v>320</v>
      </c>
      <c r="J4" s="12" t="s">
        <v>540</v>
      </c>
      <c r="K4" s="12" t="s">
        <v>590</v>
      </c>
      <c r="L4" s="12" t="s">
        <v>443</v>
      </c>
      <c r="M4" s="12" t="s">
        <v>591</v>
      </c>
      <c r="N4" s="12" t="s">
        <v>592</v>
      </c>
      <c r="O4" s="12" t="s">
        <v>593</v>
      </c>
      <c r="P4" s="12" t="s">
        <v>594</v>
      </c>
      <c r="Q4" s="12" t="s">
        <v>595</v>
      </c>
      <c r="R4" s="12" t="s">
        <v>596</v>
      </c>
      <c r="S4" s="12" t="s">
        <v>597</v>
      </c>
      <c r="T4" s="12" t="s">
        <v>598</v>
      </c>
      <c r="U4" s="12" t="s">
        <v>599</v>
      </c>
      <c r="V4" s="12" t="s">
        <v>600</v>
      </c>
      <c r="W4" s="12" t="s">
        <v>601</v>
      </c>
      <c r="X4" s="12" t="s">
        <v>602</v>
      </c>
      <c r="Y4" s="12" t="s">
        <v>603</v>
      </c>
      <c r="Z4" s="12" t="s">
        <v>604</v>
      </c>
      <c r="AA4" s="12" t="s">
        <v>605</v>
      </c>
      <c r="AB4" s="12" t="s">
        <v>606</v>
      </c>
      <c r="AC4" s="12" t="s">
        <v>607</v>
      </c>
      <c r="AD4" s="12" t="s">
        <v>608</v>
      </c>
      <c r="AE4" s="12" t="s">
        <v>609</v>
      </c>
      <c r="AF4" s="12" t="s">
        <v>610</v>
      </c>
      <c r="AG4" s="12" t="s">
        <v>611</v>
      </c>
      <c r="AH4" s="12" t="s">
        <v>612</v>
      </c>
      <c r="AI4" s="12" t="s">
        <v>613</v>
      </c>
    </row>
    <row r="5" customFormat="false" ht="15" hidden="false" customHeight="false" outlineLevel="0" collapsed="false">
      <c r="A5" s="2" t="str">
        <f aca="false">Assumptions!A128</f>
        <v>C01</v>
      </c>
      <c r="B5" s="2" t="str">
        <f aca="false">Assumptions!B128</f>
        <v>Organic (Tesla careers, BA Jobbörse, Google for Jobs)</v>
      </c>
      <c r="C5" s="2" t="str">
        <f aca="false">Assumptions!C128</f>
        <v>Electricians</v>
      </c>
      <c r="D5" s="2" t="s">
        <v>315</v>
      </c>
      <c r="E5" s="2" t="str">
        <f aca="false">Assumptions!D128</f>
        <v>Free</v>
      </c>
      <c r="F5" s="43" t="n">
        <f aca="false">Assumptions!E128</f>
        <v>0</v>
      </c>
      <c r="G5" s="29" t="str">
        <f aca="false">IF(E5="Free","",Assumptions!F128)</f>
        <v/>
      </c>
      <c r="H5" s="43" t="n">
        <f aca="false">MAX(0,IF(OR(E5="CPC",E5="Slot"),IF(N(G5)&gt;0,F5/G5,0),F5))</f>
        <v>0</v>
      </c>
      <c r="I5" s="30" t="n">
        <f aca="false">Assumptions!G128</f>
        <v>0.175</v>
      </c>
      <c r="J5" s="29" t="n">
        <f aca="false">IF(AND(OR(E5="CPC",E5="Slot"),NOT(N(G5)&gt;0)),0,IF(E5="Slot",Assumptions!H128*G5,Assumptions!H128))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Assumptions!I128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IF(N5&gt;0,(N5/L5/I5*H5+Assumptions!J128)/N5,0)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IF(U5&gt;0,Assumptions!J128,0)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Assumptions!A129</f>
        <v>C02</v>
      </c>
      <c r="B6" s="2" t="str">
        <f aca="false">Assumptions!B129</f>
        <v>Organic (Tesla careers, BA Jobbörse, Google for Jobs)</v>
      </c>
      <c r="C6" s="2" t="str">
        <f aca="false">Assumptions!C129</f>
        <v>Mechatronics</v>
      </c>
      <c r="D6" s="2" t="s">
        <v>315</v>
      </c>
      <c r="E6" s="2" t="str">
        <f aca="false">Assumptions!D129</f>
        <v>Free</v>
      </c>
      <c r="F6" s="43" t="n">
        <f aca="false">Assumptions!E129</f>
        <v>0</v>
      </c>
      <c r="G6" s="29" t="str">
        <f aca="false">IF(E6="Free","",Assumptions!F129)</f>
        <v/>
      </c>
      <c r="H6" s="43" t="n">
        <f aca="false">MAX(0,IF(OR(E6="CPC",E6="Slot"),IF(N(G6)&gt;0,F6/G6,0),F6))</f>
        <v>0</v>
      </c>
      <c r="I6" s="30" t="n">
        <f aca="false">Assumptions!G129</f>
        <v>0.175</v>
      </c>
      <c r="J6" s="29" t="n">
        <f aca="false">IF(AND(OR(E6="CPC",E6="Slot"),NOT(N(G6)&gt;0)),0,IF(E6="Slot",Assumptions!H129*G6,Assumptions!H129))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Assumptions!I129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IF(N6&gt;0,(N6/L6/I6*H6+Assumptions!J129)/N6,0)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IF(U6&gt;0,Assumptions!J129,0)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Assumptions!A130</f>
        <v>C03</v>
      </c>
      <c r="B7" s="2" t="str">
        <f aca="false">Assumptions!B130</f>
        <v>Organic (Tesla careers, BA Jobbörse, Google for Jobs)</v>
      </c>
      <c r="C7" s="2" t="str">
        <f aca="false">Assumptions!C130</f>
        <v>Automation</v>
      </c>
      <c r="D7" s="2" t="s">
        <v>315</v>
      </c>
      <c r="E7" s="2" t="str">
        <f aca="false">Assumptions!D130</f>
        <v>Free</v>
      </c>
      <c r="F7" s="43" t="n">
        <f aca="false">Assumptions!E130</f>
        <v>0</v>
      </c>
      <c r="G7" s="29" t="str">
        <f aca="false">IF(E7="Free","",Assumptions!F130)</f>
        <v/>
      </c>
      <c r="H7" s="43" t="n">
        <f aca="false">MAX(0,IF(OR(E7="CPC",E7="Slot"),IF(N(G7)&gt;0,F7/G7,0),F7))</f>
        <v>0</v>
      </c>
      <c r="I7" s="30" t="n">
        <f aca="false">Assumptions!G130</f>
        <v>0.175</v>
      </c>
      <c r="J7" s="29" t="n">
        <f aca="false">IF(AND(OR(E7="CPC",E7="Slot"),NOT(N(G7)&gt;0)),0,IF(E7="Slot",Assumptions!H130*G7,Assumptions!H130))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Assumptions!I130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IF(N7&gt;0,(N7/L7/I7*H7+Assumptions!J130)/N7,0)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IF(U7&gt;0,Assumptions!J130,0)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Assumptions!A131</f>
        <v>C04</v>
      </c>
      <c r="B8" s="2" t="str">
        <f aca="false">Assumptions!B131</f>
        <v>Organic (Tesla careers, BA Jobbörse, Google for Jobs)</v>
      </c>
      <c r="C8" s="2" t="str">
        <f aca="false">Assumptions!C131</f>
        <v>Supervisors</v>
      </c>
      <c r="D8" s="2" t="s">
        <v>315</v>
      </c>
      <c r="E8" s="2" t="str">
        <f aca="false">Assumptions!D131</f>
        <v>Free</v>
      </c>
      <c r="F8" s="43" t="n">
        <f aca="false">Assumptions!E131</f>
        <v>0</v>
      </c>
      <c r="G8" s="29" t="str">
        <f aca="false">IF(E8="Free","",Assumptions!F131)</f>
        <v/>
      </c>
      <c r="H8" s="43" t="n">
        <f aca="false">MAX(0,IF(OR(E8="CPC",E8="Slot"),IF(N(G8)&gt;0,F8/G8,0),F8))</f>
        <v>0</v>
      </c>
      <c r="I8" s="30" t="n">
        <f aca="false">Assumptions!G131</f>
        <v>0.161</v>
      </c>
      <c r="J8" s="29" t="n">
        <f aca="false">IF(AND(OR(E8="CPC",E8="Slot"),NOT(N(G8)&gt;0)),0,IF(E8="Slot",Assumptions!H131*G8,Assumptions!H131))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Assumptions!I131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IF(N8&gt;0,(N8/L8/I8*H8+Assumptions!J131)/N8,0)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IF(U8&gt;0,Assumptions!J131,0)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Assumptions!A132</f>
        <v>C05</v>
      </c>
      <c r="B9" s="2" t="str">
        <f aca="false">Assumptions!B132</f>
        <v>Programmatic job ads (Joveo: Indeed, Jooble, Talent.com, Kimeta, meinestadt…)</v>
      </c>
      <c r="C9" s="2" t="str">
        <f aca="false">Assumptions!C132</f>
        <v>Electricians</v>
      </c>
      <c r="D9" s="2" t="s">
        <v>315</v>
      </c>
      <c r="E9" s="2" t="str">
        <f aca="false">Assumptions!D132</f>
        <v>CPA</v>
      </c>
      <c r="F9" s="43" t="n">
        <f aca="false">Assumptions!E132</f>
        <v>161</v>
      </c>
      <c r="G9" s="29" t="n">
        <f aca="false">IF(E9="Free","",Assumptions!F132)</f>
        <v>0</v>
      </c>
      <c r="H9" s="43" t="n">
        <f aca="false">MAX(0,IF(OR(E9="CPC",E9="Slot"),IF(N(G9)&gt;0,F9/G9,0),F9))</f>
        <v>161</v>
      </c>
      <c r="I9" s="30" t="n">
        <f aca="false">Assumptions!G132</f>
        <v>0.225</v>
      </c>
      <c r="J9" s="29" t="n">
        <f aca="false">IF(AND(OR(E9="CPC",E9="Slot"),NOT(N(G9)&gt;0)),0,IF(E9="Slot",Assumptions!H132*G9,Assumptions!H132))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Assumptions!I132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IF(N9&gt;0,(N9/L9/I9*H9+Assumptions!J132)/N9,0)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IF(U9&gt;0,Assumptions!J132,0)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Assumptions!A133</f>
        <v>C06</v>
      </c>
      <c r="B10" s="2" t="str">
        <f aca="false">Assumptions!B133</f>
        <v>Programmatic job ads (Joveo: Indeed, Jooble, Talent.com, Kimeta, meinestadt…)</v>
      </c>
      <c r="C10" s="2" t="str">
        <f aca="false">Assumptions!C133</f>
        <v>Mechatronics</v>
      </c>
      <c r="D10" s="2" t="s">
        <v>315</v>
      </c>
      <c r="E10" s="2" t="str">
        <f aca="false">Assumptions!D133</f>
        <v>CPA</v>
      </c>
      <c r="F10" s="43" t="n">
        <f aca="false">Assumptions!E133</f>
        <v>161</v>
      </c>
      <c r="G10" s="29" t="n">
        <f aca="false">IF(E10="Free","",Assumptions!F133)</f>
        <v>0</v>
      </c>
      <c r="H10" s="43" t="n">
        <f aca="false">MAX(0,IF(OR(E10="CPC",E10="Slot"),IF(N(G10)&gt;0,F10/G10,0),F10))</f>
        <v>161</v>
      </c>
      <c r="I10" s="30" t="n">
        <f aca="false">Assumptions!G133</f>
        <v>0.225</v>
      </c>
      <c r="J10" s="29" t="n">
        <f aca="false">IF(AND(OR(E10="CPC",E10="Slot"),NOT(N(G10)&gt;0)),0,IF(E10="Slot",Assumptions!H133*G10,Assumptions!H133))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Assumptions!I133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IF(N10&gt;0,(N10/L10/I10*H10+Assumptions!J133)/N10,0)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IF(U10&gt;0,Assumptions!J133,0)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Assumptions!A134</f>
        <v>C07</v>
      </c>
      <c r="B11" s="2" t="str">
        <f aca="false">Assumptions!B134</f>
        <v>Programmatic job ads (Joveo: Indeed, Jooble, Talent.com, Kimeta, meinestadt…)</v>
      </c>
      <c r="C11" s="2" t="str">
        <f aca="false">Assumptions!C134</f>
        <v>Automation</v>
      </c>
      <c r="D11" s="2" t="s">
        <v>315</v>
      </c>
      <c r="E11" s="2" t="str">
        <f aca="false">Assumptions!D134</f>
        <v>CPA</v>
      </c>
      <c r="F11" s="43" t="n">
        <f aca="false">Assumptions!E134</f>
        <v>161</v>
      </c>
      <c r="G11" s="29" t="n">
        <f aca="false">IF(E11="Free","",Assumptions!F134)</f>
        <v>0</v>
      </c>
      <c r="H11" s="43" t="n">
        <f aca="false">MAX(0,IF(OR(E11="CPC",E11="Slot"),IF(N(G11)&gt;0,F11/G11,0),F11))</f>
        <v>161</v>
      </c>
      <c r="I11" s="30" t="n">
        <f aca="false">Assumptions!G134</f>
        <v>0.225</v>
      </c>
      <c r="J11" s="29" t="n">
        <f aca="false">IF(AND(OR(E11="CPC",E11="Slot"),NOT(N(G11)&gt;0)),0,IF(E11="Slot",Assumptions!H134*G11,Assumptions!H134))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Assumptions!I134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IF(N11&gt;0,(N11/L11/I11*H11+Assumptions!J134)/N11,0)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IF(U11&gt;0,Assumptions!J134,0)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Assumptions!A135</f>
        <v>C08</v>
      </c>
      <c r="B12" s="2" t="str">
        <f aca="false">Assumptions!B135</f>
        <v>Programmatic job ads (Joveo: Indeed, Jooble, Talent.com, Kimeta, meinestadt…)</v>
      </c>
      <c r="C12" s="2" t="str">
        <f aca="false">Assumptions!C135</f>
        <v>Supervisors</v>
      </c>
      <c r="D12" s="2" t="s">
        <v>315</v>
      </c>
      <c r="E12" s="2" t="str">
        <f aca="false">Assumptions!D135</f>
        <v>CPA</v>
      </c>
      <c r="F12" s="43" t="n">
        <f aca="false">Assumptions!E135</f>
        <v>161</v>
      </c>
      <c r="G12" s="29" t="n">
        <f aca="false">IF(E12="Free","",Assumptions!F135)</f>
        <v>0</v>
      </c>
      <c r="H12" s="43" t="n">
        <f aca="false">MAX(0,IF(OR(E12="CPC",E12="Slot"),IF(N(G12)&gt;0,F12/G12,0),F12))</f>
        <v>161</v>
      </c>
      <c r="I12" s="30" t="n">
        <f aca="false">Assumptions!G135</f>
        <v>0.207</v>
      </c>
      <c r="J12" s="29" t="n">
        <f aca="false">IF(AND(OR(E12="CPC",E12="Slot"),NOT(N(G12)&gt;0)),0,IF(E12="Slot",Assumptions!H135*G12,Assumptions!H135))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Assumptions!I135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IF(N12&gt;0,(N12/L12/I12*H12+Assumptions!J135)/N12,0)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IF(U12&gt;0,Assumptions!J135,0)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Assumptions!A136</f>
        <v>C09</v>
      </c>
      <c r="B13" s="2" t="str">
        <f aca="false">Assumptions!B136</f>
        <v>StepStone (30-day single ad)</v>
      </c>
      <c r="C13" s="2" t="str">
        <f aca="false">Assumptions!C136</f>
        <v>Electricians</v>
      </c>
      <c r="D13" s="2" t="s">
        <v>315</v>
      </c>
      <c r="E13" s="2" t="str">
        <f aca="false">Assumptions!D136</f>
        <v>Slot</v>
      </c>
      <c r="F13" s="43" t="n">
        <f aca="false">Assumptions!E136</f>
        <v>1449</v>
      </c>
      <c r="G13" s="29" t="n">
        <f aca="false">IF(E13="Free","",Assumptions!F136)</f>
        <v>12</v>
      </c>
      <c r="H13" s="43" t="n">
        <f aca="false">MAX(0,IF(OR(E13="CPC",E13="Slot"),IF(N(G13)&gt;0,F13/G13,0),F13))</f>
        <v>120.75</v>
      </c>
      <c r="I13" s="30" t="n">
        <f aca="false">Assumptions!G136</f>
        <v>0.225</v>
      </c>
      <c r="J13" s="29" t="n">
        <f aca="false">IF(AND(OR(E13="CPC",E13="Slot"),NOT(N(G13)&gt;0)),0,IF(E13="Slot",Assumptions!H136*G13,Assumptions!H136))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Assumptions!I136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IF(N13&gt;0,(N13/L13/I13*H13+Assumptions!J136)/N13,0)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IF(U13&gt;0,Assumptions!J136,0)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Assumptions!A137</f>
        <v>C10</v>
      </c>
      <c r="B14" s="2" t="str">
        <f aca="false">Assumptions!B137</f>
        <v>StepStone (30-day single ad)</v>
      </c>
      <c r="C14" s="2" t="str">
        <f aca="false">Assumptions!C137</f>
        <v>Mechatronics</v>
      </c>
      <c r="D14" s="2" t="s">
        <v>315</v>
      </c>
      <c r="E14" s="2" t="str">
        <f aca="false">Assumptions!D137</f>
        <v>Slot</v>
      </c>
      <c r="F14" s="43" t="n">
        <f aca="false">Assumptions!E137</f>
        <v>1449</v>
      </c>
      <c r="G14" s="29" t="n">
        <f aca="false">IF(E14="Free","",Assumptions!F137)</f>
        <v>12</v>
      </c>
      <c r="H14" s="43" t="n">
        <f aca="false">MAX(0,IF(OR(E14="CPC",E14="Slot"),IF(N(G14)&gt;0,F14/G14,0),F14))</f>
        <v>120.75</v>
      </c>
      <c r="I14" s="30" t="n">
        <f aca="false">Assumptions!G137</f>
        <v>0.225</v>
      </c>
      <c r="J14" s="29" t="n">
        <f aca="false">IF(AND(OR(E14="CPC",E14="Slot"),NOT(N(G14)&gt;0)),0,IF(E14="Slot",Assumptions!H137*G14,Assumptions!H137))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Assumptions!I137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IF(N14&gt;0,(N14/L14/I14*H14+Assumptions!J137)/N14,0)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IF(U14&gt;0,Assumptions!J137,0)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Assumptions!A138</f>
        <v>C11</v>
      </c>
      <c r="B15" s="2" t="str">
        <f aca="false">Assumptions!B138</f>
        <v>StepStone (30-day single ad)</v>
      </c>
      <c r="C15" s="2" t="str">
        <f aca="false">Assumptions!C138</f>
        <v>Automation</v>
      </c>
      <c r="D15" s="2" t="s">
        <v>315</v>
      </c>
      <c r="E15" s="2" t="str">
        <f aca="false">Assumptions!D138</f>
        <v>Slot</v>
      </c>
      <c r="F15" s="43" t="n">
        <f aca="false">Assumptions!E138</f>
        <v>1449</v>
      </c>
      <c r="G15" s="29" t="n">
        <f aca="false">IF(E15="Free","",Assumptions!F138)</f>
        <v>12</v>
      </c>
      <c r="H15" s="43" t="n">
        <f aca="false">MAX(0,IF(OR(E15="CPC",E15="Slot"),IF(N(G15)&gt;0,F15/G15,0),F15))</f>
        <v>120.75</v>
      </c>
      <c r="I15" s="30" t="n">
        <f aca="false">Assumptions!G138</f>
        <v>0.225</v>
      </c>
      <c r="J15" s="29" t="n">
        <f aca="false">IF(AND(OR(E15="CPC",E15="Slot"),NOT(N(G15)&gt;0)),0,IF(E15="Slot",Assumptions!H138*G15,Assumptions!H138))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Assumptions!I138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IF(N15&gt;0,(N15/L15/I15*H15+Assumptions!J138)/N15,0)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IF(U15&gt;0,Assumptions!J138,0)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Assumptions!A139</f>
        <v>C12</v>
      </c>
      <c r="B16" s="2" t="str">
        <f aca="false">Assumptions!B139</f>
        <v>StepStone (30-day single ad)</v>
      </c>
      <c r="C16" s="2" t="str">
        <f aca="false">Assumptions!C139</f>
        <v>Supervisors</v>
      </c>
      <c r="D16" s="2" t="s">
        <v>315</v>
      </c>
      <c r="E16" s="2" t="str">
        <f aca="false">Assumptions!D139</f>
        <v>Slot</v>
      </c>
      <c r="F16" s="43" t="n">
        <f aca="false">Assumptions!E139</f>
        <v>1449</v>
      </c>
      <c r="G16" s="29" t="n">
        <f aca="false">IF(E16="Free","",Assumptions!F139)</f>
        <v>12</v>
      </c>
      <c r="H16" s="43" t="n">
        <f aca="false">MAX(0,IF(OR(E16="CPC",E16="Slot"),IF(N(G16)&gt;0,F16/G16,0),F16))</f>
        <v>120.75</v>
      </c>
      <c r="I16" s="30" t="n">
        <f aca="false">Assumptions!G139</f>
        <v>0.207</v>
      </c>
      <c r="J16" s="29" t="n">
        <f aca="false">IF(AND(OR(E16="CPC",E16="Slot"),NOT(N(G16)&gt;0)),0,IF(E16="Slot",Assumptions!H139*G16,Assumptions!H139))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Assumptions!I139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IF(N16&gt;0,(N16/L16/I16*H16+Assumptions!J139)/N16,0)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IF(U16&gt;0,Assumptions!J139,0)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Assumptions!A140</f>
        <v>C13</v>
      </c>
      <c r="B17" s="2" t="str">
        <f aca="false">Assumptions!B140</f>
        <v>LinkedIn (promoted jobs + InMail)</v>
      </c>
      <c r="C17" s="2" t="str">
        <f aca="false">Assumptions!C140</f>
        <v>Automation</v>
      </c>
      <c r="D17" s="2" t="s">
        <v>315</v>
      </c>
      <c r="E17" s="2" t="str">
        <f aca="false">Assumptions!D140</f>
        <v>CPA</v>
      </c>
      <c r="F17" s="43" t="n">
        <f aca="false">Assumptions!E140</f>
        <v>96</v>
      </c>
      <c r="G17" s="29" t="n">
        <f aca="false">IF(E17="Free","",Assumptions!F140)</f>
        <v>0</v>
      </c>
      <c r="H17" s="43" t="n">
        <f aca="false">MAX(0,IF(OR(E17="CPC",E17="Slot"),IF(N(G17)&gt;0,F17/G17,0),F17))</f>
        <v>96</v>
      </c>
      <c r="I17" s="30" t="n">
        <f aca="false">Assumptions!G140</f>
        <v>0.225</v>
      </c>
      <c r="J17" s="29" t="n">
        <f aca="false">IF(AND(OR(E17="CPC",E17="Slot"),NOT(N(G17)&gt;0)),0,IF(E17="Slot",Assumptions!H140*G17,Assumptions!H140))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Assumptions!I140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IF(N17&gt;0,(N17/L17/I17*H17+Assumptions!J140)/N17,0)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IF(U17&gt;0,Assumptions!J140,0)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Assumptions!A141</f>
        <v>C14</v>
      </c>
      <c r="B18" s="2" t="str">
        <f aca="false">Assumptions!B141</f>
        <v>LinkedIn (promoted jobs + InMail)</v>
      </c>
      <c r="C18" s="2" t="str">
        <f aca="false">Assumptions!C141</f>
        <v>Supervisors</v>
      </c>
      <c r="D18" s="2" t="s">
        <v>315</v>
      </c>
      <c r="E18" s="2" t="str">
        <f aca="false">Assumptions!D141</f>
        <v>CPA</v>
      </c>
      <c r="F18" s="43" t="n">
        <f aca="false">Assumptions!E141</f>
        <v>96</v>
      </c>
      <c r="G18" s="29" t="n">
        <f aca="false">IF(E18="Free","",Assumptions!F141)</f>
        <v>0</v>
      </c>
      <c r="H18" s="43" t="n">
        <f aca="false">MAX(0,IF(OR(E18="CPC",E18="Slot"),IF(N(G18)&gt;0,F18/G18,0),F18))</f>
        <v>96</v>
      </c>
      <c r="I18" s="30" t="n">
        <f aca="false">Assumptions!G141</f>
        <v>0.207</v>
      </c>
      <c r="J18" s="29" t="n">
        <f aca="false">IF(AND(OR(E18="CPC",E18="Slot"),NOT(N(G18)&gt;0)),0,IF(E18="Slot",Assumptions!H141*G18,Assumptions!H141))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Assumptions!I141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IF(N18&gt;0,(N18/L18/I18*H18+Assumptions!J141)/N18,0)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IF(U18&gt;0,Assumptions!J141,0)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Assumptions!A142</f>
        <v>C15</v>
      </c>
      <c r="B19" s="2" t="str">
        <f aca="false">Assumptions!B142</f>
        <v>Meta social (FB/IG lead ads, 75 km geo)</v>
      </c>
      <c r="C19" s="2" t="str">
        <f aca="false">Assumptions!C142</f>
        <v>Electricians</v>
      </c>
      <c r="D19" s="2" t="s">
        <v>315</v>
      </c>
      <c r="E19" s="2" t="str">
        <f aca="false">Assumptions!D142</f>
        <v>CPA</v>
      </c>
      <c r="F19" s="43" t="n">
        <f aca="false">Assumptions!E142</f>
        <v>84</v>
      </c>
      <c r="G19" s="29" t="n">
        <f aca="false">IF(E19="Free","",Assumptions!F142)</f>
        <v>0</v>
      </c>
      <c r="H19" s="43" t="n">
        <f aca="false">MAX(0,IF(OR(E19="CPC",E19="Slot"),IF(N(G19)&gt;0,F19/G19,0),F19))</f>
        <v>84</v>
      </c>
      <c r="I19" s="30" t="n">
        <f aca="false">Assumptions!G142</f>
        <v>0.1025</v>
      </c>
      <c r="J19" s="29" t="n">
        <f aca="false">IF(AND(OR(E19="CPC",E19="Slot"),NOT(N(G19)&gt;0)),0,IF(E19="Slot",Assumptions!H142*G19,Assumptions!H142))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Assumptions!I142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IF(N19&gt;0,(N19/L19/I19*H19+Assumptions!J142)/N19,0)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IF(U19&gt;0,Assumptions!J142,0)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Assumptions!A143</f>
        <v>C16</v>
      </c>
      <c r="B20" s="2" t="str">
        <f aca="false">Assumptions!B143</f>
        <v>Meta social (FB/IG lead ads, 75 km geo)</v>
      </c>
      <c r="C20" s="2" t="str">
        <f aca="false">Assumptions!C143</f>
        <v>Mechatronics</v>
      </c>
      <c r="D20" s="2" t="s">
        <v>315</v>
      </c>
      <c r="E20" s="2" t="str">
        <f aca="false">Assumptions!D143</f>
        <v>CPA</v>
      </c>
      <c r="F20" s="43" t="n">
        <f aca="false">Assumptions!E143</f>
        <v>84</v>
      </c>
      <c r="G20" s="29" t="n">
        <f aca="false">IF(E20="Free","",Assumptions!F143)</f>
        <v>0</v>
      </c>
      <c r="H20" s="43" t="n">
        <f aca="false">MAX(0,IF(OR(E20="CPC",E20="Slot"),IF(N(G20)&gt;0,F20/G20,0),F20))</f>
        <v>84</v>
      </c>
      <c r="I20" s="30" t="n">
        <f aca="false">Assumptions!G143</f>
        <v>0.1025</v>
      </c>
      <c r="J20" s="29" t="n">
        <f aca="false">IF(AND(OR(E20="CPC",E20="Slot"),NOT(N(G20)&gt;0)),0,IF(E20="Slot",Assumptions!H143*G20,Assumptions!H143))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Assumptions!I143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IF(N20&gt;0,(N20/L20/I20*H20+Assumptions!J143)/N20,0)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IF(U20&gt;0,Assumptions!J143,0)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Assumptions!A144</f>
        <v>C17</v>
      </c>
      <c r="B21" s="2" t="str">
        <f aca="false">Assumptions!B144</f>
        <v>Google Search ads (job-intent keywords)</v>
      </c>
      <c r="C21" s="2" t="str">
        <f aca="false">Assumptions!C144</f>
        <v>Electricians</v>
      </c>
      <c r="D21" s="2" t="s">
        <v>315</v>
      </c>
      <c r="E21" s="2" t="str">
        <f aca="false">Assumptions!D144</f>
        <v>CPA</v>
      </c>
      <c r="F21" s="43" t="n">
        <f aca="false">Assumptions!E144</f>
        <v>179</v>
      </c>
      <c r="G21" s="29" t="n">
        <f aca="false">IF(E21="Free","",Assumptions!F144)</f>
        <v>0</v>
      </c>
      <c r="H21" s="43" t="n">
        <f aca="false">MAX(0,IF(OR(E21="CPC",E21="Slot"),IF(N(G21)&gt;0,F21/G21,0),F21))</f>
        <v>179</v>
      </c>
      <c r="I21" s="30" t="n">
        <f aca="false">Assumptions!G144</f>
        <v>0.175</v>
      </c>
      <c r="J21" s="29" t="n">
        <f aca="false">IF(AND(OR(E21="CPC",E21="Slot"),NOT(N(G21)&gt;0)),0,IF(E21="Slot",Assumptions!H144*G21,Assumptions!H144))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Assumptions!I144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IF(N21&gt;0,(N21/L21/I21*H21+Assumptions!J144)/N21,0)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IF(U21&gt;0,Assumptions!J144,0)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Assumptions!A145</f>
        <v>C18</v>
      </c>
      <c r="B22" s="2" t="str">
        <f aca="false">Assumptions!B145</f>
        <v>Google Search ads (job-intent keywords)</v>
      </c>
      <c r="C22" s="2" t="str">
        <f aca="false">Assumptions!C145</f>
        <v>Mechatronics</v>
      </c>
      <c r="D22" s="2" t="s">
        <v>315</v>
      </c>
      <c r="E22" s="2" t="str">
        <f aca="false">Assumptions!D145</f>
        <v>CPA</v>
      </c>
      <c r="F22" s="43" t="n">
        <f aca="false">Assumptions!E145</f>
        <v>179</v>
      </c>
      <c r="G22" s="29" t="n">
        <f aca="false">IF(E22="Free","",Assumptions!F145)</f>
        <v>0</v>
      </c>
      <c r="H22" s="43" t="n">
        <f aca="false">MAX(0,IF(OR(E22="CPC",E22="Slot"),IF(N(G22)&gt;0,F22/G22,0),F22))</f>
        <v>179</v>
      </c>
      <c r="I22" s="30" t="n">
        <f aca="false">Assumptions!G145</f>
        <v>0.175</v>
      </c>
      <c r="J22" s="29" t="n">
        <f aca="false">IF(AND(OR(E22="CPC",E22="Slot"),NOT(N(G22)&gt;0)),0,IF(E22="Slot",Assumptions!H145*G22,Assumptions!H145))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Assumptions!I145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IF(N22&gt;0,(N22/L22/I22*H22+Assumptions!J145)/N22,0)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IF(U22&gt;0,Assumptions!J145,0)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Assumptions!A146</f>
        <v>C19</v>
      </c>
      <c r="B23" s="2" t="str">
        <f aca="false">Assumptions!B146</f>
        <v>Google Search ads (job-intent keywords)</v>
      </c>
      <c r="C23" s="2" t="str">
        <f aca="false">Assumptions!C146</f>
        <v>Automation</v>
      </c>
      <c r="D23" s="2" t="s">
        <v>315</v>
      </c>
      <c r="E23" s="2" t="str">
        <f aca="false">Assumptions!D146</f>
        <v>CPA</v>
      </c>
      <c r="F23" s="43" t="n">
        <f aca="false">Assumptions!E146</f>
        <v>179</v>
      </c>
      <c r="G23" s="29" t="n">
        <f aca="false">IF(E23="Free","",Assumptions!F146)</f>
        <v>0</v>
      </c>
      <c r="H23" s="43" t="n">
        <f aca="false">MAX(0,IF(OR(E23="CPC",E23="Slot"),IF(N(G23)&gt;0,F23/G23,0),F23))</f>
        <v>179</v>
      </c>
      <c r="I23" s="30" t="n">
        <f aca="false">Assumptions!G146</f>
        <v>0.175</v>
      </c>
      <c r="J23" s="29" t="n">
        <f aca="false">IF(AND(OR(E23="CPC",E23="Slot"),NOT(N(G23)&gt;0)),0,IF(E23="Slot",Assumptions!H146*G23,Assumptions!H146))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Assumptions!I146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IF(N23&gt;0,(N23/L23/I23*H23+Assumptions!J146)/N23,0)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IF(U23&gt;0,Assumptions!J146,0)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Assumptions!A147</f>
        <v>C20</v>
      </c>
      <c r="B24" s="2" t="str">
        <f aca="false">Assumptions!B147</f>
        <v>Google Search ads (job-intent keywords)</v>
      </c>
      <c r="C24" s="2" t="str">
        <f aca="false">Assumptions!C147</f>
        <v>Supervisors</v>
      </c>
      <c r="D24" s="2" t="s">
        <v>315</v>
      </c>
      <c r="E24" s="2" t="str">
        <f aca="false">Assumptions!D147</f>
        <v>CPA</v>
      </c>
      <c r="F24" s="43" t="n">
        <f aca="false">Assumptions!E147</f>
        <v>179</v>
      </c>
      <c r="G24" s="29" t="n">
        <f aca="false">IF(E24="Free","",Assumptions!F147)</f>
        <v>0</v>
      </c>
      <c r="H24" s="43" t="n">
        <f aca="false">MAX(0,IF(OR(E24="CPC",E24="Slot"),IF(N(G24)&gt;0,F24/G24,0),F24))</f>
        <v>179</v>
      </c>
      <c r="I24" s="30" t="n">
        <f aca="false">Assumptions!G147</f>
        <v>0.161</v>
      </c>
      <c r="J24" s="29" t="n">
        <f aca="false">IF(AND(OR(E24="CPC",E24="Slot"),NOT(N(G24)&gt;0)),0,IF(E24="Slot",Assumptions!H147*G24,Assumptions!H147))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Assumptions!I147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IF(N24&gt;0,(N24/L24/I24*H24+Assumptions!J147)/N24,0)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IF(U24&gt;0,Assumptions!J147,0)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614</v>
      </c>
      <c r="B25" s="2" t="s">
        <v>615</v>
      </c>
      <c r="C25" s="2" t="s">
        <v>48</v>
      </c>
      <c r="D25" s="2" t="s">
        <v>561</v>
      </c>
      <c r="E25" s="2" t="s">
        <v>333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Assumptions!$D$164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616</v>
      </c>
      <c r="B26" s="2" t="s">
        <v>615</v>
      </c>
      <c r="C26" s="2" t="s">
        <v>43</v>
      </c>
      <c r="D26" s="2" t="s">
        <v>561</v>
      </c>
      <c r="E26" s="2" t="s">
        <v>333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Assumptions!$D$164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617</v>
      </c>
      <c r="B27" s="2" t="s">
        <v>615</v>
      </c>
      <c r="C27" s="2" t="s">
        <v>52</v>
      </c>
      <c r="D27" s="2" t="s">
        <v>561</v>
      </c>
      <c r="E27" s="2" t="s">
        <v>333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Assumptions!$D$164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618</v>
      </c>
      <c r="B28" s="2" t="s">
        <v>615</v>
      </c>
      <c r="C28" s="2" t="s">
        <v>54</v>
      </c>
      <c r="D28" s="2" t="s">
        <v>561</v>
      </c>
      <c r="E28" s="2" t="s">
        <v>333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Assumptions!$D$164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619</v>
      </c>
      <c r="B29" s="2" t="s">
        <v>620</v>
      </c>
      <c r="C29" s="2" t="s">
        <v>48</v>
      </c>
      <c r="D29" s="2" t="s">
        <v>561</v>
      </c>
      <c r="E29" s="2" t="s">
        <v>333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Assumptions!$D$164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621</v>
      </c>
      <c r="B30" s="2" t="s">
        <v>620</v>
      </c>
      <c r="C30" s="2" t="s">
        <v>43</v>
      </c>
      <c r="D30" s="2" t="s">
        <v>561</v>
      </c>
      <c r="E30" s="2" t="s">
        <v>333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Assumptions!$D$164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622</v>
      </c>
      <c r="B31" s="2" t="s">
        <v>620</v>
      </c>
      <c r="C31" s="2" t="s">
        <v>52</v>
      </c>
      <c r="D31" s="2" t="s">
        <v>561</v>
      </c>
      <c r="E31" s="2" t="s">
        <v>333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Assumptions!$D$164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623</v>
      </c>
      <c r="B32" s="2" t="s">
        <v>620</v>
      </c>
      <c r="C32" s="2" t="s">
        <v>54</v>
      </c>
      <c r="D32" s="2" t="s">
        <v>561</v>
      </c>
      <c r="E32" s="2" t="s">
        <v>333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Assumptions!$D$164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624</v>
      </c>
      <c r="B33" s="2" t="s">
        <v>625</v>
      </c>
      <c r="C33" s="2" t="s">
        <v>48</v>
      </c>
      <c r="D33" s="2" t="s">
        <v>561</v>
      </c>
      <c r="E33" s="2" t="s">
        <v>333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Assumptions!$D$169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626</v>
      </c>
      <c r="B34" s="2" t="s">
        <v>627</v>
      </c>
      <c r="C34" s="2" t="s">
        <v>43</v>
      </c>
      <c r="D34" s="2" t="s">
        <v>561</v>
      </c>
      <c r="E34" s="2" t="s">
        <v>333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Assumptions!$D$174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453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628</v>
      </c>
    </row>
    <row r="38" customFormat="false" ht="64.9" hidden="false" customHeight="false" outlineLevel="0" collapsed="false">
      <c r="A38" s="12"/>
      <c r="B38" s="12" t="s">
        <v>316</v>
      </c>
      <c r="C38" s="12" t="s">
        <v>47</v>
      </c>
      <c r="D38" s="12" t="s">
        <v>629</v>
      </c>
      <c r="E38" s="12" t="s">
        <v>630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631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632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633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634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635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636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637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638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639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640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641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642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643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644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645</v>
      </c>
    </row>
    <row r="20" customFormat="false" ht="26.85" hidden="false" customHeight="false" outlineLevel="0" collapsed="false">
      <c r="A20" s="12"/>
      <c r="B20" s="12" t="s">
        <v>316</v>
      </c>
      <c r="C20" s="12" t="s">
        <v>646</v>
      </c>
      <c r="D20" s="12" t="s">
        <v>603</v>
      </c>
      <c r="E20" s="12" t="s">
        <v>647</v>
      </c>
      <c r="F20" s="12" t="s">
        <v>605</v>
      </c>
      <c r="G20" s="12" t="s">
        <v>648</v>
      </c>
      <c r="H20" s="12" t="s">
        <v>649</v>
      </c>
      <c r="I20" s="12" t="s">
        <v>650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453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651</v>
      </c>
    </row>
    <row r="28" customFormat="false" ht="26.85" hidden="false" customHeight="false" outlineLevel="0" collapsed="false">
      <c r="A28" s="12"/>
      <c r="B28" s="12" t="s">
        <v>315</v>
      </c>
      <c r="C28" s="12" t="s">
        <v>605</v>
      </c>
      <c r="D28" s="12" t="s">
        <v>648</v>
      </c>
      <c r="E28" s="12" t="s">
        <v>649</v>
      </c>
      <c r="F28" s="12" t="s">
        <v>652</v>
      </c>
    </row>
    <row r="29" customFormat="false" ht="15" hidden="false" customHeight="false" outlineLevel="0" collapsed="false">
      <c r="B29" s="2" t="s">
        <v>325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332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339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346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350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354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615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620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625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627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453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653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654</v>
      </c>
      <c r="C44" s="12" t="s">
        <v>655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656</v>
      </c>
      <c r="I44" s="12" t="s">
        <v>649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657</v>
      </c>
    </row>
    <row r="50" customFormat="false" ht="15" hidden="false" customHeight="false" outlineLevel="0" collapsed="false">
      <c r="A50" s="2" t="s">
        <v>658</v>
      </c>
    </row>
    <row r="51" customFormat="false" ht="15" hidden="false" customHeight="false" outlineLevel="0" collapsed="false">
      <c r="E51" s="28" t="s">
        <v>659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655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660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661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662</v>
      </c>
      <c r="B55" s="12" t="s">
        <v>316</v>
      </c>
      <c r="C55" s="12" t="s">
        <v>663</v>
      </c>
      <c r="D55" s="12" t="s">
        <v>664</v>
      </c>
      <c r="E55" s="12" t="s">
        <v>648</v>
      </c>
      <c r="F55" s="12" t="s">
        <v>665</v>
      </c>
      <c r="G55" s="12" t="s">
        <v>666</v>
      </c>
      <c r="H55" s="12"/>
      <c r="I55" s="12"/>
      <c r="J55" s="12" t="s">
        <v>667</v>
      </c>
      <c r="K55" s="12" t="s">
        <v>668</v>
      </c>
      <c r="L55" s="12"/>
      <c r="M55" s="12"/>
      <c r="N55" s="12" t="s">
        <v>646</v>
      </c>
      <c r="O55" s="12" t="s">
        <v>669</v>
      </c>
      <c r="P55" s="12" t="s">
        <v>670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671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453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649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672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673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675</v>
      </c>
    </row>
    <row r="2" customFormat="false" ht="344" hidden="false" customHeight="false" outlineLevel="0" collapsed="false">
      <c r="A2" s="13" t="s">
        <v>676</v>
      </c>
    </row>
    <row r="3" customFormat="false" ht="45" hidden="false" customHeight="true" outlineLevel="0" collapsed="false">
      <c r="A3" s="12" t="s">
        <v>677</v>
      </c>
      <c r="B3" s="12" t="s">
        <v>678</v>
      </c>
      <c r="C3" s="12" t="s">
        <v>679</v>
      </c>
      <c r="D3" s="12" t="s">
        <v>680</v>
      </c>
      <c r="E3" s="12" t="s">
        <v>681</v>
      </c>
      <c r="F3" s="12" t="s">
        <v>682</v>
      </c>
      <c r="G3" s="12" t="s">
        <v>683</v>
      </c>
      <c r="H3" s="12" t="s">
        <v>684</v>
      </c>
      <c r="I3" s="12" t="s">
        <v>685</v>
      </c>
      <c r="J3" s="12" t="s">
        <v>686</v>
      </c>
      <c r="K3" s="12" t="s">
        <v>687</v>
      </c>
      <c r="L3" s="12" t="s">
        <v>688</v>
      </c>
      <c r="M3" s="12" t="s">
        <v>689</v>
      </c>
      <c r="N3" s="12" t="s">
        <v>690</v>
      </c>
      <c r="O3" s="12" t="s">
        <v>691</v>
      </c>
      <c r="P3" s="12" t="s">
        <v>692</v>
      </c>
      <c r="Q3" s="12" t="s">
        <v>693</v>
      </c>
      <c r="R3" s="12" t="s">
        <v>694</v>
      </c>
      <c r="S3" s="12" t="s">
        <v>695</v>
      </c>
      <c r="T3" s="12" t="s">
        <v>696</v>
      </c>
      <c r="U3" s="12" t="s">
        <v>697</v>
      </c>
      <c r="V3" s="12" t="s">
        <v>698</v>
      </c>
      <c r="W3" s="12" t="s">
        <v>699</v>
      </c>
      <c r="X3" s="12" t="s">
        <v>700</v>
      </c>
      <c r="Y3" s="12" t="s">
        <v>701</v>
      </c>
      <c r="Z3" s="49" t="s">
        <v>702</v>
      </c>
      <c r="AA3" s="49" t="s">
        <v>703</v>
      </c>
      <c r="AB3" s="49" t="s">
        <v>704</v>
      </c>
      <c r="AC3" s="49" t="s">
        <v>705</v>
      </c>
      <c r="AD3" s="49" t="s">
        <v>706</v>
      </c>
      <c r="AE3" s="49" t="s">
        <v>707</v>
      </c>
      <c r="AF3" s="49" t="s">
        <v>708</v>
      </c>
      <c r="AG3" s="49" t="s">
        <v>709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IF(SUM($AD$4:$AD$14)&gt;0,AD4/SUM($AD$4:$AD$14),IF(SUM($AF$4:$AF$14)&gt;0,AF4/SUM($AF$4:$AF$14),0))</f>
        <v>0.208856576338401</v>
      </c>
      <c r="AC4" s="30" t="n">
        <f aca="false">IF(SUM($AE$4:$AE$14)&gt;0,AE4/SUM($AE$4:$AE$14),IF(SUM($AG$4:$AG$14)&gt;0,AG4/SUM($AG$4:$AG$14),0))</f>
        <v>0</v>
      </c>
      <c r="AD4" s="30" t="n">
        <f aca="false">D4*IF(MAX(0,MIN(C4,Funnel!$B$19)-B4+1)&gt;0,MAX(0,MIN(C4,Funnel!$B$19)-MAX(B4,Assumptions!$D$7+Assumptions!$D$178)+1)/MAX(0,MIN(C4,Funnel!$B$19)-B4+1),0)</f>
        <v>0.180571428571429</v>
      </c>
      <c r="AE4" s="30" t="n">
        <f aca="false">D4*IF(MAX(0,MIN(C4,Funnel!$B$19)-B4+1)&gt;0,MAX(0,MIN(C4,Funnel!$B$19)-MAX(B4,Assumptions!$D$7+Assumptions!$D$179)+1)/MAX(0,MIN(C4,Funnel!$B$19)-B4+1),0)</f>
        <v>0</v>
      </c>
      <c r="AF4" s="29" t="n">
        <f aca="false">MAX(0,MIN(C4,Funnel!$B$19)-MAX(B4,Assumptions!$D$7+Assumptions!$D$178)+1)</f>
        <v>4</v>
      </c>
      <c r="AG4" s="29" t="n">
        <f aca="false">MAX(0,MIN(C4,Funnel!$B$19)-MAX(B4,Assumptions!$D$7+Assumptions!$D$179)+1)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IF(SUM($AD$4:$AD$14)&gt;0,AD5/SUM($AD$4:$AD$14),IF(SUM($AF$4:$AF$14)&gt;0,AF5/SUM($AF$4:$AF$14),0))</f>
        <v>0.151520158625248</v>
      </c>
      <c r="AC5" s="30" t="n">
        <f aca="false">IF(SUM($AE$4:$AE$14)&gt;0,AE5/SUM($AE$4:$AE$14),IF(SUM($AG$4:$AG$14)&gt;0,AG5/SUM($AG$4:$AG$14),0))</f>
        <v>0.191520467836257</v>
      </c>
      <c r="AD5" s="30" t="n">
        <f aca="false">D5*IF(MAX(0,MIN(C5,Funnel!$B$19)-B5+1)&gt;0,MAX(0,MIN(C5,Funnel!$B$19)-MAX(B5,Assumptions!$D$7+Assumptions!$D$178)+1)/MAX(0,MIN(C5,Funnel!$B$19)-B5+1),0)</f>
        <v>0.131</v>
      </c>
      <c r="AE5" s="30" t="n">
        <f aca="false">D5*IF(MAX(0,MIN(C5,Funnel!$B$19)-B5+1)&gt;0,MAX(0,MIN(C5,Funnel!$B$19)-MAX(B5,Assumptions!$D$7+Assumptions!$D$179)+1)/MAX(0,MIN(C5,Funnel!$B$19)-B5+1),0)</f>
        <v>0.131</v>
      </c>
      <c r="AF5" s="29" t="n">
        <f aca="false">MAX(0,MIN(C5,Funnel!$B$19)-MAX(B5,Assumptions!$D$7+Assumptions!$D$178)+1)</f>
        <v>7</v>
      </c>
      <c r="AG5" s="29" t="n">
        <f aca="false">MAX(0,MIN(C5,Funnel!$B$19)-MAX(B5,Assumptions!$D$7+Assumptions!$D$179)+1)</f>
        <v>7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IF(SUM($AD$4:$AD$14)&gt;0,AD6/SUM($AD$4:$AD$14),IF(SUM($AF$4:$AF$14)&gt;0,AF6/SUM($AF$4:$AF$14),0))</f>
        <v>0.186219431592862</v>
      </c>
      <c r="AC6" s="30" t="n">
        <f aca="false">IF(SUM($AE$4:$AE$14)&gt;0,AE6/SUM($AE$4:$AE$14),IF(SUM($AG$4:$AG$14)&gt;0,AG6/SUM($AG$4:$AG$14),0))</f>
        <v>0.235380116959064</v>
      </c>
      <c r="AD6" s="30" t="n">
        <f aca="false">D6*IF(MAX(0,MIN(C6,Funnel!$B$19)-B6+1)&gt;0,MAX(0,MIN(C6,Funnel!$B$19)-MAX(B6,Assumptions!$D$7+Assumptions!$D$178)+1)/MAX(0,MIN(C6,Funnel!$B$19)-B6+1),0)</f>
        <v>0.161</v>
      </c>
      <c r="AE6" s="30" t="n">
        <f aca="false">D6*IF(MAX(0,MIN(C6,Funnel!$B$19)-B6+1)&gt;0,MAX(0,MIN(C6,Funnel!$B$19)-MAX(B6,Assumptions!$D$7+Assumptions!$D$179)+1)/MAX(0,MIN(C6,Funnel!$B$19)-B6+1),0)</f>
        <v>0.161</v>
      </c>
      <c r="AF6" s="29" t="n">
        <f aca="false">MAX(0,MIN(C6,Funnel!$B$19)-MAX(B6,Assumptions!$D$7+Assumptions!$D$178)+1)</f>
        <v>7</v>
      </c>
      <c r="AG6" s="29" t="n">
        <f aca="false">MAX(0,MIN(C6,Funnel!$B$19)-MAX(B6,Assumptions!$D$7+Assumptions!$D$179)+1)</f>
        <v>7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IF(SUM($AD$4:$AD$14)&gt;0,AD7/SUM($AD$4:$AD$14),IF(SUM($AF$4:$AF$14)&gt;0,AF7/SUM($AF$4:$AF$14),0))</f>
        <v>0.196629213483146</v>
      </c>
      <c r="AC7" s="30" t="n">
        <f aca="false">IF(SUM($AE$4:$AE$14)&gt;0,AE7/SUM($AE$4:$AE$14),IF(SUM($AG$4:$AG$14)&gt;0,AG7/SUM($AG$4:$AG$14),0))</f>
        <v>0.248538011695906</v>
      </c>
      <c r="AD7" s="30" t="n">
        <f aca="false">D7*IF(MAX(0,MIN(C7,Funnel!$B$19)-B7+1)&gt;0,MAX(0,MIN(C7,Funnel!$B$19)-MAX(B7,Assumptions!$D$7+Assumptions!$D$178)+1)/MAX(0,MIN(C7,Funnel!$B$19)-B7+1),0)</f>
        <v>0.17</v>
      </c>
      <c r="AE7" s="30" t="n">
        <f aca="false">D7*IF(MAX(0,MIN(C7,Funnel!$B$19)-B7+1)&gt;0,MAX(0,MIN(C7,Funnel!$B$19)-MAX(B7,Assumptions!$D$7+Assumptions!$D$179)+1)/MAX(0,MIN(C7,Funnel!$B$19)-B7+1),0)</f>
        <v>0.17</v>
      </c>
      <c r="AF7" s="29" t="n">
        <f aca="false">MAX(0,MIN(C7,Funnel!$B$19)-MAX(B7,Assumptions!$D$7+Assumptions!$D$178)+1)</f>
        <v>7</v>
      </c>
      <c r="AG7" s="29" t="n">
        <f aca="false">MAX(0,MIN(C7,Funnel!$B$19)-MAX(B7,Assumptions!$D$7+Assumptions!$D$179)+1)</f>
        <v>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IF(SUM($AD$4:$AD$14)&gt;0,AD8/SUM($AD$4:$AD$14),IF(SUM($AF$4:$AF$14)&gt;0,AF8/SUM($AF$4:$AF$14),0))</f>
        <v>0.225545274289491</v>
      </c>
      <c r="AC8" s="30" t="n">
        <f aca="false">IF(SUM($AE$4:$AE$14)&gt;0,AE8/SUM($AE$4:$AE$14),IF(SUM($AG$4:$AG$14)&gt;0,AG8/SUM($AG$4:$AG$14),0))</f>
        <v>0.285087719298246</v>
      </c>
      <c r="AD8" s="30" t="n">
        <f aca="false">D8*IF(MAX(0,MIN(C8,Funnel!$B$19)-B8+1)&gt;0,MAX(0,MIN(C8,Funnel!$B$19)-MAX(B8,Assumptions!$D$7+Assumptions!$D$178)+1)/MAX(0,MIN(C8,Funnel!$B$19)-B8+1),0)</f>
        <v>0.195</v>
      </c>
      <c r="AE8" s="30" t="n">
        <f aca="false">D8*IF(MAX(0,MIN(C8,Funnel!$B$19)-B8+1)&gt;0,MAX(0,MIN(C8,Funnel!$B$19)-MAX(B8,Assumptions!$D$7+Assumptions!$D$179)+1)/MAX(0,MIN(C8,Funnel!$B$19)-B8+1),0)</f>
        <v>0.195</v>
      </c>
      <c r="AF8" s="29" t="n">
        <f aca="false">MAX(0,MIN(C8,Funnel!$B$19)-MAX(B8,Assumptions!$D$7+Assumptions!$D$178)+1)</f>
        <v>7</v>
      </c>
      <c r="AG8" s="29" t="n">
        <f aca="false">MAX(0,MIN(C8,Funnel!$B$19)-MAX(B8,Assumptions!$D$7+Assumptions!$D$179)+1)</f>
        <v>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IF(SUM($AD$4:$AD$14)&gt;0,AD9/SUM($AD$4:$AD$14),IF(SUM($AF$4:$AF$14)&gt;0,AF9/SUM($AF$4:$AF$14),0))</f>
        <v>0.0312293456708526</v>
      </c>
      <c r="AC9" s="30" t="n">
        <f aca="false">IF(SUM($AE$4:$AE$14)&gt;0,AE9/SUM($AE$4:$AE$14),IF(SUM($AG$4:$AG$14)&gt;0,AG9/SUM($AG$4:$AG$14),0))</f>
        <v>0.0394736842105263</v>
      </c>
      <c r="AD9" s="30" t="n">
        <f aca="false">D9*IF(MAX(0,MIN(C9,Funnel!$B$19)-B9+1)&gt;0,MAX(0,MIN(C9,Funnel!$B$19)-MAX(B9,Assumptions!$D$7+Assumptions!$D$178)+1)/MAX(0,MIN(C9,Funnel!$B$19)-B9+1),0)</f>
        <v>0.027</v>
      </c>
      <c r="AE9" s="30" t="n">
        <f aca="false">D9*IF(MAX(0,MIN(C9,Funnel!$B$19)-B9+1)&gt;0,MAX(0,MIN(C9,Funnel!$B$19)-MAX(B9,Assumptions!$D$7+Assumptions!$D$179)+1)/MAX(0,MIN(C9,Funnel!$B$19)-B9+1),0)</f>
        <v>0.027</v>
      </c>
      <c r="AF9" s="29" t="n">
        <f aca="false">MAX(0,MIN(C9,Funnel!$B$19)-MAX(B9,Assumptions!$D$7+Assumptions!$D$178)+1)</f>
        <v>1</v>
      </c>
      <c r="AG9" s="29" t="n">
        <f aca="false">MAX(0,MIN(C9,Funnel!$B$19)-MAX(B9,Assumptions!$D$7+Assumptions!$D$179)+1)</f>
        <v>1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IF(SUM($AD$4:$AD$14)&gt;0,AD10/SUM($AD$4:$AD$14),IF(SUM($AF$4:$AF$14)&gt;0,AF10/SUM($AF$4:$AF$14),0))</f>
        <v>0</v>
      </c>
      <c r="AC10" s="30" t="n">
        <f aca="false">IF(SUM($AE$4:$AE$14)&gt;0,AE10/SUM($AE$4:$AE$14),IF(SUM($AG$4:$AG$14)&gt;0,AG10/SUM($AG$4:$AG$14),0))</f>
        <v>0</v>
      </c>
      <c r="AD10" s="30" t="n">
        <f aca="false">D10*IF(MAX(0,MIN(C10,Funnel!$B$19)-B10+1)&gt;0,MAX(0,MIN(C10,Funnel!$B$19)-MAX(B10,Assumptions!$D$7+Assumptions!$D$178)+1)/MAX(0,MIN(C10,Funnel!$B$19)-B10+1),0)</f>
        <v>0</v>
      </c>
      <c r="AE10" s="30" t="n">
        <f aca="false">D10*IF(MAX(0,MIN(C10,Funnel!$B$19)-B10+1)&gt;0,MAX(0,MIN(C10,Funnel!$B$19)-MAX(B10,Assumptions!$D$7+Assumptions!$D$179)+1)/MAX(0,MIN(C10,Funnel!$B$19)-B10+1),0)</f>
        <v>0</v>
      </c>
      <c r="AF10" s="29" t="n">
        <f aca="false">MAX(0,MIN(C10,Funnel!$B$19)-MAX(B10,Assumptions!$D$7+Assumptions!$D$178)+1)</f>
        <v>0</v>
      </c>
      <c r="AG10" s="29" t="n">
        <f aca="false">MAX(0,MIN(C10,Funnel!$B$19)-MAX(B10,Assumptions!$D$7+Assumptions!$D$179)+1)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IF(SUM($AD$4:$AD$14)&gt;0,AD11/SUM($AD$4:$AD$14),IF(SUM($AF$4:$AF$14)&gt;0,AF11/SUM($AF$4:$AF$14),0))</f>
        <v>0</v>
      </c>
      <c r="AC11" s="30" t="n">
        <f aca="false">IF(SUM($AE$4:$AE$14)&gt;0,AE11/SUM($AE$4:$AE$14),IF(SUM($AG$4:$AG$14)&gt;0,AG11/SUM($AG$4:$AG$14),0))</f>
        <v>0</v>
      </c>
      <c r="AD11" s="30" t="n">
        <f aca="false">D11*IF(MAX(0,MIN(C11,Funnel!$B$19)-B11+1)&gt;0,MAX(0,MIN(C11,Funnel!$B$19)-MAX(B11,Assumptions!$D$7+Assumptions!$D$178)+1)/MAX(0,MIN(C11,Funnel!$B$19)-B11+1),0)</f>
        <v>0</v>
      </c>
      <c r="AE11" s="30" t="n">
        <f aca="false">D11*IF(MAX(0,MIN(C11,Funnel!$B$19)-B11+1)&gt;0,MAX(0,MIN(C11,Funnel!$B$19)-MAX(B11,Assumptions!$D$7+Assumptions!$D$179)+1)/MAX(0,MIN(C11,Funnel!$B$19)-B11+1),0)</f>
        <v>0</v>
      </c>
      <c r="AF11" s="29" t="n">
        <f aca="false">MAX(0,MIN(C11,Funnel!$B$19)-MAX(B11,Assumptions!$D$7+Assumptions!$D$178)+1)</f>
        <v>0</v>
      </c>
      <c r="AG11" s="29" t="n">
        <f aca="false">MAX(0,MIN(C11,Funnel!$B$19)-MAX(B11,Assumptions!$D$7+Assumptions!$D$179)+1)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IF(SUM($AD$4:$AD$14)&gt;0,AD12/SUM($AD$4:$AD$14),IF(SUM($AF$4:$AF$14)&gt;0,AF12/SUM($AF$4:$AF$14),0))</f>
        <v>0</v>
      </c>
      <c r="AC12" s="30" t="n">
        <f aca="false">IF(SUM($AE$4:$AE$14)&gt;0,AE12/SUM($AE$4:$AE$14),IF(SUM($AG$4:$AG$14)&gt;0,AG12/SUM($AG$4:$AG$14),0))</f>
        <v>0</v>
      </c>
      <c r="AD12" s="30" t="n">
        <f aca="false">D12*IF(MAX(0,MIN(C12,Funnel!$B$19)-B12+1)&gt;0,MAX(0,MIN(C12,Funnel!$B$19)-MAX(B12,Assumptions!$D$7+Assumptions!$D$178)+1)/MAX(0,MIN(C12,Funnel!$B$19)-B12+1),0)</f>
        <v>0</v>
      </c>
      <c r="AE12" s="30" t="n">
        <f aca="false">D12*IF(MAX(0,MIN(C12,Funnel!$B$19)-B12+1)&gt;0,MAX(0,MIN(C12,Funnel!$B$19)-MAX(B12,Assumptions!$D$7+Assumptions!$D$179)+1)/MAX(0,MIN(C12,Funnel!$B$19)-B12+1),0)</f>
        <v>0</v>
      </c>
      <c r="AF12" s="29" t="n">
        <f aca="false">MAX(0,MIN(C12,Funnel!$B$19)-MAX(B12,Assumptions!$D$7+Assumptions!$D$178)+1)</f>
        <v>0</v>
      </c>
      <c r="AG12" s="29" t="n">
        <f aca="false">MAX(0,MIN(C12,Funnel!$B$19)-MAX(B12,Assumptions!$D$7+Assumptions!$D$179)+1)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IF(SUM($AD$4:$AD$14)&gt;0,AD13/SUM($AD$4:$AD$14),IF(SUM($AF$4:$AF$14)&gt;0,AF13/SUM($AF$4:$AF$14),0))</f>
        <v>0</v>
      </c>
      <c r="AC13" s="30" t="n">
        <f aca="false">IF(SUM($AE$4:$AE$14)&gt;0,AE13/SUM($AE$4:$AE$14),IF(SUM($AG$4:$AG$14)&gt;0,AG13/SUM($AG$4:$AG$14),0))</f>
        <v>0</v>
      </c>
      <c r="AD13" s="30" t="n">
        <f aca="false">D13*IF(MAX(0,MIN(C13,Funnel!$B$19)-B13+1)&gt;0,MAX(0,MIN(C13,Funnel!$B$19)-MAX(B13,Assumptions!$D$7+Assumptions!$D$178)+1)/MAX(0,MIN(C13,Funnel!$B$19)-B13+1),0)</f>
        <v>0</v>
      </c>
      <c r="AE13" s="30" t="n">
        <f aca="false">D13*IF(MAX(0,MIN(C13,Funnel!$B$19)-B13+1)&gt;0,MAX(0,MIN(C13,Funnel!$B$19)-MAX(B13,Assumptions!$D$7+Assumptions!$D$179)+1)/MAX(0,MIN(C13,Funnel!$B$19)-B13+1),0)</f>
        <v>0</v>
      </c>
      <c r="AF13" s="29" t="n">
        <f aca="false">MAX(0,MIN(C13,Funnel!$B$19)-MAX(B13,Assumptions!$D$7+Assumptions!$D$178)+1)</f>
        <v>0</v>
      </c>
      <c r="AG13" s="29" t="n">
        <f aca="false">MAX(0,MIN(C13,Funnel!$B$19)-MAX(B13,Assumptions!$D$7+Assumptions!$D$179)+1)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IF(SUM($AD$4:$AD$14)&gt;0,AD14/SUM($AD$4:$AD$14),IF(SUM($AF$4:$AF$14)&gt;0,AF14/SUM($AF$4:$AF$14),0))</f>
        <v>0</v>
      </c>
      <c r="AC14" s="30" t="n">
        <f aca="false">IF(SUM($AE$4:$AE$14)&gt;0,AE14/SUM($AE$4:$AE$14),IF(SUM($AG$4:$AG$14)&gt;0,AG14/SUM($AG$4:$AG$14),0))</f>
        <v>0</v>
      </c>
      <c r="AD14" s="30" t="n">
        <f aca="false">D14*IF(MAX(0,MIN(C14,Funnel!$B$19)-B14+1)&gt;0,MAX(0,MIN(C14,Funnel!$B$19)-MAX(B14,Assumptions!$D$7+Assumptions!$D$178)+1)/MAX(0,MIN(C14,Funnel!$B$19)-B14+1),0)</f>
        <v>0</v>
      </c>
      <c r="AE14" s="30" t="n">
        <f aca="false">D14*IF(MAX(0,MIN(C14,Funnel!$B$19)-B14+1)&gt;0,MAX(0,MIN(C14,Funnel!$B$19)-MAX(B14,Assumptions!$D$7+Assumptions!$D$179)+1)/MAX(0,MIN(C14,Funnel!$B$19)-B14+1),0)</f>
        <v>0</v>
      </c>
      <c r="AF14" s="29" t="n">
        <f aca="false">MAX(0,MIN(C14,Funnel!$B$19)-MAX(B14,Assumptions!$D$7+Assumptions!$D$178)+1)</f>
        <v>0</v>
      </c>
      <c r="AG14" s="29" t="n">
        <f aca="false">MAX(0,MIN(C14,Funnel!$B$19)-MAX(B14,Assumptions!$D$7+Assumptions!$D$179)+1)</f>
        <v>0</v>
      </c>
    </row>
    <row r="15" customFormat="false" ht="15" hidden="false" customHeight="false" outlineLevel="0" collapsed="false">
      <c r="A15" s="28" t="s">
        <v>453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710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711</v>
      </c>
      <c r="H18" s="28" t="s">
        <v>712</v>
      </c>
    </row>
    <row r="19" customFormat="false" ht="15" hidden="false" customHeight="false" outlineLevel="0" collapsed="false">
      <c r="B19" s="2" t="s">
        <v>713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714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715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716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717</v>
      </c>
      <c r="F21" s="41" t="n">
        <f aca="false">SUMIFS(Channels!$X$5:$X$34,Channels!$E$5:$E$34,"Slot")</f>
        <v>5796</v>
      </c>
      <c r="H21" s="2" t="s">
        <v>718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719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720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721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722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723</v>
      </c>
      <c r="F24" s="41" t="n">
        <f aca="false">SUM(Channels!$Z$5:$Z$34)</f>
        <v>9000</v>
      </c>
      <c r="H24" s="2" t="s">
        <v>724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725</v>
      </c>
      <c r="F25" s="32" t="n">
        <f aca="false">SUMIFS(Channels!$AF$5:$AF$34,Channels!$C$5:$C$34,"&lt;&gt;Supervisors")</f>
        <v>8.9323002511364</v>
      </c>
      <c r="H25" s="2" t="s">
        <v>726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727</v>
      </c>
      <c r="F26" s="32" t="n">
        <f aca="false">SUMIFS(Channels!$AF$5:$AF$34,Channels!$C$5:$C$34,"Supervisors")</f>
        <v>3.25605421987231</v>
      </c>
      <c r="H26" s="2" t="s">
        <v>728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729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730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731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732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733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734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735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736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737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738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739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740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741</v>
      </c>
    </row>
    <row r="43" customFormat="false" ht="30" hidden="false" customHeight="true" outlineLevel="0" collapsed="false">
      <c r="A43" s="12"/>
      <c r="B43" s="12" t="s">
        <v>315</v>
      </c>
      <c r="C43" s="12" t="s">
        <v>742</v>
      </c>
      <c r="D43" s="12" t="s">
        <v>743</v>
      </c>
      <c r="E43" s="12" t="s">
        <v>744</v>
      </c>
      <c r="F43" s="12" t="s">
        <v>745</v>
      </c>
      <c r="G43" s="12" t="s">
        <v>746</v>
      </c>
      <c r="H43" s="12" t="s">
        <v>747</v>
      </c>
      <c r="I43" s="12" t="s">
        <v>748</v>
      </c>
      <c r="J43" s="12" t="s">
        <v>749</v>
      </c>
      <c r="K43" s="12" t="s">
        <v>750</v>
      </c>
      <c r="L43" s="12" t="s">
        <v>751</v>
      </c>
      <c r="M43" s="12" t="s">
        <v>752</v>
      </c>
      <c r="N43" s="12" t="s">
        <v>453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453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753</v>
      </c>
    </row>
    <row r="2" customFormat="false" ht="15" hidden="false" customHeight="false" outlineLevel="0" collapsed="false">
      <c r="A2" s="2" t="s">
        <v>754</v>
      </c>
    </row>
    <row r="4" customFormat="false" ht="45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755</v>
      </c>
      <c r="E4" s="12" t="s">
        <v>756</v>
      </c>
      <c r="F4" s="12" t="s">
        <v>757</v>
      </c>
      <c r="G4" s="12" t="s">
        <v>758</v>
      </c>
      <c r="H4" s="12" t="s">
        <v>759</v>
      </c>
      <c r="I4" s="12" t="s">
        <v>760</v>
      </c>
      <c r="J4" s="12" t="s">
        <v>761</v>
      </c>
      <c r="K4" s="12" t="s">
        <v>762</v>
      </c>
      <c r="L4" s="12" t="s">
        <v>763</v>
      </c>
      <c r="M4" s="12" t="s">
        <v>764</v>
      </c>
      <c r="N4" s="12" t="s">
        <v>765</v>
      </c>
      <c r="O4" s="12" t="s">
        <v>766</v>
      </c>
      <c r="P4" s="12" t="s">
        <v>767</v>
      </c>
      <c r="Q4" s="12" t="s">
        <v>768</v>
      </c>
      <c r="R4" s="12" t="s">
        <v>769</v>
      </c>
      <c r="S4" s="12" t="s">
        <v>770</v>
      </c>
      <c r="T4" s="12" t="s">
        <v>771</v>
      </c>
      <c r="U4" s="12" t="s">
        <v>772</v>
      </c>
      <c r="V4" s="12" t="s">
        <v>773</v>
      </c>
      <c r="W4" s="12" t="s">
        <v>774</v>
      </c>
      <c r="X4" s="12" t="s">
        <v>775</v>
      </c>
      <c r="Y4" s="12" t="s">
        <v>776</v>
      </c>
      <c r="Z4" s="12" t="s">
        <v>777</v>
      </c>
      <c r="AA4" s="12" t="s">
        <v>778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453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779</v>
      </c>
    </row>
    <row r="39" customFormat="false" ht="45" hidden="false" customHeight="true" outlineLevel="0" collapsed="false">
      <c r="A39" s="12"/>
      <c r="B39" s="12" t="s">
        <v>316</v>
      </c>
      <c r="C39" s="12" t="s">
        <v>780</v>
      </c>
      <c r="D39" s="12" t="s">
        <v>781</v>
      </c>
      <c r="E39" s="12" t="s">
        <v>782</v>
      </c>
      <c r="F39" s="12" t="s">
        <v>783</v>
      </c>
      <c r="G39" s="12" t="s">
        <v>784</v>
      </c>
      <c r="H39" s="12" t="s">
        <v>785</v>
      </c>
      <c r="I39" s="12" t="s">
        <v>786</v>
      </c>
      <c r="J39" s="12" t="s">
        <v>787</v>
      </c>
      <c r="K39" s="12" t="s">
        <v>788</v>
      </c>
      <c r="L39" s="12" t="s">
        <v>789</v>
      </c>
      <c r="M39" s="12" t="s">
        <v>790</v>
      </c>
      <c r="N39" s="12" t="s">
        <v>791</v>
      </c>
      <c r="O39" s="12" t="s">
        <v>47</v>
      </c>
      <c r="P39" s="12" t="s">
        <v>792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453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793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2026-10-09T15:58:47Z</dcterms:created>
  <dc:creator/>
  <dc:description/>
  <dc:language>en-US</dc:language>
  <cp:lastModifiedBy/>
  <dcterms:modified xsi:type="dcterms:W3CDTF">2026-10-09T15:58:47Z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