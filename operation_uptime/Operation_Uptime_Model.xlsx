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ssumptions" sheetId="2" state="visible" r:id="rId2"/>
    <sheet xmlns:r="http://schemas.openxmlformats.org/officeDocument/2006/relationships" name="Funnel" sheetId="3" state="visible" r:id="rId3"/>
    <sheet xmlns:r="http://schemas.openxmlformats.org/officeDocument/2006/relationships" name="Initiatives" sheetId="4" state="visible" r:id="rId4"/>
    <sheet xmlns:r="http://schemas.openxmlformats.org/officeDocument/2006/relationships" name="Channels" sheetId="5" state="visible" r:id="rId5"/>
    <sheet xmlns:r="http://schemas.openxmlformats.org/officeDocument/2006/relationships" name="Budget" sheetId="6" state="visible" r:id="rId6"/>
    <sheet xmlns:r="http://schemas.openxmlformats.org/officeDocument/2006/relationships" name="Weekly" sheetId="7" state="visible" r:id="rId7"/>
    <sheet xmlns:r="http://schemas.openxmlformats.org/officeDocument/2006/relationships" name="Tracker" sheetId="8" state="visible" r:id="rId8"/>
  </sheets>
  <definedNames/>
  <calcPr calcId="124519" fullCalcOnLoad="1"/>
</workbook>
</file>

<file path=xl/styles.xml><?xml version="1.0" encoding="utf-8"?>
<styleSheet xmlns="http://schemas.openxmlformats.org/spreadsheetml/2006/main">
  <numFmts count="11">
    <numFmt numFmtId="164" formatCode="yyyy-mm-dd"/>
    <numFmt numFmtId="165" formatCode="ddd dd mmm yyyy"/>
    <numFmt numFmtId="166" formatCode="€#,##0;-€#,##0;&quot;–&quot;"/>
    <numFmt numFmtId="167" formatCode="0.00&quot;×&quot;"/>
    <numFmt numFmtId="168" formatCode="€#,##0.00"/>
    <numFmt numFmtId="169" formatCode="0.0%"/>
    <numFmt numFmtId="170" formatCode="#,##0.0"/>
    <numFmt numFmtId="171" formatCode="0.0&quot;×&quot;"/>
    <numFmt numFmtId="172" formatCode="0.0%;;"/>
    <numFmt numFmtId="173" formatCode="0.000"/>
    <numFmt numFmtId="174" formatCode="dd mmm"/>
  </numFmts>
  <fonts count="7">
    <font>
      <name val="Calibri"/>
      <family val="2"/>
      <color theme="1"/>
      <sz val="11"/>
      <scheme val="minor"/>
    </font>
    <font>
      <name val="Arial"/>
      <b val="1"/>
      <sz val="14"/>
    </font>
    <font>
      <name val="Arial"/>
    </font>
    <font>
      <name val="Arial"/>
      <b val="1"/>
    </font>
    <font>
      <name val="Arial"/>
      <b val="1"/>
      <color rgb="00FFFFFF"/>
      <sz val="11"/>
    </font>
    <font>
      <name val="Arial"/>
      <color rgb="000000CC"/>
    </font>
    <font>
      <name val="Calibri"/>
      <color rgb="001F4E79"/>
      <sz val="10"/>
      <u val="single"/>
    </font>
  </fonts>
  <fills count="7">
    <fill>
      <patternFill/>
    </fill>
    <fill>
      <patternFill patternType="gray125"/>
    </fill>
    <fill>
      <patternFill patternType="solid">
        <fgColor rgb="00D9E1F2"/>
      </patternFill>
    </fill>
    <fill>
      <patternFill patternType="solid">
        <fgColor rgb="001F3864"/>
      </patternFill>
    </fill>
    <fill>
      <patternFill patternType="solid">
        <fgColor rgb="00FFF6D5"/>
      </patternFill>
    </fill>
    <fill>
      <patternFill patternType="solid">
        <fgColor rgb="00E7E6E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3" fontId="3" fillId="6" borderId="0" pivotButton="0" quotePrefix="0" xfId="0"/>
    <xf numFmtId="166" fontId="3" fillId="6" borderId="0" pivotButton="0" quotePrefix="0" xfId="0"/>
    <xf numFmtId="170" fontId="3" fillId="6" borderId="0" pivotButton="0" quotePrefix="0" xfId="0"/>
    <xf numFmtId="9" fontId="3" fillId="6" borderId="0" pivotButton="0" quotePrefix="0" xfId="0"/>
    <xf numFmtId="165" fontId="3" fillId="6" borderId="0" pivotButton="0" quotePrefix="0" xfId="0"/>
    <xf numFmtId="0" fontId="3" fillId="6" borderId="0" pivotButton="0" quotePrefix="0" xfId="0"/>
    <xf numFmtId="0" fontId="2" fillId="0" borderId="0" applyAlignment="1" pivotButton="0" quotePrefix="0" xfId="0">
      <alignment vertical="top" wrapText="1"/>
    </xf>
    <xf numFmtId="0" fontId="3" fillId="2" borderId="0" pivotButton="0" quotePrefix="0" xfId="0"/>
    <xf numFmtId="0" fontId="0" fillId="2" borderId="0" pivotButton="0" quotePrefix="0" xfId="0"/>
    <xf numFmtId="0" fontId="4" fillId="3" borderId="1" applyAlignment="1" pivotButton="0" quotePrefix="0" xfId="0">
      <alignment vertical="center" wrapText="1"/>
    </xf>
    <xf numFmtId="165" fontId="5" fillId="4" borderId="1" pivotButton="0" quotePrefix="0" xfId="0"/>
    <xf numFmtId="3" fontId="5" fillId="4" borderId="1" pivotButton="0" quotePrefix="0" xfId="0"/>
    <xf numFmtId="9" fontId="5" fillId="4" borderId="1" pivotButton="0" quotePrefix="0" xfId="0"/>
    <xf numFmtId="0" fontId="6" fillId="0" borderId="0" applyAlignment="1" pivotButton="0" quotePrefix="0" xfId="0">
      <alignment vertical="top" wrapText="1"/>
    </xf>
    <xf numFmtId="166" fontId="5" fillId="4" borderId="1" pivotButton="0" quotePrefix="0" xfId="0"/>
    <xf numFmtId="167" fontId="5" fillId="4" borderId="1" pivotButton="0" quotePrefix="0" xfId="0"/>
    <xf numFmtId="168" fontId="5" fillId="4" borderId="1" pivotButton="0" quotePrefix="0" xfId="0"/>
    <xf numFmtId="3" fontId="5" fillId="5" borderId="1" pivotButton="0" quotePrefix="0" xfId="0"/>
    <xf numFmtId="2" fontId="5" fillId="4" borderId="1" pivotButton="0" quotePrefix="0" xfId="0"/>
    <xf numFmtId="169" fontId="5" fillId="4" borderId="1" pivotButton="0" quotePrefix="0" xfId="0"/>
    <xf numFmtId="0" fontId="3" fillId="0" borderId="0" pivotButton="0" quotePrefix="0" xfId="0"/>
    <xf numFmtId="3" fontId="2" fillId="0" borderId="0" pivotButton="0" quotePrefix="0" xfId="0"/>
    <xf numFmtId="9" fontId="2" fillId="0" borderId="0" pivotButton="0" quotePrefix="0" xfId="0"/>
    <xf numFmtId="169" fontId="2" fillId="0" borderId="0" pivotButton="0" quotePrefix="0" xfId="0"/>
    <xf numFmtId="170" fontId="2" fillId="0" borderId="0" pivotButton="0" quotePrefix="0" xfId="0"/>
    <xf numFmtId="3" fontId="3" fillId="0" borderId="0" pivotButton="0" quotePrefix="0" xfId="0"/>
    <xf numFmtId="169" fontId="3" fillId="0" borderId="0" pivotButton="0" quotePrefix="0" xfId="0"/>
    <xf numFmtId="170" fontId="3" fillId="0" borderId="0" pivotButton="0" quotePrefix="0" xfId="0"/>
    <xf numFmtId="165" fontId="2" fillId="0" borderId="0" pivotButton="0" quotePrefix="0" xfId="0"/>
    <xf numFmtId="165" fontId="2" fillId="6" borderId="0" pivotButton="0" quotePrefix="0" xfId="0"/>
    <xf numFmtId="3" fontId="2" fillId="6" borderId="0" pivotButton="0" quotePrefix="0" xfId="0"/>
    <xf numFmtId="169" fontId="2" fillId="6" borderId="0" pivotButton="0" quotePrefix="0" xfId="0"/>
    <xf numFmtId="171" fontId="2" fillId="0" borderId="0" pivotButton="0" quotePrefix="0" xfId="0"/>
    <xf numFmtId="166" fontId="2" fillId="0" borderId="0" pivotButton="0" quotePrefix="0" xfId="0"/>
    <xf numFmtId="166" fontId="3" fillId="0" borderId="0" pivotButton="0" quotePrefix="0" xfId="0"/>
    <xf numFmtId="168" fontId="2" fillId="0" borderId="0" pivotButton="0" quotePrefix="0" xfId="0"/>
    <xf numFmtId="2" fontId="2" fillId="0" borderId="0" pivotButton="0" quotePrefix="0" xfId="0"/>
    <xf numFmtId="173" fontId="2" fillId="0" borderId="0" pivotButton="0" quotePrefix="0" xfId="0"/>
    <xf numFmtId="170" fontId="2" fillId="6" borderId="0" pivotButton="0" quotePrefix="0" xfId="0"/>
    <xf numFmtId="166" fontId="2" fillId="6" borderId="0" pivotButton="0" quotePrefix="0" xfId="0"/>
    <xf numFmtId="9" fontId="3" fillId="4" borderId="0" pivotButton="0" quotePrefix="0" xfId="0"/>
    <xf numFmtId="0" fontId="3" fillId="0" borderId="0" applyAlignment="1" pivotButton="0" quotePrefix="0" xfId="0">
      <alignment vertical="top" wrapText="1"/>
    </xf>
    <xf numFmtId="174" fontId="2" fillId="0" borderId="0" pivotButton="0" quotePrefix="0" xfId="0"/>
    <xf numFmtId="9" fontId="3" fillId="0" borderId="0" pivotButton="0" quotePrefix="0" xfId="0"/>
    <xf numFmtId="167"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uzer.de/6_BQFG.htm" TargetMode="External" Id="rId1"/><Relationship Type="http://schemas.openxmlformats.org/officeDocument/2006/relationships/hyperlink" Target="https://ta.smartrecruiters.com/rs/664-NIC-529/images/Germany%20Recruiting%20Benchmarks%202025%20Report%20DE.pdf" TargetMode="External" Id="rId2"/><Relationship Type="http://schemas.openxmlformats.org/officeDocument/2006/relationships/hyperlink" Target="https://www.socialnet.de/personalblog/wie-lange-dauert-recruiting-wirklich-zahlen-aus-dem-xing-bewerbungsreport-2026.html" TargetMode="External" Id="rId3"/><Relationship Type="http://schemas.openxmlformats.org/officeDocument/2006/relationships/hyperlink" Target="https://iab-forum.de/iab-stellenerhebung-2-2026-fast-drei-von-vier-bewerbungen-sind-aus-betrieblicher-sicht-ungeeignet/" TargetMode="External" Id="rId4"/><Relationship Type="http://schemas.openxmlformats.org/officeDocument/2006/relationships/hyperlink" Target="https://iab-forum.de/iab-stellenerhebung-2-2026-fast-drei-von-vier-bewerbungen-sind-aus-betrieblicher-sicht-ungeeignet/" TargetMode="External" Id="rId5"/><Relationship Type="http://schemas.openxmlformats.org/officeDocument/2006/relationships/hyperlink" Target="https://iab-forum.de/iab-stellenerhebung-2-2026-fast-drei-von-vier-bewerbungen-sind-aus-betrieblicher-sicht-ungeeignet/" TargetMode="External" Id="rId6"/><Relationship Type="http://schemas.openxmlformats.org/officeDocument/2006/relationships/hyperlink" Target="https://iab-forum.de/iab-stellenerhebung-2-2026-fast-drei-von-vier-bewerbungen-sind-aus-betrieblicher-sicht-ungeeignet/" TargetMode="External" Id="rId7"/><Relationship Type="http://schemas.openxmlformats.org/officeDocument/2006/relationships/hyperlink" Target="https://lp.gem.com/rs/972-IVV-330/images/2025%20Recruiting%20Benchmarks%20-%20Gem.pdf" TargetMode="External" Id="rId8"/><Relationship Type="http://schemas.openxmlformats.org/officeDocument/2006/relationships/hyperlink" Target="https://lp.gem.com/rs/972-IVV-330/images/2025%20Recruiting%20Benchmarks%20-%20Gem.pdf" TargetMode="External" Id="rId9"/><Relationship Type="http://schemas.openxmlformats.org/officeDocument/2006/relationships/hyperlink" Target="https://lp.gem.com/rs/972-IVV-330/images/2025%20Recruiting%20Benchmarks%20-%20Gem.pdf" TargetMode="External" Id="rId10"/><Relationship Type="http://schemas.openxmlformats.org/officeDocument/2006/relationships/hyperlink" Target="https://lp.gem.com/rs/972-IVV-330/images/2025%20Recruiting%20Benchmarks%20-%20Gem.pdf" TargetMode="External" Id="rId11"/><Relationship Type="http://schemas.openxmlformats.org/officeDocument/2006/relationships/hyperlink" Target="https://www.lebensmittelzeitung.net/handel/karriere/rekrutierung-bewerber-sagen-haeufiger-ab-166449" TargetMode="External" Id="rId12"/><Relationship Type="http://schemas.openxmlformats.org/officeDocument/2006/relationships/hyperlink" Target="https://www.lebensmittelzeitung.net/handel/karriere/rekrutierung-bewerber-sagen-haeufiger-ab-166449" TargetMode="External" Id="rId13"/><Relationship Type="http://schemas.openxmlformats.org/officeDocument/2006/relationships/hyperlink" Target="https://www.lebensmittelzeitung.net/handel/karriere/rekrutierung-bewerber-sagen-haeufiger-ab-166449" TargetMode="External" Id="rId14"/><Relationship Type="http://schemas.openxmlformats.org/officeDocument/2006/relationships/hyperlink" Target="https://www.lebensmittelzeitung.net/handel/karriere/rekrutierung-bewerber-sagen-haeufiger-ab-166449" TargetMode="External" Id="rId15"/><Relationship Type="http://schemas.openxmlformats.org/officeDocument/2006/relationships/hyperlink" Target="https://statistik.arbeitsagentur.de/Statistikdaten/Detail/202512/iiia6/beschaeftigung-sozbe-bo-heft/bo-heft-12-0-202512-xlsx.xlsx?__blob=publicationFile" TargetMode="External" Id="rId16"/><Relationship Type="http://schemas.openxmlformats.org/officeDocument/2006/relationships/hyperlink" Target="https://statistik.arbeitsagentur.de/Statistikdaten/Detail/202512/iiia6/beschaeftigung-sozbe-bo-heft/bo-heft-12-0-202512-xlsx.xlsx?__blob=publicationFile" TargetMode="External" Id="rId17"/><Relationship Type="http://schemas.openxmlformats.org/officeDocument/2006/relationships/hyperlink" Target="https://statistik.arbeitsagentur.de/Statistikdaten/Detail/202512/iiia6/beschaeftigung-sozbe-bo-heft/bo-heft-12-0-202512-xlsx.xlsx?__blob=publicationFile" TargetMode="External" Id="rId18"/><Relationship Type="http://schemas.openxmlformats.org/officeDocument/2006/relationships/hyperlink" Target="https://statistik.arbeitsagentur.de/Statistikdaten/Detail/202512/iiia6/beschaeftigung-sozbe-bo-heft/bo-heft-12-0-202512-xlsx.xlsx?__blob=publicationFile" TargetMode="External" Id="rId19"/><Relationship Type="http://schemas.openxmlformats.org/officeDocument/2006/relationships/hyperlink" Target="https://mweke.brandenburg.de/media/bb1.a.3814.de/Betriebspanel%20Brandenburg%202024%20-%20final.pdf" TargetMode="External" Id="rId20"/><Relationship Type="http://schemas.openxmlformats.org/officeDocument/2006/relationships/hyperlink" Target="https://mweke.brandenburg.de/media/bb1.a.3814.de/Betriebspanel%20Brandenburg%202024%20-%20final.pdf" TargetMode="External" Id="rId21"/><Relationship Type="http://schemas.openxmlformats.org/officeDocument/2006/relationships/hyperlink" Target="https://mweke.brandenburg.de/media/bb1.a.3814.de/Betriebspanel%20Brandenburg%202024%20-%20final.pdf" TargetMode="External" Id="rId22"/><Relationship Type="http://schemas.openxmlformats.org/officeDocument/2006/relationships/hyperlink" Target="https://mweke.brandenburg.de/media/bb1.a.3814.de/Betriebspanel%20Brandenburg%202024%20-%20final.pdf" TargetMode="External" Id="rId23"/><Relationship Type="http://schemas.openxmlformats.org/officeDocument/2006/relationships/hyperlink" Target="https://www.lohnspiegel.de/gehaltsinfos/elektroniker_in_fuer_betriebstechnik_26252114.html" TargetMode="External" Id="rId24"/><Relationship Type="http://schemas.openxmlformats.org/officeDocument/2006/relationships/hyperlink" Target="https://www.lohnspiegel.de/gehaltsinfos/elektroniker_in_fuer_betriebstechnik_26252114.html" TargetMode="External" Id="rId25"/><Relationship Type="http://schemas.openxmlformats.org/officeDocument/2006/relationships/hyperlink" Target="https://www.lohnspiegel.de/gehaltsinfos/elektroniker_in_fuer_betriebstechnik_26252114.html" TargetMode="External" Id="rId26"/><Relationship Type="http://schemas.openxmlformats.org/officeDocument/2006/relationships/hyperlink" Target="https://www.lohnspiegel.de/gehaltsinfos/elektroniker_in_fuer_betriebstechnik_26252114.html" TargetMode="External" Id="rId27"/><Relationship Type="http://schemas.openxmlformats.org/officeDocument/2006/relationships/hyperlink" Target="https://www.arbeitsagentur.de/faktor-a/mitarbeiter-finden/so-funktioniert-deutschlands-groesste-jobboerse" TargetMode="External" Id="rId28"/><Relationship Type="http://schemas.openxmlformats.org/officeDocument/2006/relationships/hyperlink" Target="https://www.arbeitsagentur.de/faktor-a/mitarbeiter-finden/so-funktioniert-deutschlands-groesste-jobboerse" TargetMode="External" Id="rId29"/><Relationship Type="http://schemas.openxmlformats.org/officeDocument/2006/relationships/hyperlink" Target="https://www.arbeitsagentur.de/faktor-a/mitarbeiter-finden/so-funktioniert-deutschlands-groesste-jobboerse" TargetMode="External" Id="rId30"/><Relationship Type="http://schemas.openxmlformats.org/officeDocument/2006/relationships/hyperlink" Target="https://www.arbeitsagentur.de/faktor-a/mitarbeiter-finden/so-funktioniert-deutschlands-groesste-jobboerse" TargetMode="External" Id="rId31"/><Relationship Type="http://schemas.openxmlformats.org/officeDocument/2006/relationships/hyperlink" Target="https://www.personalwirtschaft.de/?p=162207" TargetMode="External" Id="rId32"/><Relationship Type="http://schemas.openxmlformats.org/officeDocument/2006/relationships/hyperlink" Target="https://www.personalwirtschaft.de/?p=162207" TargetMode="External" Id="rId33"/><Relationship Type="http://schemas.openxmlformats.org/officeDocument/2006/relationships/hyperlink" Target="https://www.personalwirtschaft.de/?p=162207" TargetMode="External" Id="rId34"/><Relationship Type="http://schemas.openxmlformats.org/officeDocument/2006/relationships/hyperlink" Target="https://www.personalwirtschaft.de/?p=162207" TargetMode="External" Id="rId35"/><Relationship Type="http://schemas.openxmlformats.org/officeDocument/2006/relationships/hyperlink" Target="https://www.stepstone.de/e-recruiting/stellenanzeige-aufgeben/" TargetMode="External" Id="rId36"/><Relationship Type="http://schemas.openxmlformats.org/officeDocument/2006/relationships/hyperlink" Target="https://www.stepstone.de/e-recruiting/stellenanzeige-aufgeben/" TargetMode="External" Id="rId37"/><Relationship Type="http://schemas.openxmlformats.org/officeDocument/2006/relationships/hyperlink" Target="https://www.stepstone.de/e-recruiting/stellenanzeige-aufgeben/" TargetMode="External" Id="rId38"/><Relationship Type="http://schemas.openxmlformats.org/officeDocument/2006/relationships/hyperlink" Target="https://www.stepstone.de/e-recruiting/stellenanzeige-aufgeben/" TargetMode="External" Id="rId39"/><Relationship Type="http://schemas.openxmlformats.org/officeDocument/2006/relationships/hyperlink" Target="https://www.talentbait.de/recruiting-kanaele-uebersicht/" TargetMode="External" Id="rId40"/><Relationship Type="http://schemas.openxmlformats.org/officeDocument/2006/relationships/hyperlink" Target="https://www.talentbait.de/recruiting-kanaele-uebersicht/" TargetMode="External" Id="rId41"/><Relationship Type="http://schemas.openxmlformats.org/officeDocument/2006/relationships/hyperlink" Target="https://www.talentbait.de/social-media-recruiting" TargetMode="External" Id="rId42"/><Relationship Type="http://schemas.openxmlformats.org/officeDocument/2006/relationships/hyperlink" Target="https://www.talentbait.de/social-media-recruiting" TargetMode="External" Id="rId43"/><Relationship Type="http://schemas.openxmlformats.org/officeDocument/2006/relationships/hyperlink" Target="https://www.talentbait.de/recruiting-kanaele-uebersicht/" TargetMode="External" Id="rId44"/><Relationship Type="http://schemas.openxmlformats.org/officeDocument/2006/relationships/hyperlink" Target="https://www.talentbait.de/recruiting-kanaele-uebersicht/" TargetMode="External" Id="rId45"/><Relationship Type="http://schemas.openxmlformats.org/officeDocument/2006/relationships/hyperlink" Target="https://www.talentbait.de/recruiting-kanaele-uebersicht/" TargetMode="External" Id="rId46"/><Relationship Type="http://schemas.openxmlformats.org/officeDocument/2006/relationships/hyperlink" Target="https://www.talentbait.de/recruiting-kanaele-uebersicht/" TargetMode="External" Id="rId47"/><Relationship Type="http://schemas.openxmlformats.org/officeDocument/2006/relationships/hyperlink" Target="https://www.moz.de/nachrichten/brandenburg/grenzkontrollen-in-polen-tesla-werkleiter-in-gruenheide-fuerchtet-folgen-fuer-mitarbeiter-78159572.html" TargetMode="External" Id="rId48"/><Relationship Type="http://schemas.openxmlformats.org/officeDocument/2006/relationships/hyperlink" Target="https://www.moz.de/nachrichten/brandenburg/grenzkontrollen-in-polen-tesla-werkleiter-in-gruenheide-fuerchtet-folgen-fuer-mitarbeiter-78159572.html" TargetMode="External" Id="rId49"/><Relationship Type="http://schemas.openxmlformats.org/officeDocument/2006/relationships/hyperlink" Target="https://www.moz.de/nachrichten/brandenburg/grenzkontrollen-in-polen-tesla-werkleiter-in-gruenheide-fuerchtet-folgen-fuer-mitarbeiter-78159572.html" TargetMode="External" Id="rId50"/><Relationship Type="http://schemas.openxmlformats.org/officeDocument/2006/relationships/hyperlink" Target="https://www.moz.de/nachrichten/brandenburg/grenzkontrollen-in-polen-tesla-werkleiter-in-gruenheide-fuerchtet-folgen-fuer-mitarbeiter-78159572.html" TargetMode="External" Id="rId51"/><Relationship Type="http://schemas.openxmlformats.org/officeDocument/2006/relationships/hyperlink" Target="https://gem.com/blog/2022-recruiting-benchmarks" TargetMode="External" Id="rId52"/><Relationship Type="http://schemas.openxmlformats.org/officeDocument/2006/relationships/hyperlink" Target="https://www.shrm.org/mena/topics-tools/news/technology/talent-rediscovery-tools-help-address-labor-shortages" TargetMode="External" Id="rId53"/><Relationship Type="http://schemas.openxmlformats.org/officeDocument/2006/relationships/hyperlink" Target="https://www.kofa.de/media/Publikationen/Handlungsempfehlungen/Mitarbeiter_werben_Mitarbeiter.pdf" TargetMode="External" Id="rId54"/><Relationship Type="http://schemas.openxmlformats.org/officeDocument/2006/relationships/hyperlink" Target="https://www.seven.io/de/preise/" TargetMode="External" Id="rId55"/><Relationship Type="http://schemas.openxmlformats.org/officeDocument/2006/relationships/hyperlink" Target="https://www.kofa.de/media/Publikationen/Handlungsempfehlungen/Mitarbeiter_werben_Mitarbeiter.pdf" TargetMode="External" Id="rId56"/><Relationship Type="http://schemas.openxmlformats.org/officeDocument/2006/relationships/hyperlink" Target="https://statistik.arbeitsagentur.de/Statistikdaten/Detail/202512/iiia6/beschaeftigung-sozbe-bo-heft/bo-heft-12-0-202512-xlsx.xlsx?__blob=publicationFile" TargetMode="External" Id="rId57"/><Relationship Type="http://schemas.openxmlformats.org/officeDocument/2006/relationships/hyperlink" Target="https://www.talentbait.de/social-media-recruiting" TargetMode="External" Id="rId58"/><Relationship Type="http://schemas.openxmlformats.org/officeDocument/2006/relationships/hyperlink" Target="https://dlafirm.pracuj.pl/cennik-uslug/pakiety-ogloszen" TargetMode="External" Id="rId59"/><Relationship Type="http://schemas.openxmlformats.org/officeDocument/2006/relationships/hyperlink" Target="https://wab.edu.pl/wp-content/uploads/2025/01/Raport-placowy-2025-HAYS.pdf" TargetMode="External" Id="rId60"/><Relationship Type="http://schemas.openxmlformats.org/officeDocument/2006/relationships/hyperlink" Target="https://www.buzer.de/11_JVEG.htm" TargetMode="External" Id="rId61"/></Relationships>
</file>

<file path=xl/worksheets/sheet1.xml><?xml version="1.0" encoding="utf-8"?>
<worksheet xmlns="http://schemas.openxmlformats.org/spreadsheetml/2006/main">
  <sheetPr>
    <tabColor rgb="001F3864"/>
    <outlinePr summaryBelow="1" summaryRight="1"/>
    <pageSetUpPr/>
  </sheetPr>
  <dimension ref="A1:G23"/>
  <sheetViews>
    <sheetView showGridLines="0" workbookViewId="0">
      <selection activeCell="A1" sqref="A1"/>
    </sheetView>
  </sheetViews>
  <sheetFormatPr baseColWidth="8" defaultRowHeight="15"/>
  <cols>
    <col width="4" customWidth="1" min="1" max="1"/>
    <col width="52" customWidth="1" min="2" max="2"/>
    <col width="18" customWidth="1" min="3" max="3"/>
    <col width="18" customWidth="1" min="4" max="4"/>
    <col width="18" customWidth="1" min="5" max="5"/>
    <col width="18" customWidth="1" min="6" max="6"/>
    <col width="18" customWidth="1" min="7" max="7"/>
  </cols>
  <sheetData>
    <row r="1">
      <c r="B1" s="1" t="inlineStr">
        <is>
          <t>Operation Uptime — model summary (hypothetical Tesla Giga Berlin maintenance hiring)</t>
        </is>
      </c>
    </row>
    <row r="2">
      <c r="B2" s="2" t="inlineStr">
        <is>
          <t>Everything on this tab is a live link to the model. Inputs live only on the Assumptions tab (blue on yellow).</t>
        </is>
      </c>
    </row>
    <row r="3"/>
    <row r="4">
      <c r="B4" s="2" t="inlineStr">
        <is>
          <t>Target: signed contracts by 31 Dec</t>
        </is>
      </c>
      <c r="C4" s="3">
        <f>Funnel!B9</f>
        <v/>
      </c>
    </row>
    <row r="5">
      <c r="B5" s="2" t="inlineStr">
        <is>
          <t>Recommended budget</t>
        </is>
      </c>
      <c r="C5" s="4">
        <f>Budget!C12</f>
        <v/>
      </c>
    </row>
    <row r="6">
      <c r="B6" s="2" t="inlineStr">
        <is>
          <t>…of which planned spend</t>
        </is>
      </c>
      <c r="C6" s="4">
        <f>Budget!C9</f>
        <v/>
      </c>
    </row>
    <row r="7">
      <c r="B7" s="2" t="inlineStr">
        <is>
          <t>…of which reserve (incl. rounding up)</t>
        </is>
      </c>
      <c r="C7" s="4">
        <f>Budget!C12-Budget!C9</f>
        <v/>
      </c>
    </row>
    <row r="8">
      <c r="B8" s="2" t="inlineStr">
        <is>
          <t>Hires the channel plan buys</t>
        </is>
      </c>
      <c r="C8" s="5">
        <f>Budget!C13</f>
        <v/>
      </c>
    </row>
    <row r="9">
      <c r="B9" s="2">
        <f>"Hires actually possible (≤ "&amp;Assumptions!$D$9&amp;" assessments/week)"</f>
        <v/>
      </c>
      <c r="C9" s="5">
        <f>MIN(Budget!C13,Funnel!B26)</f>
        <v/>
      </c>
    </row>
    <row r="10">
      <c r="B10" s="2" t="inlineStr">
        <is>
          <t>Media cost per hire</t>
        </is>
      </c>
      <c r="C10" s="4">
        <f>Budget!C14</f>
        <v/>
      </c>
    </row>
    <row r="11">
      <c r="B11" s="2" t="inlineStr">
        <is>
          <t>Qualified applicants to assess</t>
        </is>
      </c>
      <c r="C11" s="3">
        <f>Funnel!B23</f>
        <v/>
      </c>
    </row>
    <row r="12">
      <c r="B12" s="2" t="inlineStr">
        <is>
          <t>Assessment slots available (capacity × weeks)</t>
        </is>
      </c>
      <c r="C12" s="3">
        <f>Funnel!B22</f>
        <v/>
      </c>
    </row>
    <row r="13">
      <c r="B13" s="2" t="inlineStr">
        <is>
          <t>Slot utilisation</t>
        </is>
      </c>
      <c r="C13" s="6">
        <f>Funnel!B24</f>
        <v/>
      </c>
    </row>
    <row r="14">
      <c r="B14" s="2" t="inlineStr">
        <is>
          <t>Last useful application date (E/M/A)</t>
        </is>
      </c>
      <c r="C14" s="7">
        <f>Funnel!B19</f>
        <v/>
      </c>
    </row>
    <row r="15">
      <c r="B15" s="2" t="inlineStr">
        <is>
          <t>Last useful application date (Supervisors)</t>
        </is>
      </c>
      <c r="C15" s="7">
        <f>Funnel!B20</f>
        <v/>
      </c>
    </row>
    <row r="16">
      <c r="B16" s="2" t="inlineStr">
        <is>
          <t>Hardest role (lowest channel coverage without the unproven I2)</t>
        </is>
      </c>
      <c r="C16" s="8">
        <f>IF(MIN(Funnel!L30:L33)&gt;=1E+9,"–",INDEX(Funnel!A30:A33,MATCH(MIN(Funnel!L30:L33),Funnel!L30:L33,0))&amp;" ("&amp;TEXT(MIN(Funnel!L30:L33),"0.0")&amp;"× coverage; see Funnel row 35)")</f>
        <v/>
      </c>
    </row>
    <row r="17">
      <c r="B17" s="2" t="inlineStr">
        <is>
          <t>Most sensitive assumption</t>
        </is>
      </c>
      <c r="C17" s="8">
        <f>Funnel!D49</f>
        <v/>
      </c>
    </row>
    <row r="18">
      <c r="B18" s="2" t="inlineStr">
        <is>
          <t>Hires with 30% less budget</t>
        </is>
      </c>
      <c r="C18" s="5">
        <f>Budget!H47</f>
        <v/>
      </c>
    </row>
    <row r="19">
      <c r="B19" s="2" t="inlineStr">
        <is>
          <t>Input checks</t>
        </is>
      </c>
      <c r="C19" s="8">
        <f>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$100&lt;0)+(Assumptions!$D$100&gt;1)+(Assumptions!$D$103&lt;0)+(Assumptions!$D$103&gt;1)+(Assumptions!$D$104&lt;0)+(Assumptions!$D$104&gt;1)+(Assumptions!$D$105&lt;0)+(Assumptions!$D$105&gt;1)+(Assumptions!$D$106&lt;0)+(Assumptions!$D$106&gt;1))+((Assumptions!$D$9&lt;0)+(Assumptions!$D$11&lt;0)+(Assumptions!$D$12&lt;0)+(Assumptions!$D$13&lt;0)+(Assumptions!$D$14&lt;0)+(Assumptions!$D$15&lt;0)+(Assumptions!$D$19&lt;0)+(Assumptions!$D$21&lt;0)+(Assumptions!$D$22&lt;0)+(Assumptions!$D$23&lt;0)+(Assumptions!$D$24&lt;0)+(Assumptions!$D$25&lt;0)+(Assumptions!$D$49&lt;0)+(Assumptions!$D$51&lt;0)+(Assumptions!$D$70&lt;0)+(Assumptions!$D$71&lt;0)+(Assumptions!$D$72&lt;0)+(Assumptions!$D$73&lt;0)+(Assumptions!$D$78&lt;0)+(Assumptions!$D$79&lt;0)+(Assumptions!$D$80&lt;0)+(Assumptions!$D$81&lt;0)+(Assumptions!$D$85&lt;0)+(Assumptions!$D$86&lt;0)+(Assumptions!$D$87&lt;0)+(Assumptions!$D$88&lt;0)+(Assumptions!$D$89&lt;0)+(Assumptions!$D$90&lt;0)+(Assumptions!$D$91&lt;0)+(Assumptions!$D$94&lt;0)+(Assumptions!$D$96&lt;0)+(Assumptions!$D$101&lt;0)+(Assumptions!$D$102&lt;0)+(Assumptions!$D$107&lt;0)+(Assumptions!$D$108&lt;0)+(Assumptions!$D$135&lt;0)+(Assumptions!$D$136&lt;0)+(Assumptions!$D$137&lt;0)+(Assumptions!$D$138&lt;0)+(Assumptions!$D$141&lt;0)+(Assumptions!$D$142&lt;0)+(Assumptions!$D$143&lt;0)+(Assumptions!$D$144&lt;0)+(Assumptions!$D$146&lt;0)+(Assumptions!$D$147&lt;0)+(Assumptions!$D$148&lt;0)+(Assumptions!$D$149&lt;0)+(Assumptions!$D$151&lt;0)+(Assumptions!$D$153&lt;0)+(Assumptions!$D$154&lt;0)+(Assumptions!$D$155&lt;0)+(Assumptions!$D$157&lt;0)+(Assumptions!$D$158&lt;0)+(Assumptions!$D$159&lt;0)+(Assumptions!$D$160&lt;0)+(Assumptions!$D$161&lt;0))+((INT(Assumptions!$D$19)&lt;&gt;Assumptions!$D$19)+(INT(Assumptions!$D$21)&lt;&gt;Assumptions!$D$21)+(INT(Assumptions!$D$22)&lt;&gt;Assumptions!$D$22)+(INT(Assumptions!$D$23)&lt;&gt;Assumptions!$D$23)+(INT(Assumptions!$D$24)&lt;&gt;Assumptions!$D$24)+(INT(Assumptions!$D$25)&lt;&gt;Assumptions!$D$25))+SUMPRODUCT((Assumptions!$E$112:$E$131&lt;0)+(Assumptions!$G$112:$G$131&lt;0)+(Assumptions!$G$112:$G$131&gt;1)+(Assumptions!$H$112:$H$131&lt;0)+(Assumptions!$I$112:$I$131&lt;0)+(Assumptions!$J$112:$J$131&lt;0)+(Assumptions!$F$112:$F$131&lt;0)+((Assumptions!$D$112:$D$131="CPC")*(Assumptions!$F$112:$F$131&gt;1)))+(Assumptions!$D$48&lt;0)+(Assumptions!$D$48&gt;=1)+(Assumptions!$D$20&lt;Assumptions!$D$7)+(Assumptions!$D$20&gt;Assumptions!$D$8)+(Assumptions!$D$8&lt;=Assumptions!$D$7)+(Assumptions!$D$95&gt;=Assumptions!$D$93)+(Assumptions!$D$96&lt;Assumptions!$D$94)=0,"✓ all inputs valid","✗ invalid input: "&amp;IF(((Assumptions!$D$10&lt;0)+(Assumptions!$D$10&gt;1)+(Assumptions!$D$54&lt;0)+(Assumptions!$D$54&gt;1)+(Assumptions!$D$50&lt;0)+(Assumptions!$D$50&gt;1)+(Assumptions!$D$52&lt;0)+(Assumptions!$D$52&gt;1)+(Assumptions!$D$53&lt;0)+(Assumptions!$D$53&gt;1)+(Assumptions!$D$66&lt;0)+(Assumptions!$D$66&gt;1)+(Assumptions!$D$139&lt;0)+(Assumptions!$D$139&gt;1)+(Assumptions!$D$140&lt;0)+(Assumptions!$D$140&gt;1)+(Assumptions!$D$145&lt;0)+(Assumptions!$D$145&gt;1)+(Assumptions!$D$150&lt;0)+(Assumptions!$D$150&gt;1)+(Assumptions!$D$152&lt;0)+(Assumptions!$D$152&gt;1)+(Assumptions!$D$156&lt;0)+(Assumptions!$D$156&gt;1)+(Assumptions!$D$97&lt;0)+(Assumptions!$D$97&gt;1)+(Assumptions!$D$98&lt;0)+(Assumptions!$D$98&gt;1)+(Assumptions!$D$99&lt;0)+(Assumptions!$D$99&gt;1)+(Assumptions!$D$93&lt;0)+(Assumptions!$D$93&gt;1)+(Assumptions!$D$95&lt;0)+(Assumptions!$D$95&gt;1)+(Assumptions!$D$92&lt;0)+(Assumptions!$D$92&gt;1)+(Assumptions!$D$29&lt;0)+(Assumptions!$D$29&gt;1)+(Assumptions!$D$30&lt;0)+(Assumptions!$D$30&gt;1)+(Assumptions!$D$31&lt;0)+(Assumptions!$D$31&gt;1)+(Assumptions!$D$32&lt;0)+(Assumptions!$D$32&gt;1)+(Assumptions!$D$33&lt;0)+(Assumptions!$D$33&gt;1)+(Assumptions!$D$34&lt;0)+(Assumptions!$D$34&gt;1)+(Assumptions!$D$35&lt;0)+(Assumptions!$D$35&gt;1)+(Assumptions!$D$36&lt;0)+(Assumptions!$D$36&gt;1)+(Assumptions!$D$37&lt;0)+(Assumptions!$D$37&gt;1)+(Assumptions!$D$38&lt;0)+(Assumptions!$D$38&gt;1)+(Assumptions!$D$39&lt;0)+(Assumptions!$D$39&gt;1)+(Assumptions!$D$40&lt;0)+(Assumptions!$D$40&gt;1)+(Assumptions!$D$41&lt;0)+(Assumptions!$D$41&gt;1)+(Assumptions!$D$42&lt;0)+(Assumptions!$D$42&gt;1)+(Assumptions!$D$43&lt;0)+(Assumptions!$D$43&gt;1)+(Assumptions!$D$44&lt;0)+(Assumptions!$D$44&gt;1)+(Assumptions!$D$55&lt;0)+(Assumptions!$D$55&gt;1)+(Assumptions!$D$56&lt;0)+(Assumptions!$D$56&gt;1)+(Assumptions!$D$57&lt;0)+(Assumptions!$D$57&gt;1)+(Assumptions!$D$58&lt;0)+(Assumptions!$D$58&gt;1)+(Assumptions!$D$59&lt;0)+(Assumptions!$D$59&gt;1)+(Assumptions!$D$60&lt;0)+(Assumptions!$D$60&gt;1)+(Assumptions!$D$61&lt;0)+(Assumptions!$D$61&gt;1)+(Assumptions!$D$62&lt;0)+(Assumptions!$D$62&gt;1)+(Assumptions!$D$63&lt;0)+(Assumptions!$D$63&gt;1)+(Assumptions!$D$64&lt;0)+(Assumptions!$D$64&gt;1)+(Assumptions!$D$65&lt;0)+(Assumptions!$D$65&gt;1)+(Assumptions!$D$74&lt;0)+(Assumptions!$D$74&gt;1)+(Assumptions!$D$75&lt;0)+(Assumptions!$D$75&gt;1)+(Assumptions!$D$76&lt;0)+(Assumptions!$D$76&gt;1)+(Assumptions!$D$77&lt;0)+(Assumptions!$D$77&gt;1)+(Assumptions!$D$100&lt;0)+(Assumptions!$D$100&gt;1)+(Assumptions!$D$103&lt;0)+(Assumptions!$D$103&gt;1)+(Assumptions!$D$104&lt;0)+(Assumptions!$D$104&gt;1)+(Assumptions!$D$105&lt;0)+(Assumptions!$D$105&gt;1)+(Assumptions!$D$106&lt;0)+(Assumptions!$D$106&gt;1))&gt;0,"a share/rate is outside 0–100%; ","")&amp;IF(((Assumptions!$D$9&lt;0)+(Assumptions!$D$11&lt;0)+(Assumptions!$D$12&lt;0)+(Assumptions!$D$13&lt;0)+(Assumptions!$D$14&lt;0)+(Assumptions!$D$15&lt;0)+(Assumptions!$D$19&lt;0)+(Assumptions!$D$21&lt;0)+(Assumptions!$D$22&lt;0)+(Assumptions!$D$23&lt;0)+(Assumptions!$D$24&lt;0)+(Assumptions!$D$25&lt;0)+(Assumptions!$D$49&lt;0)+(Assumptions!$D$51&lt;0)+(Assumptions!$D$70&lt;0)+(Assumptions!$D$71&lt;0)+(Assumptions!$D$72&lt;0)+(Assumptions!$D$73&lt;0)+(Assumptions!$D$78&lt;0)+(Assumptions!$D$79&lt;0)+(Assumptions!$D$80&lt;0)+(Assumptions!$D$81&lt;0)+(Assumptions!$D$85&lt;0)+(Assumptions!$D$86&lt;0)+(Assumptions!$D$87&lt;0)+(Assumptions!$D$88&lt;0)+(Assumptions!$D$89&lt;0)+(Assumptions!$D$90&lt;0)+(Assumptions!$D$91&lt;0)+(Assumptions!$D$94&lt;0)+(Assumptions!$D$96&lt;0)+(Assumptions!$D$101&lt;0)+(Assumptions!$D$102&lt;0)+(Assumptions!$D$107&lt;0)+(Assumptions!$D$108&lt;0)+(Assumptions!$D$135&lt;0)+(Assumptions!$D$136&lt;0)+(Assumptions!$D$137&lt;0)+(Assumptions!$D$138&lt;0)+(Assumptions!$D$141&lt;0)+(Assumptions!$D$142&lt;0)+(Assumptions!$D$143&lt;0)+(Assumptions!$D$144&lt;0)+(Assumptions!$D$146&lt;0)+(Assumptions!$D$147&lt;0)+(Assumptions!$D$148&lt;0)+(Assumptions!$D$149&lt;0)+(Assumptions!$D$151&lt;0)+(Assumptions!$D$153&lt;0)+(Assumptions!$D$154&lt;0)+(Assumptions!$D$155&lt;0)+(Assumptions!$D$157&lt;0)+(Assumptions!$D$158&lt;0)+(Assumptions!$D$159&lt;0)+(Assumptions!$D$160&lt;0)+(Assumptions!$D$161&lt;0))&gt;0,"a count, cost or day value is negative; ","")&amp;IF(((INT(Assumptions!$D$19)&lt;&gt;Assumptions!$D$19)+(INT(Assumptions!$D$21)&lt;&gt;Assumptions!$D$21)+(INT(Assumptions!$D$22)&lt;&gt;Assumptions!$D$22)+(INT(Assumptions!$D$23)&lt;&gt;Assumptions!$D$23)+(INT(Assumptions!$D$24)&lt;&gt;Assumptions!$D$24)+(INT(Assumptions!$D$25)&lt;&gt;Assumptions!$D$25))&gt;0,"day inputs (T0, T2–T6) must be whole days; ","")&amp;IF(SUMPRODUCT((Assumptions!$E$112:$E$131&lt;0)+(Assumptions!$G$112:$G$131&lt;0)+(Assumptions!$G$112:$G$131&gt;1)+(Assumptions!$H$112:$H$131&lt;0)+(Assumptions!$I$112:$I$131&lt;0)+(Assumptions!$J$112:$J$131&lt;0)+(Assumptions!$F$112:$F$131&lt;0)+((Assumptions!$D$112:$D$131="CPC")*(Assumptions!$F$112:$F$131&gt;1)))&gt;0,"a channel input (Assumptions §7) is out of range; ","")&amp;IF(OR(Assumptions!$D$48&lt;0,Assumptions!$D$48&gt;=1),"reserve share must be 0–99%; ","")&amp;IF(OR(Assumptions!$D$20&lt;Assumptions!$D$7,Assumptions!$D$20&gt;Assumptions!$D$8),"last signing date must fall inside the campaign; ","")&amp;IF(Assumptions!$D$8&lt;=Assumptions!$D$7,"campaign end must be after its start; ","")&amp;IF(OR(Assumptions!$D$95&gt;=Assumptions!$D$93,Assumptions!$D$96&lt;Assumptions!$D$94),"initiative kill thresholds must sit below pass thresholds (TK1 &lt; TP1, TK2 ≥ TP2); ",""))</f>
        <v/>
      </c>
    </row>
    <row r="20">
      <c r="B20" s="2" t="inlineStr">
        <is>
          <t>Plan / schedule check (Weekly S15)</t>
        </is>
      </c>
      <c r="C20" s="8">
        <f>Weekly!S15</f>
        <v/>
      </c>
    </row>
    <row r="21"/>
    <row r="22">
      <c r="B22" s="9" t="inlineStr">
        <is>
          <t>Tabs: Assumptions (every input, its label and source link) → Funnel (Part 1, with the talent-pool check) → Channels (Part 2.2–2.3) → Initiatives (Part 3) → Budget (Part 2.4–2.5, with the budget-cut scenarios) → Weekly (phasing and cash) → Tracker (Part 4, live re-plan).</t>
        </is>
      </c>
    </row>
    <row r="23"/>
  </sheetData>
  <mergeCells count="1">
    <mergeCell ref="B22:G23"/>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L162"/>
  <sheetViews>
    <sheetView showGridLines="0" workbookViewId="0">
      <selection activeCell="A1" sqref="A1"/>
    </sheetView>
  </sheetViews>
  <sheetFormatPr baseColWidth="8" defaultRowHeight="15"/>
  <cols>
    <col width="8" customWidth="1" min="1" max="1"/>
    <col width="46" customWidth="1" min="2" max="2"/>
    <col width="14" customWidth="1" min="3" max="3"/>
    <col width="14" customWidth="1" min="4" max="4"/>
    <col width="12" customWidth="1" min="5" max="5"/>
    <col width="15" customWidth="1" min="6" max="6"/>
    <col width="95" customWidth="1" min="7" max="7"/>
    <col width="16" customWidth="1" min="8" max="8"/>
    <col width="14" customWidth="1" min="9" max="9"/>
    <col width="12" customWidth="1" min="10" max="10"/>
    <col width="14" customWidth="1" min="11" max="11"/>
    <col width="95" customWidth="1" min="12" max="12"/>
  </cols>
  <sheetData>
    <row r="1">
      <c r="A1" s="1" t="inlineStr">
        <is>
          <t>Assumptions log = the model's only input sheet</t>
        </is>
      </c>
    </row>
    <row r="2">
      <c r="A2" s="2" t="inlineStr">
        <is>
          <t>Blue cells on yellow are inputs: change them here and every other tab recalculates. Label: Given = from the brief; Researched = with link; Own estimate = one line of reasoning; Researched + Own estimate = the researched part (e.g. a price or range) is linked, the rest is reasoned.</t>
        </is>
      </c>
    </row>
    <row r="3"/>
    <row r="4"/>
    <row r="5">
      <c r="A5" s="10" t="inlineStr">
        <is>
          <t>1. Given in the brief</t>
        </is>
      </c>
      <c r="B5" s="11" t="n"/>
      <c r="C5" s="11" t="n"/>
      <c r="D5" s="11" t="n"/>
      <c r="E5" s="11" t="n"/>
      <c r="F5" s="11" t="n"/>
      <c r="G5" s="11" t="n"/>
    </row>
    <row r="6">
      <c r="A6" s="12" t="inlineStr">
        <is>
          <t>ID</t>
        </is>
      </c>
      <c r="B6" s="12" t="inlineStr">
        <is>
          <t>Parameter</t>
        </is>
      </c>
      <c r="C6" s="12" t="inlineStr">
        <is>
          <t>Role / scope</t>
        </is>
      </c>
      <c r="D6" s="12" t="inlineStr">
        <is>
          <t>Value</t>
        </is>
      </c>
      <c r="E6" s="12" t="inlineStr">
        <is>
          <t>Unit</t>
        </is>
      </c>
      <c r="F6" s="12" t="inlineStr">
        <is>
          <t>Label</t>
        </is>
      </c>
      <c r="G6" s="12" t="inlineStr">
        <is>
          <t>Source / reasoning</t>
        </is>
      </c>
    </row>
    <row r="7">
      <c r="A7" s="2" t="inlineStr">
        <is>
          <t>G1</t>
        </is>
      </c>
      <c r="B7" s="9" t="inlineStr">
        <is>
          <t>Campaign start</t>
        </is>
      </c>
      <c r="C7" s="2" t="inlineStr">
        <is>
          <t>All</t>
        </is>
      </c>
      <c r="D7" s="13" t="n">
        <v>46315</v>
      </c>
      <c r="E7" s="2" t="inlineStr">
        <is>
          <t>date</t>
        </is>
      </c>
      <c r="F7" s="2" t="inlineStr">
        <is>
          <t>Given</t>
        </is>
      </c>
      <c r="G7" s="9" t="inlineStr">
        <is>
          <t>Brief: campaign runs Tue 20 Oct – Thu 31 Dec.</t>
        </is>
      </c>
    </row>
    <row r="8">
      <c r="A8" s="2" t="inlineStr">
        <is>
          <t>G2</t>
        </is>
      </c>
      <c r="B8" s="9" t="inlineStr">
        <is>
          <t>Campaign end / hire deadline (signed contract)</t>
        </is>
      </c>
      <c r="C8" s="2" t="inlineStr">
        <is>
          <t>All</t>
        </is>
      </c>
      <c r="D8" s="13" t="n">
        <v>46387</v>
      </c>
      <c r="E8" s="2" t="inlineStr">
        <is>
          <t>date</t>
        </is>
      </c>
      <c r="F8" s="2" t="inlineStr">
        <is>
          <t>Given</t>
        </is>
      </c>
      <c r="G8" s="9" t="inlineStr">
        <is>
          <t>Brief: a hire = contract signed by 31 Dec; start date may be 2027.</t>
        </is>
      </c>
    </row>
    <row r="9">
      <c r="A9" s="2" t="inlineStr">
        <is>
          <t>G3</t>
        </is>
      </c>
      <c r="B9" s="9" t="inlineStr">
        <is>
          <t>Recruiter capacity: qualified applicants assessed per week</t>
        </is>
      </c>
      <c r="C9" s="2" t="inlineStr">
        <is>
          <t>All roles</t>
        </is>
      </c>
      <c r="D9" s="14" t="n">
        <v>55</v>
      </c>
      <c r="E9" s="2" t="inlineStr">
        <is>
          <t>per week</t>
        </is>
      </c>
      <c r="F9" s="2" t="inlineStr">
        <is>
          <t>Given</t>
        </is>
      </c>
      <c r="G9" s="9" t="inlineStr">
        <is>
          <t>Brief: at most 55 qualified applicants a week across all roles.</t>
        </is>
      </c>
    </row>
    <row r="10">
      <c r="A10" s="2" t="inlineStr">
        <is>
          <t>G4</t>
        </is>
      </c>
      <c r="B10" s="9" t="inlineStr">
        <is>
          <t>Max share of mechatronics/mechanical hires from Polish sources</t>
        </is>
      </c>
      <c r="C10" s="2" t="inlineStr">
        <is>
          <t>Mechatronics</t>
        </is>
      </c>
      <c r="D10" s="15" t="n">
        <v>0.4</v>
      </c>
      <c r="E10" s="2" t="inlineStr">
        <is>
          <t>%</t>
        </is>
      </c>
      <c r="F10" s="2" t="inlineStr">
        <is>
          <t>Given</t>
        </is>
      </c>
      <c r="G10" s="9" t="inlineStr">
        <is>
          <t>Brief: Polish sources allowed for mechatronics/mechanical only, max 40% of those hires.</t>
        </is>
      </c>
    </row>
    <row r="11">
      <c r="A11" s="2" t="inlineStr">
        <is>
          <t>G5</t>
        </is>
      </c>
      <c r="B11" s="9" t="inlineStr">
        <is>
          <t>Openings</t>
        </is>
      </c>
      <c r="C11" s="2" t="inlineStr">
        <is>
          <t>Electricians</t>
        </is>
      </c>
      <c r="D11" s="14" t="n">
        <v>30</v>
      </c>
      <c r="E11" s="2" t="inlineStr">
        <is>
          <t>hires</t>
        </is>
      </c>
      <c r="F11" s="2" t="inlineStr">
        <is>
          <t>Given</t>
        </is>
      </c>
      <c r="G11" s="9" t="inlineStr">
        <is>
          <t>Brief, 'What you're given' table.</t>
        </is>
      </c>
    </row>
    <row r="12">
      <c r="A12" s="2" t="inlineStr">
        <is>
          <t>G6</t>
        </is>
      </c>
      <c r="B12" s="9" t="inlineStr">
        <is>
          <t>Openings</t>
        </is>
      </c>
      <c r="C12" s="2" t="inlineStr">
        <is>
          <t>Mechatronics</t>
        </is>
      </c>
      <c r="D12" s="14" t="n">
        <v>45</v>
      </c>
      <c r="E12" s="2" t="inlineStr">
        <is>
          <t>hires</t>
        </is>
      </c>
      <c r="F12" s="2" t="inlineStr">
        <is>
          <t>Given</t>
        </is>
      </c>
      <c r="G12" s="9" t="inlineStr">
        <is>
          <t>Brief, 'What you're given' table.</t>
        </is>
      </c>
    </row>
    <row r="13">
      <c r="A13" s="2" t="inlineStr">
        <is>
          <t>G7</t>
        </is>
      </c>
      <c r="B13" s="9" t="inlineStr">
        <is>
          <t>Openings</t>
        </is>
      </c>
      <c r="C13" s="2" t="inlineStr">
        <is>
          <t>Automation</t>
        </is>
      </c>
      <c r="D13" s="14" t="n">
        <v>15</v>
      </c>
      <c r="E13" s="2" t="inlineStr">
        <is>
          <t>hires</t>
        </is>
      </c>
      <c r="F13" s="2" t="inlineStr">
        <is>
          <t>Given</t>
        </is>
      </c>
      <c r="G13" s="9" t="inlineStr">
        <is>
          <t>Brief, 'What you're given' table.</t>
        </is>
      </c>
    </row>
    <row r="14">
      <c r="A14" s="2" t="inlineStr">
        <is>
          <t>G8</t>
        </is>
      </c>
      <c r="B14" s="9" t="inlineStr">
        <is>
          <t>Openings</t>
        </is>
      </c>
      <c r="C14" s="2" t="inlineStr">
        <is>
          <t>Supervisors</t>
        </is>
      </c>
      <c r="D14" s="14" t="n">
        <v>10</v>
      </c>
      <c r="E14" s="2" t="inlineStr">
        <is>
          <t>hires</t>
        </is>
      </c>
      <c r="F14" s="2" t="inlineStr">
        <is>
          <t>Given</t>
        </is>
      </c>
      <c r="G14" s="9" t="inlineStr">
        <is>
          <t>Brief, 'What you're given' table.</t>
        </is>
      </c>
    </row>
    <row r="15">
      <c r="A15" s="2" t="inlineStr">
        <is>
          <t>G9</t>
        </is>
      </c>
      <c r="B15" s="9" t="inlineStr">
        <is>
          <t>Foreign electrical qualification recognition time (info only: makes foreign-trained electricians unhireable by 31 Dec)</t>
        </is>
      </c>
      <c r="C15" s="2" t="inlineStr">
        <is>
          <t>Electricians</t>
        </is>
      </c>
      <c r="D15" s="14" t="n">
        <v>2</v>
      </c>
      <c r="E15" s="2" t="inlineStr">
        <is>
          <t>months (min)</t>
        </is>
      </c>
      <c r="F15" s="2" t="inlineStr">
        <is>
          <t>Given</t>
        </is>
      </c>
      <c r="G15" s="16" t="inlineStr">
        <is>
          <t>Brief: 2–4 months. Statutory: decision within three months of a complete file, extendable once (§6(3) BQFG, https://www.buzer.de/6_BQFG.htm); 59% of non-regulated cases met the 3-month deadline in 2020, many others needed at most one more month (https://www.anerkennung-in-deutschland.de/html/de/pro/aktuelles-dauer-der-verfahren.php).</t>
        </is>
      </c>
    </row>
    <row r="16"/>
    <row r="17">
      <c r="A17" s="10" t="inlineStr">
        <is>
          <t>2. Hiring timeline (sets the last useful application date)</t>
        </is>
      </c>
      <c r="B17" s="11" t="n"/>
      <c r="C17" s="11" t="n"/>
      <c r="D17" s="11" t="n"/>
      <c r="E17" s="11" t="n"/>
      <c r="F17" s="11" t="n"/>
      <c r="G17" s="11" t="n"/>
    </row>
    <row r="18">
      <c r="A18" s="12" t="inlineStr">
        <is>
          <t>ID</t>
        </is>
      </c>
      <c r="B18" s="12" t="inlineStr">
        <is>
          <t>Parameter</t>
        </is>
      </c>
      <c r="C18" s="12" t="inlineStr">
        <is>
          <t>Role / scope</t>
        </is>
      </c>
      <c r="D18" s="12" t="inlineStr">
        <is>
          <t>Value</t>
        </is>
      </c>
      <c r="E18" s="12" t="inlineStr">
        <is>
          <t>Unit</t>
        </is>
      </c>
      <c r="F18" s="12" t="inlineStr">
        <is>
          <t>Label</t>
        </is>
      </c>
      <c r="G18" s="12" t="inlineStr">
        <is>
          <t>Source / reasoning</t>
        </is>
      </c>
    </row>
    <row r="19">
      <c r="A19" s="2" t="inlineStr">
        <is>
          <t>T0</t>
        </is>
      </c>
      <c r="B19" s="9" t="inlineStr">
        <is>
          <t>Days from campaign start to first assessments</t>
        </is>
      </c>
      <c r="C19" s="2" t="inlineStr">
        <is>
          <t>All</t>
        </is>
      </c>
      <c r="D19" s="14" t="n">
        <v>2</v>
      </c>
      <c r="E19" s="2" t="inlineStr">
        <is>
          <t>days</t>
        </is>
      </c>
      <c r="F19" s="2" t="inlineStr">
        <is>
          <t>Own estimate</t>
        </is>
      </c>
      <c r="G19" s="9" t="inlineStr">
        <is>
          <t>Derivation: rediscovery wave 1 goes out Wed 21 Oct (campaign day 2) to people screened once before; their re-applications skip the first screen, so assessments start Thu 22 Oct = start + 2 days. New applicants follow T2 (6 days).</t>
        </is>
      </c>
    </row>
    <row r="20">
      <c r="A20" s="2" t="inlineStr">
        <is>
          <t>T1</t>
        </is>
      </c>
      <c r="B20" s="9" t="inlineStr">
        <is>
          <t>Last realistic contract-signing date</t>
        </is>
      </c>
      <c r="C20" s="2" t="inlineStr">
        <is>
          <t>All</t>
        </is>
      </c>
      <c r="D20" s="13" t="n">
        <v>46374</v>
      </c>
      <c r="E20" s="2" t="inlineStr">
        <is>
          <t>date</t>
        </is>
      </c>
      <c r="F20" s="2" t="inlineStr">
        <is>
          <t>Own estimate</t>
        </is>
      </c>
      <c r="G20" s="9" t="inlineStr">
        <is>
          <t>Fri before Christmas week. Hiring managers / HR largely off 21 Dec–1 Jan; 21–23 Dec kept as buffer for slipped signatures, not planned volume.</t>
        </is>
      </c>
    </row>
    <row r="21">
      <c r="A21" s="2" t="inlineStr">
        <is>
          <t>T2</t>
        </is>
      </c>
      <c r="B21" s="9" t="inlineStr">
        <is>
          <t>Days: application → recruiter assessment of a qualified applicant</t>
        </is>
      </c>
      <c r="C21" s="2" t="inlineStr">
        <is>
          <t>All</t>
        </is>
      </c>
      <c r="D21" s="14" t="n">
        <v>6</v>
      </c>
      <c r="E21" s="2" t="inlineStr">
        <is>
          <t>days</t>
        </is>
      </c>
      <c r="F21" s="2" t="inlineStr">
        <is>
          <t>Researched</t>
        </is>
      </c>
      <c r="G21" s="16" t="inlineStr">
        <is>
          <t>SmartRecruiters Germany 2025 benchmark: median 6 days to review an application (https://ta.smartrecruiters.com/rs/664-NIC-529/images/Germany%20Recruiting%20Benchmarks%202025%20Report%20DE.pdf).</t>
        </is>
      </c>
    </row>
    <row r="22">
      <c r="A22" s="2" t="inlineStr">
        <is>
          <t>T3</t>
        </is>
      </c>
      <c r="B22" s="9" t="inlineStr">
        <is>
          <t>Days: recruiter assessment → technical interview/test done</t>
        </is>
      </c>
      <c r="C22" s="2" t="inlineStr">
        <is>
          <t>All</t>
        </is>
      </c>
      <c r="D22" s="14" t="n">
        <v>8</v>
      </c>
      <c r="E22" s="2" t="inlineStr">
        <is>
          <t>days</t>
        </is>
      </c>
      <c r="F22" s="2" t="inlineStr">
        <is>
          <t>Researched + Own estimate</t>
        </is>
      </c>
      <c r="G22" s="16" t="inlineStr">
        <is>
          <t>SmartRecruiters 2025: median 14 days from application to interview (same PDF) → 14 − 6 = 8. German averages are slower (XING report 2026: 21 days to first interview, 72 days to hire, https://www.socialnet.de/personalblog/wie-lange-dauert-recruiting-wirklich-zahlen-aus-dem-xing-bewerbungsreport-2026.html), so this plan assumes a fast track the client must commit to (risk).</t>
        </is>
      </c>
    </row>
    <row r="23">
      <c r="A23" s="2" t="inlineStr">
        <is>
          <t>T4</t>
        </is>
      </c>
      <c r="B23" s="9" t="inlineStr">
        <is>
          <t>Days: interview → written offer</t>
        </is>
      </c>
      <c r="C23" s="2" t="inlineStr">
        <is>
          <t>All</t>
        </is>
      </c>
      <c r="D23" s="14" t="n">
        <v>3</v>
      </c>
      <c r="E23" s="2" t="inlineStr">
        <is>
          <t>days</t>
        </is>
      </c>
      <c r="F23" s="2" t="inlineStr">
        <is>
          <t>Own estimate</t>
        </is>
      </c>
      <c r="G23" s="9" t="inlineStr">
        <is>
          <t>No published benchmark found for interview → offer. Assumes offer approval within 3 working days of the interview (client to confirm; it is one of the asks).</t>
        </is>
      </c>
    </row>
    <row r="24">
      <c r="A24" s="2" t="inlineStr">
        <is>
          <t>T5</t>
        </is>
      </c>
      <c r="B24" s="9" t="inlineStr">
        <is>
          <t>Days: offer → signed contract</t>
        </is>
      </c>
      <c r="C24" s="2" t="inlineStr">
        <is>
          <t>All</t>
        </is>
      </c>
      <c r="D24" s="14" t="n">
        <v>7</v>
      </c>
      <c r="E24" s="2" t="inlineStr">
        <is>
          <t>days</t>
        </is>
      </c>
      <c r="F24" s="2" t="inlineStr">
        <is>
          <t>Own estimate</t>
        </is>
      </c>
      <c r="G24" s="9" t="inlineStr">
        <is>
          <t>No published benchmark found for offer → signature. Candidates take ~a week to compare offers (notice period doesn't matter; start can be 2027).</t>
        </is>
      </c>
    </row>
    <row r="25">
      <c r="A25" s="2" t="inlineStr">
        <is>
          <t>T6</t>
        </is>
      </c>
      <c r="B25" s="9" t="inlineStr">
        <is>
          <t>Extra days for supervisors (second round with plant management)</t>
        </is>
      </c>
      <c r="C25" s="2" t="inlineStr">
        <is>
          <t>Supervisors</t>
        </is>
      </c>
      <c r="D25" s="14" t="n">
        <v>7</v>
      </c>
      <c r="E25" s="2" t="inlineStr">
        <is>
          <t>days</t>
        </is>
      </c>
      <c r="F25" s="2" t="inlineStr">
        <is>
          <t>Own estimate</t>
        </is>
      </c>
      <c r="G25" s="9" t="inlineStr">
        <is>
          <t>Leadership roles typically need one more round.</t>
        </is>
      </c>
    </row>
    <row r="26"/>
    <row r="27">
      <c r="A27" s="10" t="inlineStr">
        <is>
          <t>3. Funnel rates by role (Part 1)</t>
        </is>
      </c>
      <c r="B27" s="11" t="n"/>
      <c r="C27" s="11" t="n"/>
      <c r="D27" s="11" t="n"/>
      <c r="E27" s="11" t="n"/>
      <c r="F27" s="11" t="n"/>
      <c r="G27" s="11" t="n"/>
    </row>
    <row r="28">
      <c r="A28" s="12" t="inlineStr">
        <is>
          <t>ID</t>
        </is>
      </c>
      <c r="B28" s="12" t="inlineStr">
        <is>
          <t>Parameter</t>
        </is>
      </c>
      <c r="C28" s="12" t="inlineStr">
        <is>
          <t>Role / scope</t>
        </is>
      </c>
      <c r="D28" s="12" t="inlineStr">
        <is>
          <t>Value</t>
        </is>
      </c>
      <c r="E28" s="12" t="inlineStr">
        <is>
          <t>Unit</t>
        </is>
      </c>
      <c r="F28" s="12" t="inlineStr">
        <is>
          <t>Label</t>
        </is>
      </c>
      <c r="G28" s="12" t="inlineStr">
        <is>
          <t>Source / reasoning</t>
        </is>
      </c>
    </row>
    <row r="29">
      <c r="A29" s="2" t="inlineStr">
        <is>
          <t>QE</t>
        </is>
      </c>
      <c r="B29" s="9" t="inlineStr">
        <is>
          <t>Application → qualified (baseline, all channels)</t>
        </is>
      </c>
      <c r="C29" s="2" t="inlineStr">
        <is>
          <t>Electricians</t>
        </is>
      </c>
      <c r="D29" s="15" t="n">
        <v>0.15</v>
      </c>
      <c r="E29" s="2" t="inlineStr">
        <is>
          <t>%</t>
        </is>
      </c>
      <c r="F29" s="2" t="inlineStr">
        <is>
          <t>Researched + Own estimate</t>
        </is>
      </c>
      <c r="G29" s="16" t="inlineStr">
        <is>
          <t>IAB-Stellenerhebung 2026: employers rate only 28% of applications suitable (23% at specialist level), 16 applications per hire, 27 in firms with 250+ staff (https://iab-forum.de/iab-stellenerhebung-2-2026-fast-drei-von-vier-bewerbungen-sind-aus-betrieblicher-sicht-ungeeignet/). Our role value applies the extra language + shift filters (own estimate): Brief: 'most applicants don't meet the requirements'. Broad channels attract construction electricians, helpers and foreign-trained electricians without recognition (blocked by G9). ~1 in 7 has Elektroniker BT/AT + language + shift OK.</t>
        </is>
      </c>
    </row>
    <row r="30">
      <c r="A30" s="2" t="inlineStr">
        <is>
          <t>QM</t>
        </is>
      </c>
      <c r="B30" s="9" t="inlineStr">
        <is>
          <t>Application → qualified (baseline, all channels)</t>
        </is>
      </c>
      <c r="C30" s="2" t="inlineStr">
        <is>
          <t>Mechatronics</t>
        </is>
      </c>
      <c r="D30" s="15" t="n">
        <v>0.22</v>
      </c>
      <c r="E30" s="2" t="inlineStr">
        <is>
          <t>%</t>
        </is>
      </c>
      <c r="F30" s="2" t="inlineStr">
        <is>
          <t>Researched + Own estimate</t>
        </is>
      </c>
      <c r="G30" s="16" t="inlineStr">
        <is>
          <t>IAB-Stellenerhebung 2026: employers rate only 28% of applications suitable (23% at specialist level), 16 applications per hire, 27 in firms with 250+ staff (https://iab-forum.de/iab-stellenerhebung-2-2026-fast-drei-von-vier-bewerbungen-sind-aus-betrieblicher-sicht-ungeeignet/). Our role value applies the extra language + shift filters (own estimate): Largest, most standard trade pool (Mechatroniker/Industriemechaniker); Polish applicants mostly speak German/English near the border. Highest of the four.</t>
        </is>
      </c>
    </row>
    <row r="31">
      <c r="A31" s="2" t="inlineStr">
        <is>
          <t>QA</t>
        </is>
      </c>
      <c r="B31" s="9" t="inlineStr">
        <is>
          <t>Application → qualified (baseline, all channels)</t>
        </is>
      </c>
      <c r="C31" s="2" t="inlineStr">
        <is>
          <t>Automation</t>
        </is>
      </c>
      <c r="D31" s="15" t="n">
        <v>0.12</v>
      </c>
      <c r="E31" s="2" t="inlineStr">
        <is>
          <t>%</t>
        </is>
      </c>
      <c r="F31" s="2" t="inlineStr">
        <is>
          <t>Researched + Own estimate</t>
        </is>
      </c>
      <c r="G31" s="16" t="inlineStr">
        <is>
          <t>IAB-Stellenerhebung 2026: employers rate only 28% of applications suitable (23% at specialist level), 16 applications per hire, 27 in firms with 250+ staff (https://iab-forum.de/iab-stellenerhebung-2-2026-fast-drei-von-vier-bewerbungen-sind-aus-betrieblicher-sicht-ungeeignet/). Our role value applies the extra language + shift filters (own estimate): Many applicants are generalists or IT/PLC programmers without maintenance/robotics hands-on or without Siemens S7/TIA; lower share qualified.</t>
        </is>
      </c>
    </row>
    <row r="32">
      <c r="A32" s="2" t="inlineStr">
        <is>
          <t>QS</t>
        </is>
      </c>
      <c r="B32" s="9" t="inlineStr">
        <is>
          <t>Application → qualified (baseline, all channels)</t>
        </is>
      </c>
      <c r="C32" s="2" t="inlineStr">
        <is>
          <t>Supervisors</t>
        </is>
      </c>
      <c r="D32" s="15" t="n">
        <v>0.1</v>
      </c>
      <c r="E32" s="2" t="inlineStr">
        <is>
          <t>%</t>
        </is>
      </c>
      <c r="F32" s="2" t="inlineStr">
        <is>
          <t>Researched + Own estimate</t>
        </is>
      </c>
      <c r="G32" s="16" t="inlineStr">
        <is>
          <t>IAB-Stellenerhebung 2026: employers rate only 28% of applications suitable (23% at specialist level), 16 applications per hire, 27 in firms with 250+ staff (https://iab-forum.de/iab-stellenerhebung-2-2026-fast-drei-von-vier-bewerbungen-sind-aus-betrieblicher-sicht-ungeeignet/). Our role value applies the extra language + shift filters (own estimate): Requires Meister/Techniker + leadership; most applicants are technicians applying 'up'.</t>
        </is>
      </c>
    </row>
    <row r="33">
      <c r="A33" s="2" t="inlineStr">
        <is>
          <t>PE</t>
        </is>
      </c>
      <c r="B33" s="9" t="inlineStr">
        <is>
          <t>Qualified → passed assessment</t>
        </is>
      </c>
      <c r="C33" s="2" t="inlineStr">
        <is>
          <t>Electricians</t>
        </is>
      </c>
      <c r="D33" s="15" t="n">
        <v>0.5</v>
      </c>
      <c r="E33" s="2" t="inlineStr">
        <is>
          <t>%</t>
        </is>
      </c>
      <c r="F33" s="2" t="inlineStr">
        <is>
          <t>Researched + Own estimate</t>
        </is>
      </c>
      <c r="G33" s="16" t="inlineStr">
        <is>
          <t>Gem 2025 benchmarks: 35% of onsite interviews led to an offer in 2024 (48% in 2021), vendor data, mostly US (https://lp.gem.com/rs/972-IVV-330/images/2025%20Recruiting%20Benchmarks%20-%20Gem.pdf); we sit somewhat higher because candidates are pre-qualified (own mapping): Pass = practical/technical interview. Qualified on paper ≠ passes (fault-finding on live automation, DGUV V3 Elektrofachkraft). ~half pass.</t>
        </is>
      </c>
    </row>
    <row r="34">
      <c r="A34" s="2" t="inlineStr">
        <is>
          <t>PM</t>
        </is>
      </c>
      <c r="B34" s="9" t="inlineStr">
        <is>
          <t>Qualified → passed assessment</t>
        </is>
      </c>
      <c r="C34" s="2" t="inlineStr">
        <is>
          <t>Mechatronics</t>
        </is>
      </c>
      <c r="D34" s="15" t="n">
        <v>0.55</v>
      </c>
      <c r="E34" s="2" t="inlineStr">
        <is>
          <t>%</t>
        </is>
      </c>
      <c r="F34" s="2" t="inlineStr">
        <is>
          <t>Researched + Own estimate</t>
        </is>
      </c>
      <c r="G34" s="16" t="inlineStr">
        <is>
          <t>Gem 2025 benchmarks: 35% of onsite interviews led to an offer in 2024 (48% in 2021), vendor data, mostly US (https://lp.gem.com/rs/972-IVV-330/images/2025%20Recruiting%20Benchmarks%20-%20Gem.pdf); we sit somewhat higher because candidates are pre-qualified (own mapping): Most standardised skill set; slightly higher pass rate.</t>
        </is>
      </c>
    </row>
    <row r="35">
      <c r="A35" s="2" t="inlineStr">
        <is>
          <t>PA</t>
        </is>
      </c>
      <c r="B35" s="9" t="inlineStr">
        <is>
          <t>Qualified → passed assessment</t>
        </is>
      </c>
      <c r="C35" s="2" t="inlineStr">
        <is>
          <t>Automation</t>
        </is>
      </c>
      <c r="D35" s="15" t="n">
        <v>0.45</v>
      </c>
      <c r="E35" s="2" t="inlineStr">
        <is>
          <t>%</t>
        </is>
      </c>
      <c r="F35" s="2" t="inlineStr">
        <is>
          <t>Researched + Own estimate</t>
        </is>
      </c>
      <c r="G35" s="16" t="inlineStr">
        <is>
          <t>Gem 2025 benchmarks: 35% of onsite interviews led to an offer in 2024 (48% in 2021), vendor data, mostly US (https://lp.gem.com/rs/972-IVV-330/images/2025%20Recruiting%20Benchmarks%20-%20Gem.pdf); we sit somewhat higher because candidates are pre-qualified (own mapping): PLC/robotics tests are hard to fake; half pass.</t>
        </is>
      </c>
    </row>
    <row r="36">
      <c r="A36" s="2" t="inlineStr">
        <is>
          <t>PS</t>
        </is>
      </c>
      <c r="B36" s="9" t="inlineStr">
        <is>
          <t>Qualified → passed assessment</t>
        </is>
      </c>
      <c r="C36" s="2" t="inlineStr">
        <is>
          <t>Supervisors</t>
        </is>
      </c>
      <c r="D36" s="15" t="n">
        <v>0.4</v>
      </c>
      <c r="E36" s="2" t="inlineStr">
        <is>
          <t>%</t>
        </is>
      </c>
      <c r="F36" s="2" t="inlineStr">
        <is>
          <t>Researched + Own estimate</t>
        </is>
      </c>
      <c r="G36" s="16" t="inlineStr">
        <is>
          <t>Gem 2025 benchmarks: 35% of onsite interviews led to an offer in 2024 (48% in 2021), vendor data, mostly US (https://lp.gem.com/rs/972-IVV-330/images/2025%20Recruiting%20Benchmarks%20-%20Gem.pdf); we sit somewhat higher because candidates are pre-qualified (own mapping): Leadership + technical; lowest pass rate.</t>
        </is>
      </c>
    </row>
    <row r="37">
      <c r="A37" s="2" t="inlineStr">
        <is>
          <t>OE</t>
        </is>
      </c>
      <c r="B37" s="9" t="inlineStr">
        <is>
          <t>Passed → offer made</t>
        </is>
      </c>
      <c r="C37" s="2" t="inlineStr">
        <is>
          <t>Electricians</t>
        </is>
      </c>
      <c r="D37" s="15" t="n">
        <v>0.9</v>
      </c>
      <c r="E37" s="2" t="inlineStr">
        <is>
          <t>%</t>
        </is>
      </c>
      <c r="F37" s="2" t="inlineStr">
        <is>
          <t>Own estimate</t>
        </is>
      </c>
      <c r="G37" s="9" t="inlineStr">
        <is>
          <t>No published benchmark separates this step from the interview pass rate (checked IAB, Gem, SmartRecruiters). ~10% lost after passing: references, salary band mismatch, shift pattern, background check. Supervisors 15% (approval layers).</t>
        </is>
      </c>
    </row>
    <row r="38">
      <c r="A38" s="2" t="inlineStr">
        <is>
          <t>OM</t>
        </is>
      </c>
      <c r="B38" s="9" t="inlineStr">
        <is>
          <t>Passed → offer made</t>
        </is>
      </c>
      <c r="C38" s="2" t="inlineStr">
        <is>
          <t>Mechatronics</t>
        </is>
      </c>
      <c r="D38" s="15" t="n">
        <v>0.9</v>
      </c>
      <c r="E38" s="2" t="inlineStr">
        <is>
          <t>%</t>
        </is>
      </c>
      <c r="F38" s="2" t="inlineStr">
        <is>
          <t>Own estimate</t>
        </is>
      </c>
      <c r="G38" s="9" t="inlineStr">
        <is>
          <t>No published benchmark separates this step from the interview pass rate (checked IAB, Gem, SmartRecruiters). ~10% lost after passing: references, salary band mismatch, shift pattern, background check. Supervisors 15% (approval layers).</t>
        </is>
      </c>
    </row>
    <row r="39">
      <c r="A39" s="2" t="inlineStr">
        <is>
          <t>OA</t>
        </is>
      </c>
      <c r="B39" s="9" t="inlineStr">
        <is>
          <t>Passed → offer made</t>
        </is>
      </c>
      <c r="C39" s="2" t="inlineStr">
        <is>
          <t>Automation</t>
        </is>
      </c>
      <c r="D39" s="15" t="n">
        <v>0.9</v>
      </c>
      <c r="E39" s="2" t="inlineStr">
        <is>
          <t>%</t>
        </is>
      </c>
      <c r="F39" s="2" t="inlineStr">
        <is>
          <t>Own estimate</t>
        </is>
      </c>
      <c r="G39" s="9" t="inlineStr">
        <is>
          <t>No published benchmark separates this step from the interview pass rate (checked IAB, Gem, SmartRecruiters). ~10% lost after passing: references, salary band mismatch, shift pattern, background check. Supervisors 15% (approval layers).</t>
        </is>
      </c>
    </row>
    <row r="40">
      <c r="A40" s="2" t="inlineStr">
        <is>
          <t>OS</t>
        </is>
      </c>
      <c r="B40" s="9" t="inlineStr">
        <is>
          <t>Passed → offer made</t>
        </is>
      </c>
      <c r="C40" s="2" t="inlineStr">
        <is>
          <t>Supervisors</t>
        </is>
      </c>
      <c r="D40" s="15" t="n">
        <v>0.85</v>
      </c>
      <c r="E40" s="2" t="inlineStr">
        <is>
          <t>%</t>
        </is>
      </c>
      <c r="F40" s="2" t="inlineStr">
        <is>
          <t>Own estimate</t>
        </is>
      </c>
      <c r="G40" s="9" t="inlineStr">
        <is>
          <t>No published benchmark separates this step from the interview pass rate (checked IAB, Gem, SmartRecruiters). ~10% lost after passing: references, salary band mismatch, shift pattern, background check. Supervisors 15% (approval layers).</t>
        </is>
      </c>
    </row>
    <row r="41">
      <c r="A41" s="2" t="inlineStr">
        <is>
          <t>AE</t>
        </is>
      </c>
      <c r="B41" s="9" t="inlineStr">
        <is>
          <t>Offer → signed contract</t>
        </is>
      </c>
      <c r="C41" s="2" t="inlineStr">
        <is>
          <t>Electricians</t>
        </is>
      </c>
      <c r="D41" s="15" t="n">
        <v>0.7</v>
      </c>
      <c r="E41" s="2" t="inlineStr">
        <is>
          <t>%</t>
        </is>
      </c>
      <c r="F41" s="2" t="inlineStr">
        <is>
          <t>Researched + Own estimate</t>
        </is>
      </c>
      <c r="G41" s="16" t="inlineStr">
        <is>
          <t>German offer acceptance ≈71–78%: Königsteiner 2022 (14% declined a ready-to-sign offer vs 47% receiving one ≈77%: https://www.lebensmittelzeitung.net/handel/karriere/rekrutierung-bewerber-sagen-haeufiger-ab-166449); StepStone 29% of skilled workers decline (≈71%: https://www.tageskarte.io/zahlen/detail/arbeitsmarkt-jeder-dritte-bewerber-lehnt-das-vertragsangebot-ab.html); Glassdoor 21.7% declined (≈78%: https://www.business-punk.com/work/studie-zeigt-deutsche-jobsuchende-lehnen-am-ehesten-angebote-ab/). Shortage roles at the low end (70%): 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is>
      </c>
    </row>
    <row r="42">
      <c r="A42" s="2" t="inlineStr">
        <is>
          <t>AM</t>
        </is>
      </c>
      <c r="B42" s="9" t="inlineStr">
        <is>
          <t>Offer → signed contract</t>
        </is>
      </c>
      <c r="C42" s="2" t="inlineStr">
        <is>
          <t>Mechatronics</t>
        </is>
      </c>
      <c r="D42" s="15" t="n">
        <v>0.75</v>
      </c>
      <c r="E42" s="2" t="inlineStr">
        <is>
          <t>%</t>
        </is>
      </c>
      <c r="F42" s="2" t="inlineStr">
        <is>
          <t>Researched + Own estimate</t>
        </is>
      </c>
      <c r="G42" s="16" t="inlineStr">
        <is>
          <t>German offer acceptance ≈71–78%: Königsteiner 2022 (14% declined a ready-to-sign offer vs 47% receiving one ≈77%: https://www.lebensmittelzeitung.net/handel/karriere/rekrutierung-bewerber-sagen-haeufiger-ab-166449); StepStone 29% of skilled workers decline (≈71%: https://www.tageskarte.io/zahlen/detail/arbeitsmarkt-jeder-dritte-bewerber-lehnt-das-vertragsangebot-ab.html); Glassdoor 21.7% declined (≈78%: https://www.business-punk.com/work/studie-zeigt-deutsche-jobsuchende-lehnen-am-ehesten-angebote-ab/). Shortage roles at the low end (70%): Bigger pool, fewer counter-offers; German pay vs Polish wages is a strong pull for border commuters.</t>
        </is>
      </c>
    </row>
    <row r="43">
      <c r="A43" s="2" t="inlineStr">
        <is>
          <t>AA</t>
        </is>
      </c>
      <c r="B43" s="9" t="inlineStr">
        <is>
          <t>Offer → signed contract</t>
        </is>
      </c>
      <c r="C43" s="2" t="inlineStr">
        <is>
          <t>Automation</t>
        </is>
      </c>
      <c r="D43" s="15" t="n">
        <v>0.7</v>
      </c>
      <c r="E43" s="2" t="inlineStr">
        <is>
          <t>%</t>
        </is>
      </c>
      <c r="F43" s="2" t="inlineStr">
        <is>
          <t>Researched + Own estimate</t>
        </is>
      </c>
      <c r="G43" s="16" t="inlineStr">
        <is>
          <t>German offer acceptance ≈71–78%: Königsteiner 2022 (14% declined a ready-to-sign offer vs 47% receiving one ≈77%: https://www.lebensmittelzeitung.net/handel/karriere/rekrutierung-bewerber-sagen-haeufiger-ab-166449); StepStone 29% of skilled workers decline (≈71%: https://www.tageskarte.io/zahlen/detail/arbeitsmarkt-jeder-dritte-bewerber-lehnt-das-vertragsangebot-ab.html); Glassdoor 21.7% declined (≈78%: https://www.business-punk.com/work/studie-zeigt-deutsche-jobsuchende-lehnen-am-ehesten-angebote-ab/). Shortage roles at the low end (70%): Scarce, many counter-offers (car makers, integrators).</t>
        </is>
      </c>
    </row>
    <row r="44">
      <c r="A44" s="2" t="inlineStr">
        <is>
          <t>AS</t>
        </is>
      </c>
      <c r="B44" s="9" t="inlineStr">
        <is>
          <t>Offer → signed contract</t>
        </is>
      </c>
      <c r="C44" s="2" t="inlineStr">
        <is>
          <t>Supervisors</t>
        </is>
      </c>
      <c r="D44" s="15" t="n">
        <v>0.7</v>
      </c>
      <c r="E44" s="2" t="inlineStr">
        <is>
          <t>%</t>
        </is>
      </c>
      <c r="F44" s="2" t="inlineStr">
        <is>
          <t>Researched + Own estimate</t>
        </is>
      </c>
      <c r="G44" s="16" t="inlineStr">
        <is>
          <t>German offer acceptance ≈71–78%: Königsteiner 2022 (14% declined a ready-to-sign offer vs 47% receiving one ≈77%: https://www.lebensmittelzeitung.net/handel/karriere/rekrutierung-bewerber-sagen-haeufiger-ab-166449); StepStone 29% of skilled workers decline (≈71%: https://www.tageskarte.io/zahlen/detail/arbeitsmarkt-jeder-dritte-bewerber-lehnt-das-vertragsangebot-ab.html); Glassdoor 21.7% declined (≈78%: https://www.business-punk.com/work/studie-zeigt-deutsche-jobsuchende-lehnen-am-ehesten-angebote-ab/). Shortage roles at the low end (70%): Career step-up helps acceptance; counter-offers from current employer.</t>
        </is>
      </c>
    </row>
    <row r="45"/>
    <row r="46">
      <c r="A46" s="10" t="inlineStr">
        <is>
          <t>4. Budget policy and weekly phasing (Part 2)</t>
        </is>
      </c>
      <c r="B46" s="11" t="n"/>
      <c r="C46" s="11" t="n"/>
      <c r="D46" s="11" t="n"/>
      <c r="E46" s="11" t="n"/>
      <c r="F46" s="11" t="n"/>
      <c r="G46" s="11" t="n"/>
    </row>
    <row r="47">
      <c r="A47" s="12" t="inlineStr">
        <is>
          <t>ID</t>
        </is>
      </c>
      <c r="B47" s="12" t="inlineStr">
        <is>
          <t>Parameter</t>
        </is>
      </c>
      <c r="C47" s="12" t="inlineStr">
        <is>
          <t>Role / scope</t>
        </is>
      </c>
      <c r="D47" s="12" t="inlineStr">
        <is>
          <t>Value</t>
        </is>
      </c>
      <c r="E47" s="12" t="inlineStr">
        <is>
          <t>Unit</t>
        </is>
      </c>
      <c r="F47" s="12" t="inlineStr">
        <is>
          <t>Label</t>
        </is>
      </c>
      <c r="G47" s="12" t="inlineStr">
        <is>
          <t>Source / reasoning</t>
        </is>
      </c>
    </row>
    <row r="48">
      <c r="A48" s="2" t="inlineStr">
        <is>
          <t>B1</t>
        </is>
      </c>
      <c r="B48" s="9" t="inlineStr">
        <is>
          <t>Reserve held back (share of total budget)</t>
        </is>
      </c>
      <c r="C48" s="2" t="inlineStr">
        <is>
          <t>All</t>
        </is>
      </c>
      <c r="D48" s="15" t="n">
        <v>0.15</v>
      </c>
      <c r="E48" s="2" t="inlineStr">
        <is>
          <t>%</t>
        </is>
      </c>
      <c r="F48" s="2" t="inlineStr">
        <is>
          <t>Own estimate</t>
        </is>
      </c>
      <c r="G48" s="9" t="inlineStr">
        <is>
          <t>Buffer for estimate error: the reserve (incl. rounding, Summary C7) covers roughly half of the extra media a 30% miss on share qualified would need (Funnel F45 – F42). Beyond that the binding limit is assessment slots, not money. Released from week 3 only on the Tracker rules.</t>
        </is>
      </c>
    </row>
    <row r="49">
      <c r="A49" s="2" t="inlineStr">
        <is>
          <t>B2</t>
        </is>
      </c>
      <c r="B49" s="9" t="inlineStr">
        <is>
          <t>Test tranche: first spend in every paid CPC/CPA channel × role cell, in weeks 1–2</t>
        </is>
      </c>
      <c r="C49" s="2" t="inlineStr">
        <is>
          <t>Paid CPC/CPA cells</t>
        </is>
      </c>
      <c r="D49" s="17" t="n">
        <v>750</v>
      </c>
      <c r="E49" s="2" t="inlineStr">
        <is>
          <t>€</t>
        </is>
      </c>
      <c r="F49" s="2" t="inlineStr">
        <is>
          <t>Own estimate</t>
        </is>
      </c>
      <c r="G49" s="9" t="inlineStr">
        <is>
          <t>Derivation: equal to the switch-off spend R6, so every test reaches a decision point. At the paid cells' plan cost per qualified (€384–1,680), €750 buys 0.5–2.0 qualified: cells expecting ≥2 (R11) are judged on qualified, the rest on applications (R12). 12 tests × €750 = €9,000 ≈ 9% of the budget. Test applicants are real candidates and are counted in hires, slots and spend.</t>
        </is>
      </c>
    </row>
    <row r="50">
      <c r="A50" s="2" t="inlineStr">
        <is>
          <t>B4</t>
        </is>
      </c>
      <c r="B50" s="9" t="inlineStr">
        <is>
          <t>Share of test tranches spent in week 1 (rest in week 2)</t>
        </is>
      </c>
      <c r="C50" s="2" t="inlineStr">
        <is>
          <t>Paid CPC/CPA cells</t>
        </is>
      </c>
      <c r="D50" s="15" t="n">
        <v>0.4</v>
      </c>
      <c r="E50" s="2" t="inlineStr">
        <is>
          <t>%</t>
        </is>
      </c>
      <c r="F50" s="2" t="inlineStr">
        <is>
          <t>Own estimate</t>
        </is>
      </c>
      <c r="G50" s="9" t="inlineStr">
        <is>
          <t>Derivation: tests are split in proportion to assessment slots. Week 1 has 39 slots (assessments from Thu 22 Oct), week 2 has 55: 39 ÷ (39 + 55) = 42%, rounded down to 40% because rediscovery re-applicants take week-1 slots first.</t>
        </is>
      </c>
    </row>
    <row r="51">
      <c r="A51" s="2" t="inlineStr">
        <is>
          <t>B5</t>
        </is>
      </c>
      <c r="B51" s="9" t="inlineStr">
        <is>
          <t>Rounding step for the recommended budget</t>
        </is>
      </c>
      <c r="C51" s="2" t="inlineStr">
        <is>
          <t>All</t>
        </is>
      </c>
      <c r="D51" s="17" t="n">
        <v>2500</v>
      </c>
      <c r="E51" s="2" t="inlineStr">
        <is>
          <t>€</t>
        </is>
      </c>
      <c r="F51" s="2" t="inlineStr">
        <is>
          <t>Own estimate</t>
        </is>
      </c>
      <c r="G51" s="9" t="inlineStr">
        <is>
          <t>Derivation: €2,500 ≈ 2.5% of the budget, the smallest step that gives a round figure for the client. The model always rounds up (here €100,455 → €102,500), and the €2,045 difference is added to the reserve.</t>
        </is>
      </c>
    </row>
    <row r="52">
      <c r="A52" s="2" t="inlineStr">
        <is>
          <t>B6</t>
        </is>
      </c>
      <c r="B52" s="9" t="inlineStr">
        <is>
          <t>Smaller cut shown in scenarios</t>
        </is>
      </c>
      <c r="C52" s="2" t="inlineStr">
        <is>
          <t>All</t>
        </is>
      </c>
      <c r="D52" s="15" t="n">
        <v>0.15</v>
      </c>
      <c r="E52" s="2" t="inlineStr">
        <is>
          <t>%</t>
        </is>
      </c>
      <c r="F52" s="2" t="inlineStr">
        <is>
          <t>Own estimate</t>
        </is>
      </c>
      <c r="G52" s="9" t="inlineStr">
        <is>
          <t>Presentation choice: the brief asks about a 30% cut (B3); −15% and −50% are shown either side so the client sees the shape of hires against budget (Budget rows 45–48).</t>
        </is>
      </c>
    </row>
    <row r="53">
      <c r="A53" s="2" t="inlineStr">
        <is>
          <t>B7</t>
        </is>
      </c>
      <c r="B53" s="9" t="inlineStr">
        <is>
          <t>Deep cut shown in scenarios</t>
        </is>
      </c>
      <c r="C53" s="2" t="inlineStr">
        <is>
          <t>All</t>
        </is>
      </c>
      <c r="D53" s="15" t="n">
        <v>0.5</v>
      </c>
      <c r="E53" s="2" t="inlineStr">
        <is>
          <t>%</t>
        </is>
      </c>
      <c r="F53" s="2" t="inlineStr">
        <is>
          <t>Own estimate</t>
        </is>
      </c>
      <c r="G53" s="9" t="inlineStr">
        <is>
          <t>Presentation choice: see B6. Half budget shows where the curve flattens (mechatronics and automation are protected, electricians fall first).</t>
        </is>
      </c>
    </row>
    <row r="54">
      <c r="A54" s="2" t="inlineStr">
        <is>
          <t>B3</t>
        </is>
      </c>
      <c r="B54" s="9" t="inlineStr">
        <is>
          <t>Budget cut scenario the client asked about</t>
        </is>
      </c>
      <c r="C54" s="2" t="inlineStr">
        <is>
          <t>All</t>
        </is>
      </c>
      <c r="D54" s="15" t="n">
        <v>0.3</v>
      </c>
      <c r="E54" s="2" t="inlineStr">
        <is>
          <t>%</t>
        </is>
      </c>
      <c r="F54" s="2" t="inlineStr">
        <is>
          <t>Given</t>
        </is>
      </c>
      <c r="G54" s="9" t="inlineStr">
        <is>
          <t>Brief: 'what it would buy with 30% less'.</t>
        </is>
      </c>
    </row>
    <row r="55">
      <c r="A55" s="2" t="inlineStr">
        <is>
          <t>W1</t>
        </is>
      </c>
      <c r="B55" s="9" t="inlineStr">
        <is>
          <t>Share of media spend in week 1</t>
        </is>
      </c>
      <c r="C55" s="2" t="inlineStr">
        <is>
          <t>All paid</t>
        </is>
      </c>
      <c r="D55" s="15" t="n">
        <v>0.07000000000000001</v>
      </c>
      <c r="E55" s="2" t="inlineStr">
        <is>
          <t>%</t>
        </is>
      </c>
      <c r="F55" s="2" t="inlineStr">
        <is>
          <t>Own estimate</t>
        </is>
      </c>
      <c r="G55" s="9" t="inlineStr">
        <is>
          <t>Derivation: weekly shares solved so qualified arrivals stay at or below the 55 weekly assessments (Weekly cols P vs Q). With W1–W6 = 7%, 11%, 16%, 20.5%, 20.5%, 25% the loads are 37/39, 52/55, 53/55, 54/55, 54/55, 55/55. Weeks 1–2 are low because rediscovery re-applicants and test applicants already use those slots.</t>
        </is>
      </c>
    </row>
    <row r="56">
      <c r="A56" s="2" t="inlineStr">
        <is>
          <t>W2</t>
        </is>
      </c>
      <c r="B56" s="9" t="inlineStr">
        <is>
          <t>Share of media spend in week 2</t>
        </is>
      </c>
      <c r="C56" s="2" t="inlineStr">
        <is>
          <t>All paid</t>
        </is>
      </c>
      <c r="D56" s="15" t="n">
        <v>0.11</v>
      </c>
      <c r="E56" s="2" t="inlineStr">
        <is>
          <t>%</t>
        </is>
      </c>
      <c r="F56" s="2" t="inlineStr">
        <is>
          <t>Own estimate</t>
        </is>
      </c>
      <c r="G56" s="9" t="inlineStr">
        <is>
          <t>Derivation: weekly shares solved so qualified arrivals stay at or below the 55 weekly assessments (Weekly cols P vs Q). With W1–W6 = 7%, 11%, 16%, 20.5%, 20.5%, 25% the loads are 37/39, 52/55, 53/55, 54/55, 54/55, 55/55. Weeks 1–2 are low because rediscovery re-applicants and test applicants already use those slots.</t>
        </is>
      </c>
    </row>
    <row r="57">
      <c r="A57" s="2" t="inlineStr">
        <is>
          <t>W3</t>
        </is>
      </c>
      <c r="B57" s="9" t="inlineStr">
        <is>
          <t>Share of media spend in week 3</t>
        </is>
      </c>
      <c r="C57" s="2" t="inlineStr">
        <is>
          <t>All paid</t>
        </is>
      </c>
      <c r="D57" s="15" t="n">
        <v>0.16</v>
      </c>
      <c r="E57" s="2" t="inlineStr">
        <is>
          <t>%</t>
        </is>
      </c>
      <c r="F57" s="2" t="inlineStr">
        <is>
          <t>Own estimate</t>
        </is>
      </c>
      <c r="G57" s="9" t="inlineStr">
        <is>
          <t>Derivation: weekly shares solved so qualified arrivals stay at or below the 55 weekly assessments (Weekly cols P vs Q). With W1–W6 = 7%, 11%, 16%, 20.5%, 20.5%, 25% the loads are 37/39, 52/55, 53/55, 54/55, 54/55, 55/55. Weeks 1–2 are low because rediscovery re-applicants and test applicants already use those slots.</t>
        </is>
      </c>
    </row>
    <row r="58">
      <c r="A58" s="2" t="inlineStr">
        <is>
          <t>W4</t>
        </is>
      </c>
      <c r="B58" s="9" t="inlineStr">
        <is>
          <t>Share of media spend in week 4</t>
        </is>
      </c>
      <c r="C58" s="2" t="inlineStr">
        <is>
          <t>All paid</t>
        </is>
      </c>
      <c r="D58" s="15" t="n">
        <v>0.205</v>
      </c>
      <c r="E58" s="2" t="inlineStr">
        <is>
          <t>%</t>
        </is>
      </c>
      <c r="F58" s="2" t="inlineStr">
        <is>
          <t>Own estimate</t>
        </is>
      </c>
      <c r="G58" s="9" t="inlineStr">
        <is>
          <t>Derivation: weekly shares solved so qualified arrivals stay at or below the 55 weekly assessments (Weekly cols P vs Q). With W1–W6 = 7%, 11%, 16%, 20.5%, 20.5%, 25% the loads are 37/39, 52/55, 53/55, 54/55, 54/55, 55/55. Weeks 1–2 are low because rediscovery re-applicants and test applicants already use those slots.</t>
        </is>
      </c>
    </row>
    <row r="59">
      <c r="A59" s="2" t="inlineStr">
        <is>
          <t>W5</t>
        </is>
      </c>
      <c r="B59" s="9" t="inlineStr">
        <is>
          <t>Share of media spend in week 5</t>
        </is>
      </c>
      <c r="C59" s="2" t="inlineStr">
        <is>
          <t>All paid</t>
        </is>
      </c>
      <c r="D59" s="15" t="n">
        <v>0.205</v>
      </c>
      <c r="E59" s="2" t="inlineStr">
        <is>
          <t>%</t>
        </is>
      </c>
      <c r="F59" s="2" t="inlineStr">
        <is>
          <t>Own estimate</t>
        </is>
      </c>
      <c r="G59" s="9" t="inlineStr">
        <is>
          <t>Derivation: weekly shares solved so qualified arrivals stay at or below the 55 weekly assessments (Weekly cols P vs Q). With W1–W6 = 7%, 11%, 16%, 20.5%, 20.5%, 25% the loads are 37/39, 52/55, 53/55, 54/55, 54/55, 55/55. Weeks 1–2 are low because rediscovery re-applicants and test applicants already use those slots.</t>
        </is>
      </c>
    </row>
    <row r="60">
      <c r="A60" s="2" t="inlineStr">
        <is>
          <t>W6</t>
        </is>
      </c>
      <c r="B60" s="9" t="inlineStr">
        <is>
          <t>Share of media spend in week 6</t>
        </is>
      </c>
      <c r="C60" s="2" t="inlineStr">
        <is>
          <t>All paid</t>
        </is>
      </c>
      <c r="D60" s="15" t="n">
        <v>0.25</v>
      </c>
      <c r="E60" s="2" t="inlineStr">
        <is>
          <t>%</t>
        </is>
      </c>
      <c r="F60" s="2" t="inlineStr">
        <is>
          <t>Own estimate</t>
        </is>
      </c>
      <c r="G60" s="9" t="inlineStr">
        <is>
          <t>Derivation: weekly shares solved so qualified arrivals stay at or below the 55 weekly assessments (Weekly cols P vs Q). With W1–W6 = 7%, 11%, 16%, 20.5%, 20.5%, 25% the loads are 37/39, 52/55, 53/55, 54/55, 54/55, 55/55. Weeks 1–2 are low because rediscovery re-applicants and test applicants already use those slots.</t>
        </is>
      </c>
    </row>
    <row r="61">
      <c r="A61" s="2" t="inlineStr">
        <is>
          <t>W7</t>
        </is>
      </c>
      <c r="B61" s="9" t="inlineStr">
        <is>
          <t>Share of media spend in week 7</t>
        </is>
      </c>
      <c r="C61" s="2" t="inlineStr">
        <is>
          <t>All paid</t>
        </is>
      </c>
      <c r="D61" s="15" t="n">
        <v>0</v>
      </c>
      <c r="E61" s="2" t="inlineStr">
        <is>
          <t>%</t>
        </is>
      </c>
      <c r="F61" s="2" t="inlineStr">
        <is>
          <t>Own estimate</t>
        </is>
      </c>
      <c r="G61" s="9" t="inlineStr">
        <is>
          <t>Derivation: 0 because the week starts after the last useful application (Funnel B19). Any share typed here is re-spread over earlier weeks automatically (Weekly col D).</t>
        </is>
      </c>
    </row>
    <row r="62">
      <c r="A62" s="2" t="inlineStr">
        <is>
          <t>W8</t>
        </is>
      </c>
      <c r="B62" s="9" t="inlineStr">
        <is>
          <t>Share of media spend in week 8</t>
        </is>
      </c>
      <c r="C62" s="2" t="inlineStr">
        <is>
          <t>All paid</t>
        </is>
      </c>
      <c r="D62" s="15" t="n">
        <v>0</v>
      </c>
      <c r="E62" s="2" t="inlineStr">
        <is>
          <t>%</t>
        </is>
      </c>
      <c r="F62" s="2" t="inlineStr">
        <is>
          <t>Own estimate</t>
        </is>
      </c>
      <c r="G62" s="9" t="inlineStr">
        <is>
          <t>Derivation: 0 because the week starts after the last useful application (Funnel B19). Any share typed here is re-spread over earlier weeks automatically (Weekly col D).</t>
        </is>
      </c>
    </row>
    <row r="63">
      <c r="A63" s="2" t="inlineStr">
        <is>
          <t>W9</t>
        </is>
      </c>
      <c r="B63" s="9" t="inlineStr">
        <is>
          <t>Share of media spend in week 9</t>
        </is>
      </c>
      <c r="C63" s="2" t="inlineStr">
        <is>
          <t>All paid</t>
        </is>
      </c>
      <c r="D63" s="15" t="n">
        <v>0</v>
      </c>
      <c r="E63" s="2" t="inlineStr">
        <is>
          <t>%</t>
        </is>
      </c>
      <c r="F63" s="2" t="inlineStr">
        <is>
          <t>Own estimate</t>
        </is>
      </c>
      <c r="G63" s="9" t="inlineStr">
        <is>
          <t>Derivation: 0 because the week starts after the last useful application (Funnel B19). Any share typed here is re-spread over earlier weeks automatically (Weekly col D).</t>
        </is>
      </c>
    </row>
    <row r="64">
      <c r="A64" s="2" t="inlineStr">
        <is>
          <t>W10</t>
        </is>
      </c>
      <c r="B64" s="9" t="inlineStr">
        <is>
          <t>Share of media spend in week 10</t>
        </is>
      </c>
      <c r="C64" s="2" t="inlineStr">
        <is>
          <t>All paid</t>
        </is>
      </c>
      <c r="D64" s="15" t="n">
        <v>0</v>
      </c>
      <c r="E64" s="2" t="inlineStr">
        <is>
          <t>%</t>
        </is>
      </c>
      <c r="F64" s="2" t="inlineStr">
        <is>
          <t>Own estimate</t>
        </is>
      </c>
      <c r="G64" s="9" t="inlineStr">
        <is>
          <t>Derivation: 0 because the week starts after the last useful application (Funnel B19). Any share typed here is re-spread over earlier weeks automatically (Weekly col D).</t>
        </is>
      </c>
    </row>
    <row r="65">
      <c r="A65" s="2" t="inlineStr">
        <is>
          <t>W11</t>
        </is>
      </c>
      <c r="B65" s="9" t="inlineStr">
        <is>
          <t>Share of media spend in week 11</t>
        </is>
      </c>
      <c r="C65" s="2" t="inlineStr">
        <is>
          <t>All paid</t>
        </is>
      </c>
      <c r="D65" s="15" t="n">
        <v>0</v>
      </c>
      <c r="E65" s="2" t="inlineStr">
        <is>
          <t>%</t>
        </is>
      </c>
      <c r="F65" s="2" t="inlineStr">
        <is>
          <t>Own estimate</t>
        </is>
      </c>
      <c r="G65" s="9" t="inlineStr">
        <is>
          <t>Derivation: 0 because the week starts after the last useful application (Funnel B19). Any share typed here is re-spread over earlier weeks automatically (Weekly col D).</t>
        </is>
      </c>
    </row>
    <row r="66">
      <c r="A66" s="2" t="inlineStr">
        <is>
          <t>S1</t>
        </is>
      </c>
      <c r="B66" s="9" t="inlineStr">
        <is>
          <t>Stress size for sensitivity test</t>
        </is>
      </c>
      <c r="C66" s="2" t="inlineStr">
        <is>
          <t>All</t>
        </is>
      </c>
      <c r="D66" s="15" t="n">
        <v>0.3</v>
      </c>
      <c r="E66" s="2" t="inlineStr">
        <is>
          <t>%</t>
        </is>
      </c>
      <c r="F66" s="2" t="inlineStr">
        <is>
          <t>Given</t>
        </is>
      </c>
      <c r="G66" s="9" t="inlineStr">
        <is>
          <t>Brief Part 1.4: 'if it turns out 30% worse'.</t>
        </is>
      </c>
    </row>
    <row r="67"/>
    <row r="68">
      <c r="A68" s="10" t="inlineStr">
        <is>
          <t>5. Talent pool sanity check (Part 2.2)</t>
        </is>
      </c>
      <c r="B68" s="11" t="n"/>
      <c r="C68" s="11" t="n"/>
      <c r="D68" s="11" t="n"/>
      <c r="E68" s="11" t="n"/>
      <c r="F68" s="11" t="n"/>
      <c r="G68" s="11" t="n"/>
    </row>
    <row r="69">
      <c r="A69" s="12" t="inlineStr">
        <is>
          <t>ID</t>
        </is>
      </c>
      <c r="B69" s="12" t="inlineStr">
        <is>
          <t>Parameter</t>
        </is>
      </c>
      <c r="C69" s="12" t="inlineStr">
        <is>
          <t>Role / scope</t>
        </is>
      </c>
      <c r="D69" s="12" t="inlineStr">
        <is>
          <t>Value</t>
        </is>
      </c>
      <c r="E69" s="12" t="inlineStr">
        <is>
          <t>Unit</t>
        </is>
      </c>
      <c r="F69" s="12" t="inlineStr">
        <is>
          <t>Label</t>
        </is>
      </c>
      <c r="G69" s="12" t="inlineStr">
        <is>
          <t>Source / reasoning</t>
        </is>
      </c>
    </row>
    <row r="70">
      <c r="A70" s="2" t="inlineStr">
        <is>
          <t>PSE</t>
        </is>
      </c>
      <c r="B70" s="9" t="inlineStr">
        <is>
          <t>Qualified people employed within 75 km (incl. PL border for mechatronics)</t>
        </is>
      </c>
      <c r="C70" s="2" t="inlineStr">
        <is>
          <t>Electricians</t>
        </is>
      </c>
      <c r="D70" s="14" t="n">
        <v>6000</v>
      </c>
      <c r="E70" s="2" t="inlineStr">
        <is>
          <t>people</t>
        </is>
      </c>
      <c r="F70" s="2" t="inlineStr">
        <is>
          <t>Researched + Own estimate</t>
        </is>
      </c>
      <c r="G70" s="16" t="inlineStr">
        <is>
          <t>BA employment statistics 31.12.2025, KldB 2625 elektrische Betriebstechnik + 2622: Brandenburg 3,417, Berlin 2,708 (https://statistik.arbeitsagentur.de/Statistikdaten/Detail/202512/iiia6/beschaeftigung-sozbe-bo-heft/bo-heft-12-0-202512-xlsx.xlsx?__blob=publicationFile (Brandenburg; -11- Berlin, -d- Germany)); ~75 km = all of Berlin + ~60% of Brandenburg (own scaling) ≈ 4,800, up to ~8,600 incl. 2630 Fachkraft → 6,000. Previously: 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is>
      </c>
    </row>
    <row r="71">
      <c r="A71" s="2" t="inlineStr">
        <is>
          <t>PSM</t>
        </is>
      </c>
      <c r="B71" s="9" t="inlineStr">
        <is>
          <t>Qualified people employed within 75 km (incl. PL border for mechatronics)</t>
        </is>
      </c>
      <c r="C71" s="2" t="inlineStr">
        <is>
          <t>Mechatronics</t>
        </is>
      </c>
      <c r="D71" s="14" t="n">
        <v>26000</v>
      </c>
      <c r="E71" s="2" t="inlineStr">
        <is>
          <t>people</t>
        </is>
      </c>
      <c r="F71" s="2" t="inlineStr">
        <is>
          <t>Researched + Own estimate</t>
        </is>
      </c>
      <c r="G71" s="16" t="inlineStr">
        <is>
          <t>BA employment 31.12.2025, KldB 2611 + 2510 Fachkraft + 2511 + 2513 Fachkraft: Brandenburg 14,878, Berlin 17,490 (https://statistik.arbeitsagentur.de/Statistikdaten/Detail/202512/iiia6/beschaeftigung-sozbe-bo-heft/bo-heft-12-0-202512-xlsx.xlsx?__blob=publicationFile (Brandenburg; -11- Berlin, -d- Germany)); ~75 km scaling ≈ 26,400 incl. ~1,000 German/English-speaking Polish border workers (IAB-Regional 1/2020: 825 Polish commuters in machine/vehicle trades in Brandenburg, https://doku.iab.de/regional/BB/2020/regional_bb_0120.pdf). Previously: 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is>
      </c>
    </row>
    <row r="72">
      <c r="A72" s="2" t="inlineStr">
        <is>
          <t>PSA</t>
        </is>
      </c>
      <c r="B72" s="9" t="inlineStr">
        <is>
          <t>Qualified people employed within 75 km (incl. PL border for mechatronics)</t>
        </is>
      </c>
      <c r="C72" s="2" t="inlineStr">
        <is>
          <t>Automation</t>
        </is>
      </c>
      <c r="D72" s="14" t="n">
        <v>2200</v>
      </c>
      <c r="E72" s="2" t="inlineStr">
        <is>
          <t>people</t>
        </is>
      </c>
      <c r="F72" s="2" t="inlineStr">
        <is>
          <t>Researched + Own estimate</t>
        </is>
      </c>
      <c r="G72" s="16" t="inlineStr">
        <is>
          <t>BA employment 31.12.2025, KldB 2612 Automatisierungstechnik: Brandenburg 1,206, Berlin 1,254 (https://statistik.arbeitsagentur.de/Statistikdaten/Detail/202512/iiia6/beschaeftigung-sozbe-bo-heft/bo-heft-12-0-202512-xlsx.xlsx?__blob=publicationFile (Brandenburg; -11- Berlin, -d- Germany)); ~75 km ≈ 2,000–2,500. Relocators (400) remain own estimate: Smaller local pool, but specialists relocate more: assume ~400 open to moving to Brandenburg in the window (national LinkedIn reach).</t>
        </is>
      </c>
    </row>
    <row r="73">
      <c r="A73" s="2" t="inlineStr">
        <is>
          <t>PSS</t>
        </is>
      </c>
      <c r="B73" s="9" t="inlineStr">
        <is>
          <t>Qualified people employed within 75 km (incl. PL border for mechatronics)</t>
        </is>
      </c>
      <c r="C73" s="2" t="inlineStr">
        <is>
          <t>Supervisors</t>
        </is>
      </c>
      <c r="D73" s="14" t="n">
        <v>2200</v>
      </c>
      <c r="E73" s="2" t="inlineStr">
        <is>
          <t>people</t>
        </is>
      </c>
      <c r="F73" s="2" t="inlineStr">
        <is>
          <t>Researched + Own estimate</t>
        </is>
      </c>
      <c r="G73" s="16" t="inlineStr">
        <is>
          <t>BA employment 31.12.2025, Aufsicht codes 2519+2619+2629+2639: Brandenburg 1,209, Berlin 1,494 (https://statistik.arbeitsagentur.de/Statistikdaten/Detail/202512/iiia6/beschaeftigung-sozbe-bo-heft/bo-heft-12-0-202512-xlsx.xlsx?__blob=publicationFile (Brandenburg; -11- Berlin, -d- Germany)); ~75 km ≈ 2,200. Relocators: own estimate. Maintenance Meister/shift leads within 75 km; few relocate for a shift-lead job.</t>
        </is>
      </c>
    </row>
    <row r="74">
      <c r="A74" s="2" t="inlineStr">
        <is>
          <t>PIE</t>
        </is>
      </c>
      <c r="B74" s="9" t="inlineStr">
        <is>
          <t>Share in-market or persuadable during the 6-week window</t>
        </is>
      </c>
      <c r="C74" s="2" t="inlineStr">
        <is>
          <t>Electricians</t>
        </is>
      </c>
      <c r="D74" s="15" t="n">
        <v>0.05</v>
      </c>
      <c r="E74" s="2" t="inlineStr">
        <is>
          <t>%</t>
        </is>
      </c>
      <c r="F74" s="2" t="inlineStr">
        <is>
          <t>Researched + Own estimate</t>
        </is>
      </c>
      <c r="G74" s="16" t="inlineStr">
        <is>
          <t>IAB-Betriebspanel Brandenburg 2024: turnover 12% a year, 41% of exits are employee resignations (https://mweke.brandenburg.de/media/bb1.a.3814.de/Betriebspanel%20Brandenburg%202024%20-%20final.pdf); Gallup Engagement Index 2024: ~11% actively searching, only 50% see themselves with the same employer in a year (https://gallup.com/file/de/657716/Engagement-Index-Deutschland-Report-2024.pdf). 5% reachable in 6 weeks: own mapping (range 3–10%).</t>
        </is>
      </c>
    </row>
    <row r="75">
      <c r="A75" s="2" t="inlineStr">
        <is>
          <t>PIM</t>
        </is>
      </c>
      <c r="B75" s="9" t="inlineStr">
        <is>
          <t>Share in-market or persuadable during the 6-week window</t>
        </is>
      </c>
      <c r="C75" s="2" t="inlineStr">
        <is>
          <t>Mechatronics</t>
        </is>
      </c>
      <c r="D75" s="15" t="n">
        <v>0.05</v>
      </c>
      <c r="E75" s="2" t="inlineStr">
        <is>
          <t>%</t>
        </is>
      </c>
      <c r="F75" s="2" t="inlineStr">
        <is>
          <t>Researched + Own estimate</t>
        </is>
      </c>
      <c r="G75" s="16" t="inlineStr">
        <is>
          <t>IAB-Betriebspanel Brandenburg 2024: turnover 12% a year, 41% of exits are employee resignations (https://mweke.brandenburg.de/media/bb1.a.3814.de/Betriebspanel%20Brandenburg%202024%20-%20final.pdf); Gallup Engagement Index 2024: ~11% actively searching, only 50% see themselves with the same employer in a year (https://gallup.com/file/de/657716/Engagement-Index-Deutschland-Report-2024.pdf). 5% reachable in 6 weeks: own mapping (range 3–10%).</t>
        </is>
      </c>
    </row>
    <row r="76">
      <c r="A76" s="2" t="inlineStr">
        <is>
          <t>PIA</t>
        </is>
      </c>
      <c r="B76" s="9" t="inlineStr">
        <is>
          <t>Share in-market or persuadable during the 6-week window</t>
        </is>
      </c>
      <c r="C76" s="2" t="inlineStr">
        <is>
          <t>Automation</t>
        </is>
      </c>
      <c r="D76" s="15" t="n">
        <v>0.05</v>
      </c>
      <c r="E76" s="2" t="inlineStr">
        <is>
          <t>%</t>
        </is>
      </c>
      <c r="F76" s="2" t="inlineStr">
        <is>
          <t>Researched + Own estimate</t>
        </is>
      </c>
      <c r="G76" s="16" t="inlineStr">
        <is>
          <t>IAB-Betriebspanel Brandenburg 2024: turnover 12% a year, 41% of exits are employee resignations (https://mweke.brandenburg.de/media/bb1.a.3814.de/Betriebspanel%20Brandenburg%202024%20-%20final.pdf); Gallup Engagement Index 2024: ~11% actively searching, only 50% see themselves with the same employer in a year (https://gallup.com/file/de/657716/Engagement-Index-Deutschland-Report-2024.pdf). 5% reachable in 6 weeks: own mapping (range 3–10%).</t>
        </is>
      </c>
    </row>
    <row r="77">
      <c r="A77" s="2" t="inlineStr">
        <is>
          <t>PIS</t>
        </is>
      </c>
      <c r="B77" s="9" t="inlineStr">
        <is>
          <t>Share in-market or persuadable during the 6-week window</t>
        </is>
      </c>
      <c r="C77" s="2" t="inlineStr">
        <is>
          <t>Supervisors</t>
        </is>
      </c>
      <c r="D77" s="15" t="n">
        <v>0.05</v>
      </c>
      <c r="E77" s="2" t="inlineStr">
        <is>
          <t>%</t>
        </is>
      </c>
      <c r="F77" s="2" t="inlineStr">
        <is>
          <t>Researched + Own estimate</t>
        </is>
      </c>
      <c r="G77" s="16" t="inlineStr">
        <is>
          <t>IAB-Betriebspanel Brandenburg 2024: turnover 12% a year, 41% of exits are employee resignations (https://mweke.brandenburg.de/media/bb1.a.3814.de/Betriebspanel%20Brandenburg%202024%20-%20final.pdf); Gallup Engagement Index 2024: ~11% actively searching, only 50% see themselves with the same employer in a year (https://gallup.com/file/de/657716/Engagement-Index-Deutschland-Report-2024.pdf). 5% reachable in 6 weeks: own mapping (range 3–10%).</t>
        </is>
      </c>
    </row>
    <row r="78">
      <c r="A78" s="2" t="inlineStr">
        <is>
          <t>PRE</t>
        </is>
      </c>
      <c r="B78" s="9" t="inlineStr">
        <is>
          <t>Qualified people elsewhere in Germany willing to relocate in the window</t>
        </is>
      </c>
      <c r="C78" s="2" t="inlineStr">
        <is>
          <t>Electricians</t>
        </is>
      </c>
      <c r="D78" s="14" t="n">
        <v>150</v>
      </c>
      <c r="E78" s="2" t="inlineStr">
        <is>
          <t>people</t>
        </is>
      </c>
      <c r="F78" s="2" t="inlineStr">
        <is>
          <t>Researched + Own estimate</t>
        </is>
      </c>
      <c r="G78" s="16" t="inlineStr">
        <is>
          <t>East-German trade wages are below West (WSI, https://www.lohnspiegel.de/gehaltsinfos/elektroniker_in_fuer_betriebstechnik_26252114.html: Brandenburg €3,030 vs West €3,600, both standardised to 10 years) so relocation pull is weak for trades, stronger for automation specialists.</t>
        </is>
      </c>
    </row>
    <row r="79">
      <c r="A79" s="2" t="inlineStr">
        <is>
          <t>PRM</t>
        </is>
      </c>
      <c r="B79" s="9" t="inlineStr">
        <is>
          <t>Qualified people elsewhere in Germany willing to relocate in the window</t>
        </is>
      </c>
      <c r="C79" s="2" t="inlineStr">
        <is>
          <t>Mechatronics</t>
        </is>
      </c>
      <c r="D79" s="14" t="n">
        <v>300</v>
      </c>
      <c r="E79" s="2" t="inlineStr">
        <is>
          <t>people</t>
        </is>
      </c>
      <c r="F79" s="2" t="inlineStr">
        <is>
          <t>Researched + Own estimate</t>
        </is>
      </c>
      <c r="G79" s="16" t="inlineStr">
        <is>
          <t>East-German trade wages are below West (WSI, https://www.lohnspiegel.de/gehaltsinfos/elektroniker_in_fuer_betriebstechnik_26252114.html: Brandenburg €3,030 vs West €3,600, both standardised to 10 years) so relocation pull is weak for trades, stronger for automation specialists.</t>
        </is>
      </c>
    </row>
    <row r="80">
      <c r="A80" s="2" t="inlineStr">
        <is>
          <t>PRA</t>
        </is>
      </c>
      <c r="B80" s="9" t="inlineStr">
        <is>
          <t>Qualified people elsewhere in Germany willing to relocate in the window</t>
        </is>
      </c>
      <c r="C80" s="2" t="inlineStr">
        <is>
          <t>Automation</t>
        </is>
      </c>
      <c r="D80" s="14" t="n">
        <v>400</v>
      </c>
      <c r="E80" s="2" t="inlineStr">
        <is>
          <t>people</t>
        </is>
      </c>
      <c r="F80" s="2" t="inlineStr">
        <is>
          <t>Researched + Own estimate</t>
        </is>
      </c>
      <c r="G80" s="16" t="inlineStr">
        <is>
          <t>East-German trade wages are below West (WSI, https://www.lohnspiegel.de/gehaltsinfos/elektroniker_in_fuer_betriebstechnik_26252114.html: Brandenburg €3,030 vs West €3,600, both standardised to 10 years) so relocation pull is weak for trades, stronger for automation specialists.</t>
        </is>
      </c>
    </row>
    <row r="81">
      <c r="A81" s="2" t="inlineStr">
        <is>
          <t>PRS</t>
        </is>
      </c>
      <c r="B81" s="9" t="inlineStr">
        <is>
          <t>Qualified people elsewhere in Germany willing to relocate in the window</t>
        </is>
      </c>
      <c r="C81" s="2" t="inlineStr">
        <is>
          <t>Supervisors</t>
        </is>
      </c>
      <c r="D81" s="14" t="n">
        <v>100</v>
      </c>
      <c r="E81" s="2" t="inlineStr">
        <is>
          <t>people</t>
        </is>
      </c>
      <c r="F81" s="2" t="inlineStr">
        <is>
          <t>Researched + Own estimate</t>
        </is>
      </c>
      <c r="G81" s="16" t="inlineStr">
        <is>
          <t>East-German trade wages are below West (WSI, https://www.lohnspiegel.de/gehaltsinfos/elektroniker_in_fuer_betriebstechnik_26252114.html: Brandenburg €3,030 vs West €3,600, both standardised to 10 years) so relocation pull is weak for trades, stronger for automation specialists.</t>
        </is>
      </c>
    </row>
    <row r="82"/>
    <row r="83">
      <c r="A83" s="10" t="inlineStr">
        <is>
          <t>6. Week-by-week money rules (Part 4) — used by the Tracker tab</t>
        </is>
      </c>
      <c r="B83" s="11" t="n"/>
      <c r="C83" s="11" t="n"/>
      <c r="D83" s="11" t="n"/>
      <c r="E83" s="11" t="n"/>
      <c r="F83" s="11" t="n"/>
      <c r="G83" s="11" t="n"/>
    </row>
    <row r="84">
      <c r="A84" s="12" t="inlineStr">
        <is>
          <t>ID</t>
        </is>
      </c>
      <c r="B84" s="12" t="inlineStr">
        <is>
          <t>Parameter</t>
        </is>
      </c>
      <c r="C84" s="12" t="inlineStr">
        <is>
          <t>Role / scope</t>
        </is>
      </c>
      <c r="D84" s="12" t="inlineStr">
        <is>
          <t>Value</t>
        </is>
      </c>
      <c r="E84" s="12" t="inlineStr">
        <is>
          <t>Unit</t>
        </is>
      </c>
      <c r="F84" s="12" t="inlineStr">
        <is>
          <t>Label</t>
        </is>
      </c>
      <c r="G84" s="12" t="inlineStr">
        <is>
          <t>Source / reasoning</t>
        </is>
      </c>
    </row>
    <row r="85">
      <c r="A85" s="2" t="inlineStr">
        <is>
          <t>R1</t>
        </is>
      </c>
      <c r="B85" s="9" t="inlineStr">
        <is>
          <t>Minimum spend before judging a cell</t>
        </is>
      </c>
      <c r="C85" s="2" t="inlineStr">
        <is>
          <t>Per cell</t>
        </is>
      </c>
      <c r="D85" s="17" t="n">
        <v>500</v>
      </c>
      <c r="E85" s="2" t="inlineStr">
        <is>
          <t>€</t>
        </is>
      </c>
      <c r="F85" s="2" t="inlineStr">
        <is>
          <t>Own estimate</t>
        </is>
      </c>
      <c r="G85" s="9" t="inlineStr">
        <is>
          <t>Derivation: €500 = two-thirds of the €750 test. With 40% of test spend in week 1 (B4), each test has spent ~€500 by Mon 2 Nov, so the first cut decisions can be taken then rather than waiting for the full tranche.</t>
        </is>
      </c>
    </row>
    <row r="86">
      <c r="A86" s="2" t="inlineStr">
        <is>
          <t>R2</t>
        </is>
      </c>
      <c r="B86" s="9" t="inlineStr">
        <is>
          <t>…or minimum applications before judging a cell</t>
        </is>
      </c>
      <c r="C86" s="2" t="inlineStr">
        <is>
          <t>Per cell</t>
        </is>
      </c>
      <c r="D86" s="14" t="n">
        <v>30</v>
      </c>
      <c r="E86" s="2" t="inlineStr">
        <is>
          <t>apps</t>
        </is>
      </c>
      <c r="F86" s="2" t="inlineStr">
        <is>
          <t>Own estimate</t>
        </is>
      </c>
      <c r="G86" s="9" t="inlineStr">
        <is>
          <t>Statistics: at the plan share qualified (~25%), 30 applications give a standard error of √(0.25 × 0.75 ÷ 30) = 7.9 points (95% range ±15.5 points). n ≥ 30 is the usual minimum for reading a proportion; the Tracker also blends each read with the plan (R8), which narrows it further.</t>
        </is>
      </c>
    </row>
    <row r="87">
      <c r="A87" s="2" t="inlineStr">
        <is>
          <t>R3</t>
        </is>
      </c>
      <c r="B87" s="9" t="inlineStr">
        <is>
          <t>Scale up when re-forecast cost per qualified ≤ this × plan</t>
        </is>
      </c>
      <c r="C87" s="2" t="inlineStr">
        <is>
          <t>Per cell</t>
        </is>
      </c>
      <c r="D87" s="18" t="n">
        <v>0.8</v>
      </c>
      <c r="E87" s="2" t="inlineStr">
        <is>
          <t>× plan</t>
        </is>
      </c>
      <c r="F87" s="2" t="inlineStr">
        <is>
          <t>Own estimate</t>
        </is>
      </c>
      <c r="G87" s="9" t="inlineStr">
        <is>
          <t>20% better than plan and assessment slots free → +25% weekly budget from reserve.</t>
        </is>
      </c>
    </row>
    <row r="88">
      <c r="A88" s="2" t="inlineStr">
        <is>
          <t>R4</t>
        </is>
      </c>
      <c r="B88" s="9" t="inlineStr">
        <is>
          <t>Cut budget 50% when re-forecast cost per qualified ≥ this × plan</t>
        </is>
      </c>
      <c r="C88" s="2" t="inlineStr">
        <is>
          <t>Per cell</t>
        </is>
      </c>
      <c r="D88" s="18" t="n">
        <v>1.5</v>
      </c>
      <c r="E88" s="2" t="inlineStr">
        <is>
          <t>× plan</t>
        </is>
      </c>
      <c r="F88" s="2" t="inlineStr">
        <is>
          <t>Own estimate</t>
        </is>
      </c>
      <c r="G88" s="9" t="inlineStr">
        <is>
          <t>50% worse than plan.</t>
        </is>
      </c>
    </row>
    <row r="89">
      <c r="A89" s="2" t="inlineStr">
        <is>
          <t>R5</t>
        </is>
      </c>
      <c r="B89" s="9" t="inlineStr">
        <is>
          <t>Switch off when cost per qualified ≥ this × plan</t>
        </is>
      </c>
      <c r="C89" s="2" t="inlineStr">
        <is>
          <t>Per cell</t>
        </is>
      </c>
      <c r="D89" s="18" t="n">
        <v>2</v>
      </c>
      <c r="E89" s="2" t="inlineStr">
        <is>
          <t>× plan</t>
        </is>
      </c>
      <c r="F89" s="2" t="inlineStr">
        <is>
          <t>Own estimate</t>
        </is>
      </c>
      <c r="G89" s="9" t="inlineStr">
        <is>
          <t>Twice the plan cost → money is better spent elsewhere.</t>
        </is>
      </c>
    </row>
    <row r="90">
      <c r="A90" s="2" t="inlineStr">
        <is>
          <t>R6</t>
        </is>
      </c>
      <c r="B90" s="9" t="inlineStr">
        <is>
          <t>…or switch off when spend reaches this with zero qualified</t>
        </is>
      </c>
      <c r="C90" s="2" t="inlineStr">
        <is>
          <t>Per cell</t>
        </is>
      </c>
      <c r="D90" s="17" t="n">
        <v>750</v>
      </c>
      <c r="E90" s="2" t="inlineStr">
        <is>
          <t>€</t>
        </is>
      </c>
      <c r="F90" s="2" t="inlineStr">
        <is>
          <t>Own estimate</t>
        </is>
      </c>
      <c r="G90" s="9" t="inlineStr">
        <is>
          <t>Applies only where €750 at plan should give ≥ R11 qualified (zero is then &lt;15% likely by chance). Low-yield cells (e.g. programmatic electricians, ~1.6 expected) are judged on applications instead (R12).</t>
        </is>
      </c>
    </row>
    <row r="91">
      <c r="A91" s="2" t="inlineStr">
        <is>
          <t>R11</t>
        </is>
      </c>
      <c r="B91" s="9" t="inlineStr">
        <is>
          <t>Zero-qualified switch-off only if plan expects at least this many qualified at that spend</t>
        </is>
      </c>
      <c r="C91" s="2" t="inlineStr">
        <is>
          <t>Per cell</t>
        </is>
      </c>
      <c r="D91" s="14" t="n">
        <v>2</v>
      </c>
      <c r="E91" s="2" t="inlineStr">
        <is>
          <t>qualified</t>
        </is>
      </c>
      <c r="F91" s="2" t="inlineStr">
        <is>
          <t>Own estimate</t>
        </is>
      </c>
      <c r="G91" s="9" t="inlineStr">
        <is>
          <t>Statistics: Poisson P(0 | mean 2) = e^−2 = 13.5%. Below 2 expected qualified, seeing zero is too likely to be bad luck, so the cell is judged on applications (R12) instead.</t>
        </is>
      </c>
    </row>
    <row r="92">
      <c r="A92" s="2" t="inlineStr">
        <is>
          <t>R12</t>
        </is>
      </c>
      <c r="B92" s="9" t="inlineStr">
        <is>
          <t>Low-yield cells: switch off at R6 spend if applications are below this share of plan</t>
        </is>
      </c>
      <c r="C92" s="2" t="inlineStr">
        <is>
          <t>Per cell</t>
        </is>
      </c>
      <c r="D92" s="15" t="n">
        <v>0.5</v>
      </c>
      <c r="E92" s="2" t="inlineStr">
        <is>
          <t>%</t>
        </is>
      </c>
      <c r="F92" s="2" t="inlineStr">
        <is>
          <t>Own estimate</t>
        </is>
      </c>
      <c r="G92" s="9" t="inlineStr">
        <is>
          <t>Derivation: at full test spend, half the planned applications means the cell's cost per application is 2× plan, the same as the switch-off bar R5.</t>
        </is>
      </c>
    </row>
    <row r="93">
      <c r="A93" s="2" t="inlineStr">
        <is>
          <t>TP1</t>
        </is>
      </c>
      <c r="B93" s="9" t="inlineStr">
        <is>
          <t>Initiative test: PASS needs at least this share of planned qualified in the window</t>
        </is>
      </c>
      <c r="C93" s="2" t="inlineStr">
        <is>
          <t>Initiatives</t>
        </is>
      </c>
      <c r="D93" s="15" t="n">
        <v>0.6</v>
      </c>
      <c r="E93" s="2" t="inlineStr">
        <is>
          <t>%</t>
        </is>
      </c>
      <c r="F93" s="2" t="inlineStr">
        <is>
          <t>Own estimate</t>
        </is>
      </c>
      <c r="G93" s="9" t="inlineStr">
        <is>
          <t>Allows for small-number noise and slow starts; below 60% of plan the initiative is not delivering.</t>
        </is>
      </c>
    </row>
    <row r="94">
      <c r="A94" s="2" t="inlineStr">
        <is>
          <t>TP2</t>
        </is>
      </c>
      <c r="B94" s="9" t="inlineStr">
        <is>
          <t>Initiative test: PASS needs cost per qualified ≤ this × plan</t>
        </is>
      </c>
      <c r="C94" s="2" t="inlineStr">
        <is>
          <t>Initiatives</t>
        </is>
      </c>
      <c r="D94" s="18" t="n">
        <v>1.25</v>
      </c>
      <c r="E94" s="2" t="inlineStr">
        <is>
          <t>× plan</t>
        </is>
      </c>
      <c r="F94" s="2" t="inlineStr">
        <is>
          <t>Own estimate</t>
        </is>
      </c>
      <c r="G94" s="9" t="inlineStr">
        <is>
          <t>25% tolerance over plan.</t>
        </is>
      </c>
    </row>
    <row r="95">
      <c r="A95" s="2" t="inlineStr">
        <is>
          <t>TK1</t>
        </is>
      </c>
      <c r="B95" s="9" t="inlineStr">
        <is>
          <t>Initiative test: KILL if qualified below this share of plan</t>
        </is>
      </c>
      <c r="C95" s="2" t="inlineStr">
        <is>
          <t>Initiatives</t>
        </is>
      </c>
      <c r="D95" s="15" t="n">
        <v>0.3</v>
      </c>
      <c r="E95" s="2" t="inlineStr">
        <is>
          <t>%</t>
        </is>
      </c>
      <c r="F95" s="2" t="inlineStr">
        <is>
          <t>Own estimate</t>
        </is>
      </c>
      <c r="G95" s="9" t="inlineStr">
        <is>
          <t>Under a third of plan after two weeks means the mechanism is not working.</t>
        </is>
      </c>
    </row>
    <row r="96">
      <c r="A96" s="2" t="inlineStr">
        <is>
          <t>TK2</t>
        </is>
      </c>
      <c r="B96" s="9" t="inlineStr">
        <is>
          <t>Initiative test: KILL if cost per qualified above this × plan</t>
        </is>
      </c>
      <c r="C96" s="2" t="inlineStr">
        <is>
          <t>Initiatives</t>
        </is>
      </c>
      <c r="D96" s="18" t="n">
        <v>1.5</v>
      </c>
      <c r="E96" s="2" t="inlineStr">
        <is>
          <t>× plan</t>
        </is>
      </c>
      <c r="F96" s="2" t="inlineStr">
        <is>
          <t>Own estimate</t>
        </is>
      </c>
      <c r="G96" s="9" t="inlineStr">
        <is>
          <t>Same threshold as the channel cut rule (R4).</t>
        </is>
      </c>
    </row>
    <row r="97">
      <c r="A97" s="2" t="inlineStr">
        <is>
          <t>I1W1</t>
        </is>
      </c>
      <c r="B97" s="9" t="inlineStr">
        <is>
          <t>I1a re-applications arriving in week 1 (waves on days 2 and 7)</t>
        </is>
      </c>
      <c r="C97" s="2" t="inlineStr">
        <is>
          <t>Rediscovery</t>
        </is>
      </c>
      <c r="D97" s="15" t="n">
        <v>0.35</v>
      </c>
      <c r="E97" s="2" t="inlineStr">
        <is>
          <t>%</t>
        </is>
      </c>
      <c r="F97" s="2" t="inlineStr">
        <is>
          <t>Own estimate</t>
        </is>
      </c>
      <c r="G97" s="9" t="inlineStr">
        <is>
          <t>Re-engagement responses come within days of each wave; waves on days 2, 7, 14.</t>
        </is>
      </c>
    </row>
    <row r="98">
      <c r="A98" s="2" t="inlineStr">
        <is>
          <t>I1W2</t>
        </is>
      </c>
      <c r="B98" s="9" t="inlineStr">
        <is>
          <t>I1a re-applications arriving in week 2</t>
        </is>
      </c>
      <c r="C98" s="2" t="inlineStr">
        <is>
          <t>Rediscovery</t>
        </is>
      </c>
      <c r="D98" s="15" t="n">
        <v>0.4</v>
      </c>
      <c r="E98" s="2" t="inlineStr">
        <is>
          <t>%</t>
        </is>
      </c>
      <c r="F98" s="2" t="inlineStr">
        <is>
          <t>Own estimate</t>
        </is>
      </c>
      <c r="G98" s="9" t="inlineStr">
        <is>
          <t>Wave 2 (day 7) + late responses to wave 1 + wave 3 (day 14).</t>
        </is>
      </c>
    </row>
    <row r="99">
      <c r="A99" s="2" t="inlineStr">
        <is>
          <t>I1W3</t>
        </is>
      </c>
      <c r="B99" s="9" t="inlineStr">
        <is>
          <t>I1a re-applications arriving in week 3</t>
        </is>
      </c>
      <c r="C99" s="2" t="inlineStr">
        <is>
          <t>Rediscovery</t>
        </is>
      </c>
      <c r="D99" s="15" t="n">
        <v>0.25</v>
      </c>
      <c r="E99" s="2" t="inlineStr">
        <is>
          <t>%</t>
        </is>
      </c>
      <c r="F99" s="2" t="inlineStr">
        <is>
          <t>Own estimate</t>
        </is>
      </c>
      <c r="G99" s="9" t="inlineStr">
        <is>
          <t>Tail of wave 3.</t>
        </is>
      </c>
    </row>
    <row r="100">
      <c r="A100" s="2" t="inlineStr">
        <is>
          <t>R7</t>
        </is>
      </c>
      <c r="B100" s="9" t="inlineStr">
        <is>
          <t>Scale-up step per week</t>
        </is>
      </c>
      <c r="C100" s="2" t="inlineStr">
        <is>
          <t>Per cell</t>
        </is>
      </c>
      <c r="D100" s="15" t="n">
        <v>0.25</v>
      </c>
      <c r="E100" s="2" t="inlineStr">
        <is>
          <t>%</t>
        </is>
      </c>
      <c r="F100" s="2" t="inlineStr">
        <is>
          <t>Own estimate</t>
        </is>
      </c>
      <c r="G100" s="9" t="inlineStr">
        <is>
          <t>Big enough to matter, small enough to keep CPC auctions from spiking.</t>
        </is>
      </c>
    </row>
    <row r="101">
      <c r="A101" s="2" t="inlineStr">
        <is>
          <t>R9</t>
        </is>
      </c>
      <c r="B101" s="9" t="inlineStr">
        <is>
          <t>Minimum interviews done before using the actual pass rate</t>
        </is>
      </c>
      <c r="C101" s="2" t="inlineStr">
        <is>
          <t>Per role</t>
        </is>
      </c>
      <c r="D101" s="14" t="n">
        <v>10</v>
      </c>
      <c r="E101" s="2" t="inlineStr">
        <is>
          <t>interviews</t>
        </is>
      </c>
      <c r="F101" s="2" t="inlineStr">
        <is>
          <t>Own estimate</t>
        </is>
      </c>
      <c r="G101" s="9" t="inlineStr">
        <is>
          <t>Statistics: below 10 interviews one result moves the pass rate by more than 10 points (1 ÷ 10). 10 is the smallest sample with n × p ≥ 5 at the ~50% planned pass rate (normal-approximation rule).</t>
        </is>
      </c>
    </row>
    <row r="102">
      <c r="A102" s="2" t="inlineStr">
        <is>
          <t>R10</t>
        </is>
      </c>
      <c r="B102" s="9" t="inlineStr">
        <is>
          <t>Minimum offers before using the actual acceptance rate</t>
        </is>
      </c>
      <c r="C102" s="2" t="inlineStr">
        <is>
          <t>Per role</t>
        </is>
      </c>
      <c r="D102" s="14" t="n">
        <v>7</v>
      </c>
      <c r="E102" s="2" t="inlineStr">
        <is>
          <t>offers</t>
        </is>
      </c>
      <c r="F102" s="2" t="inlineStr">
        <is>
          <t>Own estimate</t>
        </is>
      </c>
      <c r="G102" s="9" t="inlineStr">
        <is>
          <t>Statistics: same rule as R9. At the ~70% planned acceptance, n × p ≥ 5 needs 5 ÷ 0.70 = 7.1 offers, so 7. Until then the planned acceptance rate is used.</t>
        </is>
      </c>
    </row>
    <row r="103">
      <c r="A103" s="2" t="inlineStr">
        <is>
          <t>F1</t>
        </is>
      </c>
      <c r="B103" s="9" t="inlineStr">
        <is>
          <t>Pool flag: 'very hard' when the plan needs more than this share of the reachable pool</t>
        </is>
      </c>
      <c r="C103" s="2" t="inlineStr">
        <is>
          <t>Funnel pool check</t>
        </is>
      </c>
      <c r="D103" s="15" t="n">
        <v>0.25</v>
      </c>
      <c r="E103" s="2" t="inlineStr">
        <is>
          <t>%</t>
        </is>
      </c>
      <c r="F103" s="2" t="inlineStr">
        <is>
          <t>Own estimate</t>
        </is>
      </c>
      <c r="G103" s="9" t="inlineStr">
        <is>
          <t>Above a quarter of everyone reachable, small misses in response rates break the plan.</t>
        </is>
      </c>
    </row>
    <row r="104">
      <c r="A104" s="2" t="inlineStr">
        <is>
          <t>F2</t>
        </is>
      </c>
      <c r="B104" s="9" t="inlineStr">
        <is>
          <t>Pool flag: 'tight' above this share</t>
        </is>
      </c>
      <c r="C104" s="2" t="inlineStr">
        <is>
          <t>Funnel pool check</t>
        </is>
      </c>
      <c r="D104" s="15" t="n">
        <v>0.12</v>
      </c>
      <c r="E104" s="2" t="inlineStr">
        <is>
          <t>%</t>
        </is>
      </c>
      <c r="F104" s="2" t="inlineStr">
        <is>
          <t>Own estimate</t>
        </is>
      </c>
      <c r="G104" s="9" t="inlineStr">
        <is>
          <t>Above ~1 in 8 of everyone reachable.</t>
        </is>
      </c>
    </row>
    <row r="105">
      <c r="A105" s="2" t="inlineStr">
        <is>
          <t>F3</t>
        </is>
      </c>
      <c r="B105" s="9" t="inlineStr">
        <is>
          <t>Capacity flag: 'tight' when slot use exceeds</t>
        </is>
      </c>
      <c r="C105" s="2" t="inlineStr">
        <is>
          <t>Funnel / Weekly</t>
        </is>
      </c>
      <c r="D105" s="15" t="n">
        <v>0.85</v>
      </c>
      <c r="E105" s="2" t="inlineStr">
        <is>
          <t>%</t>
        </is>
      </c>
      <c r="F105" s="2" t="inlineStr">
        <is>
          <t>Own estimate</t>
        </is>
      </c>
      <c r="G105" s="9" t="inlineStr">
        <is>
          <t>Under 15% headroom, one bad week of pass rates can't be absorbed.</t>
        </is>
      </c>
    </row>
    <row r="106">
      <c r="A106" s="2" t="inlineStr">
        <is>
          <t>F4</t>
        </is>
      </c>
      <c r="B106" s="9" t="inlineStr">
        <is>
          <t>Weekly flag: 'full' when a week's slot use exceeds</t>
        </is>
      </c>
      <c r="C106" s="2" t="inlineStr">
        <is>
          <t>Weekly</t>
        </is>
      </c>
      <c r="D106" s="15" t="n">
        <v>0.9</v>
      </c>
      <c r="E106" s="2" t="inlineStr">
        <is>
          <t>%</t>
        </is>
      </c>
      <c r="F106" s="2" t="inlineStr">
        <is>
          <t>Own estimate</t>
        </is>
      </c>
      <c r="G106" s="9" t="inlineStr">
        <is>
          <t>Week is effectively full.</t>
        </is>
      </c>
    </row>
    <row r="107">
      <c r="A107" s="2" t="inlineStr">
        <is>
          <t>R13</t>
        </is>
      </c>
      <c r="B107" s="9" t="inlineStr">
        <is>
          <t>Pacing floor: release reserve to the cheapest cells with capacity when next week's forecast qualified falls below</t>
        </is>
      </c>
      <c r="C107" s="2" t="inlineStr">
        <is>
          <t>All roles</t>
        </is>
      </c>
      <c r="D107" s="14" t="n">
        <v>45</v>
      </c>
      <c r="E107" s="2" t="inlineStr">
        <is>
          <t>qualified/wk</t>
        </is>
      </c>
      <c r="F107" s="2" t="inlineStr">
        <is>
          <t>Own estimate</t>
        </is>
      </c>
      <c r="G107" s="9" t="inlineStr">
        <is>
          <t>Derivation: 45 ≈ 80% of the 55 weekly slots. Below it at least 10 slots go unused that week, i.e. ~3 hires lost at the plan's 32% qualified → signed (10 × 0.32), so reserve is released to the cheapest cells with capacity.</t>
        </is>
      </c>
    </row>
    <row r="108">
      <c r="A108" s="2" t="inlineStr">
        <is>
          <t>R8</t>
        </is>
      </c>
      <c r="B108" s="9" t="inlineStr">
        <is>
          <t>Weight given to plan when updating qualified share (pseudo-applications)</t>
        </is>
      </c>
      <c r="C108" s="2" t="inlineStr">
        <is>
          <t>Per cell</t>
        </is>
      </c>
      <c r="D108" s="14" t="n">
        <v>30</v>
      </c>
      <c r="E108" s="2" t="inlineStr">
        <is>
          <t>apps</t>
        </is>
      </c>
      <c r="F108" s="2" t="inlineStr">
        <is>
          <t>Own estimate</t>
        </is>
      </c>
      <c r="G108" s="9" t="inlineStr">
        <is>
          <t>Derivation: beta-binomial (empirical-Bayes) update with a prior worth 30 applications = R2. At the first point a cell may be judged (30 applications), its own data and the plan count equally; after 90 applications the data carry 75% of the weight.</t>
        </is>
      </c>
    </row>
    <row r="109"/>
    <row r="110">
      <c r="A110" s="10" t="inlineStr">
        <is>
          <t>7. Channel × role inputs (Part 2.2). Basis: CPC → CPA = CPC ÷ click-to-apply rate; CPA = bought per application/lead; Slot = fixed-price 30-day ad → CPA = price ÷ apps per ad; Free = no media cost.</t>
        </is>
      </c>
      <c r="B110" s="11" t="n"/>
      <c r="C110" s="11" t="n"/>
      <c r="D110" s="11" t="n"/>
      <c r="E110" s="11" t="n"/>
      <c r="F110" s="11" t="n"/>
      <c r="G110" s="11" t="n"/>
      <c r="H110" s="11" t="n"/>
      <c r="I110" s="11" t="n"/>
      <c r="J110" s="11" t="n"/>
      <c r="K110" s="11" t="n"/>
      <c r="L110" s="11" t="n"/>
    </row>
    <row r="111" ht="45" customHeight="1">
      <c r="A111" s="12" t="inlineStr">
        <is>
          <t>ID</t>
        </is>
      </c>
      <c r="B111" s="12" t="inlineStr">
        <is>
          <t>Channel</t>
        </is>
      </c>
      <c r="C111" s="12" t="inlineStr">
        <is>
          <t>Role</t>
        </is>
      </c>
      <c r="D111" s="12" t="inlineStr">
        <is>
          <t>Basis</t>
        </is>
      </c>
      <c r="E111" s="12" t="inlineStr">
        <is>
          <t>Unit cost € (CPC / CPA / slot price)</t>
        </is>
      </c>
      <c r="F111" s="12" t="inlineStr">
        <is>
          <t>Click→apply % or apps per slot</t>
        </is>
      </c>
      <c r="G111" s="12" t="inlineStr">
        <is>
          <t>Share qualified</t>
        </is>
      </c>
      <c r="H111" s="12" t="inlineStr">
        <is>
          <t>Max applications over campaign (or no. of slots)</t>
        </is>
      </c>
      <c r="I111" s="12" t="inlineStr">
        <is>
          <t>Downstream adj. (× role conversion)</t>
        </is>
      </c>
      <c r="J111" s="12" t="inlineStr">
        <is>
          <t>Fixed cost €</t>
        </is>
      </c>
      <c r="K111" s="12" t="inlineStr">
        <is>
          <t>Label</t>
        </is>
      </c>
      <c r="L111" s="12" t="inlineStr">
        <is>
          <t>Source / reasoning</t>
        </is>
      </c>
    </row>
    <row r="112">
      <c r="A112" s="2" t="inlineStr">
        <is>
          <t>C01</t>
        </is>
      </c>
      <c r="B112" s="9" t="inlineStr">
        <is>
          <t>Organic (Tesla careers, BA Jobbörse, Google for Jobs)</t>
        </is>
      </c>
      <c r="C112" s="2" t="inlineStr">
        <is>
          <t>Electricians</t>
        </is>
      </c>
      <c r="D112" s="2" t="inlineStr">
        <is>
          <t>Free</t>
        </is>
      </c>
      <c r="E112" s="19" t="n">
        <v>0</v>
      </c>
      <c r="F112" s="20" t="n"/>
      <c r="G112" s="15" t="n">
        <v>0.08</v>
      </c>
      <c r="H112" s="14" t="n">
        <v>150</v>
      </c>
      <c r="I112" s="21" t="n">
        <v>1</v>
      </c>
      <c r="J112" s="17" t="n">
        <v>0</v>
      </c>
      <c r="K112" s="2" t="inlineStr">
        <is>
          <t>Researched + Own estimate</t>
        </is>
      </c>
      <c r="L112" s="16" t="inlineStr">
        <is>
          <t>Free: BA Jobbörse posting is free (https://www.arbeitsagentur.de/faktor-a/mitarbeiter-finden/so-funktioniert-deutschlands-groesste-jobboerse); Google for Jobs is free (https://www.handwerksblatt.de/themen-specials/digitales-handwerk/mehr-fachkraefte-und-auszubildende-finden-mit-google-for-jobs); Indeed basic posting is free (https://de.indeed.com/recruiting/preise). Volume and share qualified: own estimate (broad unsolicited audience).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3">
      <c r="A113" s="2" t="inlineStr">
        <is>
          <t>C02</t>
        </is>
      </c>
      <c r="B113" s="9" t="inlineStr">
        <is>
          <t>Organic (Tesla careers, BA Jobbörse, Google for Jobs)</t>
        </is>
      </c>
      <c r="C113" s="2" t="inlineStr">
        <is>
          <t>Mechatronics</t>
        </is>
      </c>
      <c r="D113" s="2" t="inlineStr">
        <is>
          <t>Free</t>
        </is>
      </c>
      <c r="E113" s="19" t="n">
        <v>0</v>
      </c>
      <c r="F113" s="20" t="n"/>
      <c r="G113" s="15" t="n">
        <v>0.18</v>
      </c>
      <c r="H113" s="14" t="n">
        <v>200</v>
      </c>
      <c r="I113" s="21" t="n">
        <v>1</v>
      </c>
      <c r="J113" s="17" t="n">
        <v>0</v>
      </c>
      <c r="K113" s="2" t="inlineStr">
        <is>
          <t>Researched + Own estimate</t>
        </is>
      </c>
      <c r="L113" s="16" t="inlineStr">
        <is>
          <t>Free: BA Jobbörse posting is free (https://www.arbeitsagentur.de/faktor-a/mitarbeiter-finden/so-funktioniert-deutschlands-groesste-jobboerse); Google for Jobs is free (https://www.handwerksblatt.de/themen-specials/digitales-handwerk/mehr-fachkraefte-und-auszubildende-finden-mit-google-for-jobs); Indeed basic posting is free (https://de.indeed.com/recruiting/preise). Volume and share qualified: own estimate (broad unsolicited audience).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4">
      <c r="A114" s="2" t="inlineStr">
        <is>
          <t>C03</t>
        </is>
      </c>
      <c r="B114" s="9" t="inlineStr">
        <is>
          <t>Organic (Tesla careers, BA Jobbörse, Google for Jobs)</t>
        </is>
      </c>
      <c r="C114" s="2" t="inlineStr">
        <is>
          <t>Automation</t>
        </is>
      </c>
      <c r="D114" s="2" t="inlineStr">
        <is>
          <t>Free</t>
        </is>
      </c>
      <c r="E114" s="19" t="n">
        <v>0</v>
      </c>
      <c r="F114" s="20" t="n"/>
      <c r="G114" s="15" t="n">
        <v>0.1</v>
      </c>
      <c r="H114" s="14" t="n">
        <v>80</v>
      </c>
      <c r="I114" s="21" t="n">
        <v>1</v>
      </c>
      <c r="J114" s="17" t="n">
        <v>0</v>
      </c>
      <c r="K114" s="2" t="inlineStr">
        <is>
          <t>Researched + Own estimate</t>
        </is>
      </c>
      <c r="L114" s="16" t="inlineStr">
        <is>
          <t>Free: BA Jobbörse posting is free (https://www.arbeitsagentur.de/faktor-a/mitarbeiter-finden/so-funktioniert-deutschlands-groesste-jobboerse); Google for Jobs is free (https://www.handwerksblatt.de/themen-specials/digitales-handwerk/mehr-fachkraefte-und-auszubildende-finden-mit-google-for-jobs); Indeed basic posting is free (https://de.indeed.com/recruiting/preise). Volume and share qualified: own estimate (broad unsolicited audience).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5">
      <c r="A115" s="2" t="inlineStr">
        <is>
          <t>C04</t>
        </is>
      </c>
      <c r="B115" s="9" t="inlineStr">
        <is>
          <t>Organic (Tesla careers, BA Jobbörse, Google for Jobs)</t>
        </is>
      </c>
      <c r="C115" s="2" t="inlineStr">
        <is>
          <t>Supervisors</t>
        </is>
      </c>
      <c r="D115" s="2" t="inlineStr">
        <is>
          <t>Free</t>
        </is>
      </c>
      <c r="E115" s="19" t="n">
        <v>0</v>
      </c>
      <c r="F115" s="20" t="n"/>
      <c r="G115" s="15" t="n">
        <v>0.08</v>
      </c>
      <c r="H115" s="14" t="n">
        <v>60</v>
      </c>
      <c r="I115" s="21" t="n">
        <v>1</v>
      </c>
      <c r="J115" s="17" t="n">
        <v>0</v>
      </c>
      <c r="K115" s="2" t="inlineStr">
        <is>
          <t>Researched + Own estimate</t>
        </is>
      </c>
      <c r="L115" s="16" t="inlineStr">
        <is>
          <t>Free: BA Jobbörse posting is free (https://www.arbeitsagentur.de/faktor-a/mitarbeiter-finden/so-funktioniert-deutschlands-groesste-jobboerse); Google for Jobs is free (https://www.handwerksblatt.de/themen-specials/digitales-handwerk/mehr-fachkraefte-und-auszubildende-finden-mit-google-for-jobs); Indeed basic posting is free (https://de.indeed.com/recruiting/preise). Volume and share qualified: own estimate (broad unsolicited audience).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6">
      <c r="A116" s="2" t="inlineStr">
        <is>
          <t>C05</t>
        </is>
      </c>
      <c r="B116" s="9" t="inlineStr">
        <is>
          <t>Programmatic job ads (Joveo: Indeed, Jooble, Talent.com, Kimeta, meinestadt…)</t>
        </is>
      </c>
      <c r="C116" s="2" t="inlineStr">
        <is>
          <t>Electricians</t>
        </is>
      </c>
      <c r="D116" s="2" t="inlineStr">
        <is>
          <t>CPA</t>
        </is>
      </c>
      <c r="E116" s="19" t="n">
        <v>161</v>
      </c>
      <c r="F116" s="20" t="n"/>
      <c r="G116" s="15" t="n">
        <v>0.12</v>
      </c>
      <c r="H116" s="14" t="n">
        <v>450</v>
      </c>
      <c r="I116" s="21" t="n">
        <v>1</v>
      </c>
      <c r="J116" s="17" t="n">
        <v>0</v>
      </c>
      <c r="K116" s="2" t="inlineStr">
        <is>
          <t>Researched + Own estimate</t>
        </is>
      </c>
      <c r="L116" s="16" t="inlineStr">
        <is>
          <t>Indeed Germany bills per started application since 1 Mar 2024 (https://www.personalwirtschaft.de/?p=162207). DACH median cost per application on Indeed: €161 (TalentBait, 2,549 campaigns, 2024–26, vendor data: https://www.talentbait.de/recruiting-kanaele-uebersicht/). Volume cap: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7">
      <c r="A117" s="2" t="inlineStr">
        <is>
          <t>C06</t>
        </is>
      </c>
      <c r="B117" s="9" t="inlineStr">
        <is>
          <t>Programmatic job ads (Joveo: Indeed, Jooble, Talent.com, Kimeta, meinestadt…)</t>
        </is>
      </c>
      <c r="C117" s="2" t="inlineStr">
        <is>
          <t>Mechatronics</t>
        </is>
      </c>
      <c r="D117" s="2" t="inlineStr">
        <is>
          <t>CPA</t>
        </is>
      </c>
      <c r="E117" s="19" t="n">
        <v>161</v>
      </c>
      <c r="F117" s="20" t="n"/>
      <c r="G117" s="15" t="n">
        <v>0.22</v>
      </c>
      <c r="H117" s="14" t="n">
        <v>600</v>
      </c>
      <c r="I117" s="21" t="n">
        <v>1</v>
      </c>
      <c r="J117" s="17" t="n">
        <v>0</v>
      </c>
      <c r="K117" s="2" t="inlineStr">
        <is>
          <t>Researched + Own estimate</t>
        </is>
      </c>
      <c r="L117" s="16" t="inlineStr">
        <is>
          <t>Indeed Germany bills per started application since 1 Mar 2024 (https://www.personalwirtschaft.de/?p=162207). DACH median cost per application on Indeed: €161 (TalentBait, 2,549 campaigns, 2024–26, vendor data: https://www.talentbait.de/recruiting-kanaele-uebersicht/). Volume cap: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8">
      <c r="A118" s="2" t="inlineStr">
        <is>
          <t>C07</t>
        </is>
      </c>
      <c r="B118" s="9" t="inlineStr">
        <is>
          <t>Programmatic job ads (Joveo: Indeed, Jooble, Talent.com, Kimeta, meinestadt…)</t>
        </is>
      </c>
      <c r="C118" s="2" t="inlineStr">
        <is>
          <t>Automation</t>
        </is>
      </c>
      <c r="D118" s="2" t="inlineStr">
        <is>
          <t>CPA</t>
        </is>
      </c>
      <c r="E118" s="19" t="n">
        <v>161</v>
      </c>
      <c r="F118" s="20" t="n"/>
      <c r="G118" s="15" t="n">
        <v>0.12</v>
      </c>
      <c r="H118" s="14" t="n">
        <v>250</v>
      </c>
      <c r="I118" s="21" t="n">
        <v>1</v>
      </c>
      <c r="J118" s="17" t="n">
        <v>0</v>
      </c>
      <c r="K118" s="2" t="inlineStr">
        <is>
          <t>Researched + Own estimate</t>
        </is>
      </c>
      <c r="L118" s="16" t="inlineStr">
        <is>
          <t>Indeed Germany bills per started application since 1 Mar 2024 (https://www.personalwirtschaft.de/?p=162207). DACH median cost per application on Indeed: €161 (TalentBait, 2,549 campaigns, 2024–26, vendor data: https://www.talentbait.de/recruiting-kanaele-uebersicht/). Volume cap: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19">
      <c r="A119" s="2" t="inlineStr">
        <is>
          <t>C08</t>
        </is>
      </c>
      <c r="B119" s="9" t="inlineStr">
        <is>
          <t>Programmatic job ads (Joveo: Indeed, Jooble, Talent.com, Kimeta, meinestadt…)</t>
        </is>
      </c>
      <c r="C119" s="2" t="inlineStr">
        <is>
          <t>Supervisors</t>
        </is>
      </c>
      <c r="D119" s="2" t="inlineStr">
        <is>
          <t>CPA</t>
        </is>
      </c>
      <c r="E119" s="19" t="n">
        <v>161</v>
      </c>
      <c r="F119" s="20" t="n"/>
      <c r="G119" s="15" t="n">
        <v>0.1</v>
      </c>
      <c r="H119" s="14" t="n">
        <v>200</v>
      </c>
      <c r="I119" s="21" t="n">
        <v>1</v>
      </c>
      <c r="J119" s="17" t="n">
        <v>0</v>
      </c>
      <c r="K119" s="2" t="inlineStr">
        <is>
          <t>Researched + Own estimate</t>
        </is>
      </c>
      <c r="L119" s="16" t="inlineStr">
        <is>
          <t>Indeed Germany bills per started application since 1 Mar 2024 (https://www.personalwirtschaft.de/?p=162207). DACH median cost per application on Indeed: €161 (TalentBait, 2,549 campaigns, 2024–26, vendor data: https://www.talentbait.de/recruiting-kanaele-uebersicht/). Volume cap: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0">
      <c r="A120" s="2" t="inlineStr">
        <is>
          <t>C09</t>
        </is>
      </c>
      <c r="B120" s="9" t="inlineStr">
        <is>
          <t>StepStone (30-day single ad)</t>
        </is>
      </c>
      <c r="C120" s="2" t="inlineStr">
        <is>
          <t>Electricians</t>
        </is>
      </c>
      <c r="D120" s="2" t="inlineStr">
        <is>
          <t>Slot</t>
        </is>
      </c>
      <c r="E120" s="19" t="n">
        <v>1449</v>
      </c>
      <c r="F120" s="14" t="n">
        <v>15</v>
      </c>
      <c r="G120" s="15" t="n">
        <v>0.3</v>
      </c>
      <c r="H120" s="14" t="n">
        <v>3</v>
      </c>
      <c r="I120" s="21" t="n">
        <v>1</v>
      </c>
      <c r="J120" s="17" t="n">
        <v>0</v>
      </c>
      <c r="K120" s="2" t="inlineStr">
        <is>
          <t>Researched + Own estimate</t>
        </is>
      </c>
      <c r="L120" s="16" t="inlineStr">
        <is>
          <t>Price €1,449 per 30-day Pro ad (official price list, https://www.stepstone.de/e-recruiting/stellenanzeige-aufgeben/). Applications per ad: own estimate 15 for a Brandenburg trade ad (all-role German average is 48 applications per role across all channels, SmartRecruiters https://prod.smartrecruiters.com/blog/benchmark-recruiting-metrics-for-germany); no StepStone figure for trades is published. CV-based German audience → higher share qualified.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1">
      <c r="A121" s="2" t="inlineStr">
        <is>
          <t>C10</t>
        </is>
      </c>
      <c r="B121" s="9" t="inlineStr">
        <is>
          <t>StepStone (30-day single ad)</t>
        </is>
      </c>
      <c r="C121" s="2" t="inlineStr">
        <is>
          <t>Mechatronics</t>
        </is>
      </c>
      <c r="D121" s="2" t="inlineStr">
        <is>
          <t>Slot</t>
        </is>
      </c>
      <c r="E121" s="19" t="n">
        <v>1449</v>
      </c>
      <c r="F121" s="14" t="n">
        <v>25</v>
      </c>
      <c r="G121" s="15" t="n">
        <v>0.35</v>
      </c>
      <c r="H121" s="14" t="n">
        <v>3</v>
      </c>
      <c r="I121" s="21" t="n">
        <v>1</v>
      </c>
      <c r="J121" s="17" t="n">
        <v>0</v>
      </c>
      <c r="K121" s="2" t="inlineStr">
        <is>
          <t>Researched + Own estimate</t>
        </is>
      </c>
      <c r="L121" s="16" t="inlineStr">
        <is>
          <t>Price €1,449 per 30-day ad (https://www.stepstone.de/e-recruiting/stellenanzeige-aufgeben/); 25 applications per ad: own estimate (bigger trade).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2">
      <c r="A122" s="2" t="inlineStr">
        <is>
          <t>C11</t>
        </is>
      </c>
      <c r="B122" s="9" t="inlineStr">
        <is>
          <t>StepStone (30-day single ad)</t>
        </is>
      </c>
      <c r="C122" s="2" t="inlineStr">
        <is>
          <t>Automation</t>
        </is>
      </c>
      <c r="D122" s="2" t="inlineStr">
        <is>
          <t>Slot</t>
        </is>
      </c>
      <c r="E122" s="19" t="n">
        <v>1449</v>
      </c>
      <c r="F122" s="14" t="n">
        <v>15</v>
      </c>
      <c r="G122" s="15" t="n">
        <v>0.25</v>
      </c>
      <c r="H122" s="14" t="n">
        <v>2</v>
      </c>
      <c r="I122" s="21" t="n">
        <v>1</v>
      </c>
      <c r="J122" s="17" t="n">
        <v>0</v>
      </c>
      <c r="K122" s="2" t="inlineStr">
        <is>
          <t>Researched + Own estimate</t>
        </is>
      </c>
      <c r="L122" s="16" t="inlineStr">
        <is>
          <t>Price €1,449 per 30-day ad (https://www.stepstone.de/e-recruiting/stellenanzeige-aufgeben/); 15 applications per ad: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3">
      <c r="A123" s="2" t="inlineStr">
        <is>
          <t>C12</t>
        </is>
      </c>
      <c r="B123" s="9" t="inlineStr">
        <is>
          <t>StepStone (30-day single ad)</t>
        </is>
      </c>
      <c r="C123" s="2" t="inlineStr">
        <is>
          <t>Supervisors</t>
        </is>
      </c>
      <c r="D123" s="2" t="inlineStr">
        <is>
          <t>Slot</t>
        </is>
      </c>
      <c r="E123" s="19" t="n">
        <v>1449</v>
      </c>
      <c r="F123" s="14" t="n">
        <v>15</v>
      </c>
      <c r="G123" s="15" t="n">
        <v>0.25</v>
      </c>
      <c r="H123" s="14" t="n">
        <v>2</v>
      </c>
      <c r="I123" s="21" t="n">
        <v>1</v>
      </c>
      <c r="J123" s="17" t="n">
        <v>0</v>
      </c>
      <c r="K123" s="2" t="inlineStr">
        <is>
          <t>Researched + Own estimate</t>
        </is>
      </c>
      <c r="L123" s="16" t="inlineStr">
        <is>
          <t>Price €1,449 per 30-day ad (https://www.stepstone.de/e-recruiting/stellenanzeige-aufgeben/); 15 applications per ad: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4">
      <c r="A124" s="2" t="inlineStr">
        <is>
          <t>C13</t>
        </is>
      </c>
      <c r="B124" s="9" t="inlineStr">
        <is>
          <t>LinkedIn (promoted jobs + InMail)</t>
        </is>
      </c>
      <c r="C124" s="2" t="inlineStr">
        <is>
          <t>Automation</t>
        </is>
      </c>
      <c r="D124" s="2" t="inlineStr">
        <is>
          <t>CPA</t>
        </is>
      </c>
      <c r="E124" s="19" t="n">
        <v>96</v>
      </c>
      <c r="F124" s="20" t="n"/>
      <c r="G124" s="15" t="n">
        <v>0.25</v>
      </c>
      <c r="H124" s="14" t="n">
        <v>150</v>
      </c>
      <c r="I124" s="21" t="n">
        <v>1</v>
      </c>
      <c r="J124" s="17" t="n">
        <v>0</v>
      </c>
      <c r="K124" s="2" t="inlineStr">
        <is>
          <t>Researched + Own estimate</t>
        </is>
      </c>
      <c r="L124" s="16" t="inlineStr">
        <is>
          <t>DACH median cost per application on LinkedIn: €96 (TalentBait 2024–26, vendor data: https://www.talentbait.de/recruiting-kanaele-uebersicht/). Volume cap: own estimate; PLC/TIA specialists are on LinkedIn, trades mostly aren't.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5">
      <c r="A125" s="2" t="inlineStr">
        <is>
          <t>C14</t>
        </is>
      </c>
      <c r="B125" s="9" t="inlineStr">
        <is>
          <t>LinkedIn (promoted jobs + InMail)</t>
        </is>
      </c>
      <c r="C125" s="2" t="inlineStr">
        <is>
          <t>Supervisors</t>
        </is>
      </c>
      <c r="D125" s="2" t="inlineStr">
        <is>
          <t>CPA</t>
        </is>
      </c>
      <c r="E125" s="19" t="n">
        <v>96</v>
      </c>
      <c r="F125" s="20" t="n"/>
      <c r="G125" s="15" t="n">
        <v>0.2</v>
      </c>
      <c r="H125" s="14" t="n">
        <v>100</v>
      </c>
      <c r="I125" s="21" t="n">
        <v>1</v>
      </c>
      <c r="J125" s="17" t="n">
        <v>0</v>
      </c>
      <c r="K125" s="2" t="inlineStr">
        <is>
          <t>Researched + Own estimate</t>
        </is>
      </c>
      <c r="L125" s="16" t="inlineStr">
        <is>
          <t>DACH median cost per application on LinkedIn: €96 (https://www.talentbait.de/recruiting-kanaele-uebersicht/). Volume cap: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6">
      <c r="A126" s="2" t="inlineStr">
        <is>
          <t>C15</t>
        </is>
      </c>
      <c r="B126" s="9" t="inlineStr">
        <is>
          <t>Meta social (FB/IG lead ads, 75 km geo)</t>
        </is>
      </c>
      <c r="C126" s="2" t="inlineStr">
        <is>
          <t>Electricians</t>
        </is>
      </c>
      <c r="D126" s="2" t="inlineStr">
        <is>
          <t>CPA</t>
        </is>
      </c>
      <c r="E126" s="19" t="n">
        <v>84</v>
      </c>
      <c r="F126" s="20" t="n"/>
      <c r="G126" s="15" t="n">
        <v>0.05</v>
      </c>
      <c r="H126" s="14" t="n">
        <v>400</v>
      </c>
      <c r="I126" s="21" t="n">
        <v>1</v>
      </c>
      <c r="J126" s="17" t="n">
        <v>0</v>
      </c>
      <c r="K126" s="2" t="inlineStr">
        <is>
          <t>Researched + Own estimate</t>
        </is>
      </c>
      <c r="L126" s="16" t="inlineStr">
        <is>
          <t>Social-recruiting cost per application, trades (Handwerk) average: €84; raw application average €52 (TalentBait, 818 campaigns, vendor data: https://www.talentbait.de/social-media-recruiting). Volume cap and share qualified: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7">
      <c r="A127" s="2" t="inlineStr">
        <is>
          <t>C16</t>
        </is>
      </c>
      <c r="B127" s="9" t="inlineStr">
        <is>
          <t>Meta social (FB/IG lead ads, 75 km geo)</t>
        </is>
      </c>
      <c r="C127" s="2" t="inlineStr">
        <is>
          <t>Mechatronics</t>
        </is>
      </c>
      <c r="D127" s="2" t="inlineStr">
        <is>
          <t>CPA</t>
        </is>
      </c>
      <c r="E127" s="19" t="n">
        <v>84</v>
      </c>
      <c r="F127" s="20" t="n"/>
      <c r="G127" s="15" t="n">
        <v>0.12</v>
      </c>
      <c r="H127" s="14" t="n">
        <v>500</v>
      </c>
      <c r="I127" s="21" t="n">
        <v>1</v>
      </c>
      <c r="J127" s="17" t="n">
        <v>0</v>
      </c>
      <c r="K127" s="2" t="inlineStr">
        <is>
          <t>Researched + Own estimate</t>
        </is>
      </c>
      <c r="L127" s="16" t="inlineStr">
        <is>
          <t>Trades average €84 per application (https://www.talentbait.de/social-media-recruiting).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8">
      <c r="A128" s="2" t="inlineStr">
        <is>
          <t>C17</t>
        </is>
      </c>
      <c r="B128" s="9" t="inlineStr">
        <is>
          <t>Google Search ads (job-intent keywords)</t>
        </is>
      </c>
      <c r="C128" s="2" t="inlineStr">
        <is>
          <t>Electricians</t>
        </is>
      </c>
      <c r="D128" s="2" t="inlineStr">
        <is>
          <t>CPA</t>
        </is>
      </c>
      <c r="E128" s="19" t="n">
        <v>179</v>
      </c>
      <c r="F128" s="20" t="n"/>
      <c r="G128" s="15" t="n">
        <v>0.15</v>
      </c>
      <c r="H128" s="14" t="n">
        <v>80</v>
      </c>
      <c r="I128" s="21" t="n">
        <v>1</v>
      </c>
      <c r="J128" s="17" t="n">
        <v>0</v>
      </c>
      <c r="K128" s="2" t="inlineStr">
        <is>
          <t>Researched + Own estimate</t>
        </is>
      </c>
      <c r="L128" s="16" t="inlineStr">
        <is>
          <t>DACH median cost per application from Google Search: €179, 'little volume' (TalentBait 2024–26, vendor data: https://www.talentbait.de/recruiting-kanaele-uebersicht/). Volume cap: own estimate.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29">
      <c r="A129" s="2" t="inlineStr">
        <is>
          <t>C18</t>
        </is>
      </c>
      <c r="B129" s="9" t="inlineStr">
        <is>
          <t>Google Search ads (job-intent keywords)</t>
        </is>
      </c>
      <c r="C129" s="2" t="inlineStr">
        <is>
          <t>Mechatronics</t>
        </is>
      </c>
      <c r="D129" s="2" t="inlineStr">
        <is>
          <t>CPA</t>
        </is>
      </c>
      <c r="E129" s="19" t="n">
        <v>179</v>
      </c>
      <c r="F129" s="20" t="n"/>
      <c r="G129" s="15" t="n">
        <v>0.25</v>
      </c>
      <c r="H129" s="14" t="n">
        <v>100</v>
      </c>
      <c r="I129" s="21" t="n">
        <v>1</v>
      </c>
      <c r="J129" s="17" t="n">
        <v>0</v>
      </c>
      <c r="K129" s="2" t="inlineStr">
        <is>
          <t>Researched + Own estimate</t>
        </is>
      </c>
      <c r="L129" s="16" t="inlineStr">
        <is>
          <t>€179 per application (https://www.talentbait.de/recruiting-kanaele-uebersicht/).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30">
      <c r="A130" s="2" t="inlineStr">
        <is>
          <t>C19</t>
        </is>
      </c>
      <c r="B130" s="9" t="inlineStr">
        <is>
          <t>Google Search ads (job-intent keywords)</t>
        </is>
      </c>
      <c r="C130" s="2" t="inlineStr">
        <is>
          <t>Automation</t>
        </is>
      </c>
      <c r="D130" s="2" t="inlineStr">
        <is>
          <t>CPA</t>
        </is>
      </c>
      <c r="E130" s="19" t="n">
        <v>179</v>
      </c>
      <c r="F130" s="20" t="n"/>
      <c r="G130" s="15" t="n">
        <v>0.15</v>
      </c>
      <c r="H130" s="14" t="n">
        <v>40</v>
      </c>
      <c r="I130" s="21" t="n">
        <v>1</v>
      </c>
      <c r="J130" s="17" t="n">
        <v>0</v>
      </c>
      <c r="K130" s="2" t="inlineStr">
        <is>
          <t>Researched + Own estimate</t>
        </is>
      </c>
      <c r="L130" s="16" t="inlineStr">
        <is>
          <t>€179 per application (https://www.talentbait.de/recruiting-kanaele-uebersicht/).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31">
      <c r="A131" s="2" t="inlineStr">
        <is>
          <t>C20</t>
        </is>
      </c>
      <c r="B131" s="9" t="inlineStr">
        <is>
          <t>Google Search ads (job-intent keywords)</t>
        </is>
      </c>
      <c r="C131" s="2" t="inlineStr">
        <is>
          <t>Supervisors</t>
        </is>
      </c>
      <c r="D131" s="2" t="inlineStr">
        <is>
          <t>CPA</t>
        </is>
      </c>
      <c r="E131" s="19" t="n">
        <v>179</v>
      </c>
      <c r="F131" s="20" t="n"/>
      <c r="G131" s="15" t="n">
        <v>0.12</v>
      </c>
      <c r="H131" s="14" t="n">
        <v>30</v>
      </c>
      <c r="I131" s="21" t="n">
        <v>1</v>
      </c>
      <c r="J131" s="17" t="n">
        <v>0</v>
      </c>
      <c r="K131" s="2" t="inlineStr">
        <is>
          <t>Researched + Own estimate</t>
        </is>
      </c>
      <c r="L131" s="16" t="inlineStr">
        <is>
          <t>€179 per application (https://www.talentbait.de/recruiting-kanaele-uebersicht/). Share qualified: IAB-Stellenerhebung 2026 finds 28% of applications suitable on average (23% at specialist level) (https://iab-forum.de/iab-stellenerhebung-2-2026-fast-drei-von-vier-bewerbungen-sind-aus-betrieblicher-sicht-ungeeignet/); our value applies the extra language/shift filters (own estimate).</t>
        </is>
      </c>
    </row>
    <row r="132"/>
    <row r="133">
      <c r="A133" s="10" t="inlineStr">
        <is>
          <t>8. New-initiative inputs (Part 3) — maths on the Initiatives tab</t>
        </is>
      </c>
      <c r="B133" s="11" t="n"/>
      <c r="C133" s="11" t="n"/>
      <c r="D133" s="11" t="n"/>
      <c r="E133" s="11" t="n"/>
      <c r="F133" s="11" t="n"/>
      <c r="G133" s="11" t="n"/>
    </row>
    <row r="134">
      <c r="A134" s="12" t="inlineStr">
        <is>
          <t>ID</t>
        </is>
      </c>
      <c r="B134" s="12" t="inlineStr">
        <is>
          <t>Parameter</t>
        </is>
      </c>
      <c r="C134" s="12" t="inlineStr">
        <is>
          <t>Role / scope</t>
        </is>
      </c>
      <c r="D134" s="12" t="inlineStr">
        <is>
          <t>Value</t>
        </is>
      </c>
      <c r="E134" s="12" t="inlineStr">
        <is>
          <t>Unit</t>
        </is>
      </c>
      <c r="F134" s="12" t="inlineStr">
        <is>
          <t>Label</t>
        </is>
      </c>
      <c r="G134" s="12" t="inlineStr">
        <is>
          <t>Source / reasoning</t>
        </is>
      </c>
    </row>
    <row r="135">
      <c r="A135" s="2" t="inlineStr">
        <is>
          <t>I1RE</t>
        </is>
      </c>
      <c r="B135" s="9" t="inlineStr">
        <is>
          <t>I1: past applicants in client ATS who were qualified but not hired (last 24 months)</t>
        </is>
      </c>
      <c r="C135" s="2" t="inlineStr">
        <is>
          <t>Electricians</t>
        </is>
      </c>
      <c r="D135" s="14" t="n">
        <v>200</v>
      </c>
      <c r="E135" s="2" t="inlineStr">
        <is>
          <t>records</t>
        </is>
      </c>
      <c r="F135" s="2" t="inlineStr">
        <is>
          <t>Own estimate</t>
        </is>
      </c>
      <c r="G135" s="16" t="inlineStr">
        <is>
          <t>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is>
      </c>
    </row>
    <row r="136">
      <c r="A136" s="2" t="inlineStr">
        <is>
          <t>I1RM</t>
        </is>
      </c>
      <c r="B136" s="9" t="inlineStr">
        <is>
          <t>I1: past applicants in client ATS who were qualified but not hired (last 24 months)</t>
        </is>
      </c>
      <c r="C136" s="2" t="inlineStr">
        <is>
          <t>Mechatronics</t>
        </is>
      </c>
      <c r="D136" s="14" t="n">
        <v>300</v>
      </c>
      <c r="E136" s="2" t="inlineStr">
        <is>
          <t>records</t>
        </is>
      </c>
      <c r="F136" s="2" t="inlineStr">
        <is>
          <t>Own estimate</t>
        </is>
      </c>
      <c r="G136" s="16" t="inlineStr">
        <is>
          <t>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is>
      </c>
    </row>
    <row r="137">
      <c r="A137" s="2" t="inlineStr">
        <is>
          <t>I1RA</t>
        </is>
      </c>
      <c r="B137" s="9" t="inlineStr">
        <is>
          <t>I1: past applicants in client ATS who were qualified but not hired (last 24 months)</t>
        </is>
      </c>
      <c r="C137" s="2" t="inlineStr">
        <is>
          <t>Automation</t>
        </is>
      </c>
      <c r="D137" s="14" t="n">
        <v>120</v>
      </c>
      <c r="E137" s="2" t="inlineStr">
        <is>
          <t>records</t>
        </is>
      </c>
      <c r="F137" s="2" t="inlineStr">
        <is>
          <t>Own estimate</t>
        </is>
      </c>
      <c r="G137" s="16" t="inlineStr">
        <is>
          <t>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is>
      </c>
    </row>
    <row r="138">
      <c r="A138" s="2" t="inlineStr">
        <is>
          <t>I1RS</t>
        </is>
      </c>
      <c r="B138" s="9" t="inlineStr">
        <is>
          <t>I1: past applicants in client ATS who were qualified but not hired (last 24 months)</t>
        </is>
      </c>
      <c r="C138" s="2" t="inlineStr">
        <is>
          <t>Supervisors</t>
        </is>
      </c>
      <c r="D138" s="14" t="n">
        <v>80</v>
      </c>
      <c r="E138" s="2" t="inlineStr">
        <is>
          <t>records</t>
        </is>
      </c>
      <c r="F138" s="2" t="inlineStr">
        <is>
          <t>Own estimate</t>
        </is>
      </c>
      <c r="G138" s="16" t="inlineStr">
        <is>
          <t>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is>
      </c>
    </row>
    <row r="139">
      <c r="A139" s="2" t="inlineStr">
        <is>
          <t>I1C</t>
        </is>
      </c>
      <c r="B139" s="9" t="inlineStr">
        <is>
          <t>I1: share of re-contacted past applicants who re-apply</t>
        </is>
      </c>
      <c r="C139" s="2" t="inlineStr">
        <is>
          <t>All</t>
        </is>
      </c>
      <c r="D139" s="15" t="n">
        <v>0.12</v>
      </c>
      <c r="E139" s="2" t="inlineStr">
        <is>
          <t>%</t>
        </is>
      </c>
      <c r="F139" s="2" t="inlineStr">
        <is>
          <t>Researched + Own estimate</t>
        </is>
      </c>
      <c r="G139" s="16" t="inlineStr">
        <is>
          <t>Proxy: Gem 2022 recruiting benchmarks, outreach reply rate 22% overall, 11–20% for small/mid companies (vendor data, https://gem.com/blog/2022-recruiting-benchmarks). Past applicants already wanted the employer, so 12% re-applying is conservative (range 10–20%).</t>
        </is>
      </c>
    </row>
    <row r="140">
      <c r="A140" s="2" t="inlineStr">
        <is>
          <t>I1Q</t>
        </is>
      </c>
      <c r="B140" s="9" t="inlineStr">
        <is>
          <t>I1: share qualified among re-applicants</t>
        </is>
      </c>
      <c r="C140" s="2" t="inlineStr">
        <is>
          <t>All</t>
        </is>
      </c>
      <c r="D140" s="15" t="n">
        <v>0.5</v>
      </c>
      <c r="E140" s="2" t="inlineStr">
        <is>
          <t>%</t>
        </is>
      </c>
      <c r="F140" s="2" t="inlineStr">
        <is>
          <t>Own estimate</t>
        </is>
      </c>
      <c r="G140" s="16" t="inlineStr">
        <is>
          <t>No published share found. Forrester (via SHRM, https://www.shrm.org/mena/topics-tools/news/technology/talent-rediscovery-tools-help-address-labor-shortages) says past candidates often remain a 70%+ skills match; half still meet every hard requirement (certificate, language, shifts) is our estimate.</t>
        </is>
      </c>
    </row>
    <row r="141">
      <c r="A141" s="2" t="inlineStr">
        <is>
          <t>I1FE</t>
        </is>
      </c>
      <c r="B141" s="9" t="inlineStr">
        <is>
          <t>I1: employee-referred applications over campaign</t>
        </is>
      </c>
      <c r="C141" s="2" t="inlineStr">
        <is>
          <t>Electricians</t>
        </is>
      </c>
      <c r="D141" s="14" t="n">
        <v>25</v>
      </c>
      <c r="E141" s="2" t="inlineStr">
        <is>
          <t>apps</t>
        </is>
      </c>
      <c r="F141" s="2" t="inlineStr">
        <is>
          <t>Own estimate</t>
        </is>
      </c>
      <c r="G141" s="9" t="inlineStr">
        <is>
          <t>~1,000+ maintenance &amp; production technicians at the plant; a 6-week referral push with a bonus typically yields 1 referral per ~30–40 staff in the trade.</t>
        </is>
      </c>
    </row>
    <row r="142">
      <c r="A142" s="2" t="inlineStr">
        <is>
          <t>I1FM</t>
        </is>
      </c>
      <c r="B142" s="9" t="inlineStr">
        <is>
          <t>I1: employee-referred applications over campaign</t>
        </is>
      </c>
      <c r="C142" s="2" t="inlineStr">
        <is>
          <t>Mechatronics</t>
        </is>
      </c>
      <c r="D142" s="14" t="n">
        <v>30</v>
      </c>
      <c r="E142" s="2" t="inlineStr">
        <is>
          <t>apps</t>
        </is>
      </c>
      <c r="F142" s="2" t="inlineStr">
        <is>
          <t>Own estimate</t>
        </is>
      </c>
      <c r="G142" s="9" t="inlineStr">
        <is>
          <t>~1,000+ maintenance &amp; production technicians at the plant; a 6-week referral push with a bonus typically yields 1 referral per ~30–40 staff in the trade.</t>
        </is>
      </c>
    </row>
    <row r="143">
      <c r="A143" s="2" t="inlineStr">
        <is>
          <t>I1FA</t>
        </is>
      </c>
      <c r="B143" s="9" t="inlineStr">
        <is>
          <t>I1: employee-referred applications over campaign</t>
        </is>
      </c>
      <c r="C143" s="2" t="inlineStr">
        <is>
          <t>Automation</t>
        </is>
      </c>
      <c r="D143" s="14" t="n">
        <v>10</v>
      </c>
      <c r="E143" s="2" t="inlineStr">
        <is>
          <t>apps</t>
        </is>
      </c>
      <c r="F143" s="2" t="inlineStr">
        <is>
          <t>Own estimate</t>
        </is>
      </c>
      <c r="G143" s="9" t="inlineStr">
        <is>
          <t>~1,000+ maintenance &amp; production technicians at the plant; a 6-week referral push with a bonus typically yields 1 referral per ~30–40 staff in the trade.</t>
        </is>
      </c>
    </row>
    <row r="144">
      <c r="A144" s="2" t="inlineStr">
        <is>
          <t>I1FS</t>
        </is>
      </c>
      <c r="B144" s="9" t="inlineStr">
        <is>
          <t>I1: employee-referred applications over campaign</t>
        </is>
      </c>
      <c r="C144" s="2" t="inlineStr">
        <is>
          <t>Supervisors</t>
        </is>
      </c>
      <c r="D144" s="14" t="n">
        <v>8</v>
      </c>
      <c r="E144" s="2" t="inlineStr">
        <is>
          <t>apps</t>
        </is>
      </c>
      <c r="F144" s="2" t="inlineStr">
        <is>
          <t>Own estimate</t>
        </is>
      </c>
      <c r="G144" s="9" t="inlineStr">
        <is>
          <t>~1,000+ maintenance &amp; production technicians at the plant; a 6-week referral push with a bonus typically yields 1 referral per ~30–40 staff in the trade.</t>
        </is>
      </c>
    </row>
    <row r="145">
      <c r="A145" s="2" t="inlineStr">
        <is>
          <t>I1FQ</t>
        </is>
      </c>
      <c r="B145" s="9" t="inlineStr">
        <is>
          <t>I1: share qualified among referrals</t>
        </is>
      </c>
      <c r="C145" s="2" t="inlineStr">
        <is>
          <t>All</t>
        </is>
      </c>
      <c r="D145" s="15" t="n">
        <v>0.45</v>
      </c>
      <c r="E145" s="2" t="inlineStr">
        <is>
          <t>%</t>
        </is>
      </c>
      <c r="F145" s="2" t="inlineStr">
        <is>
          <t>Own estimate</t>
        </is>
      </c>
      <c r="G145" s="16" t="inlineStr">
        <is>
          <t>No numeric benchmark found. IW Köln/KOFA: 75.4% of firms say referred hires are more loyal (https://www.kofa.de/media/Publikationen/Handlungsempfehlungen/Mitarbeiter_werben_Mitarbeiter.pdf). Referrers know the job, so ~1.6× the 28% IAB baseline.</t>
        </is>
      </c>
    </row>
    <row r="146">
      <c r="A146" s="2" t="inlineStr">
        <is>
          <t>I1M</t>
        </is>
      </c>
      <c r="B146" s="9" t="inlineStr">
        <is>
          <t>I1: messaging cost per contacted past applicant (email + SMS tool)</t>
        </is>
      </c>
      <c r="C146" s="2" t="inlineStr">
        <is>
          <t>All</t>
        </is>
      </c>
      <c r="D146" s="19" t="n">
        <v>0.3</v>
      </c>
      <c r="E146" s="2" t="inlineStr">
        <is>
          <t>€</t>
        </is>
      </c>
      <c r="F146" s="2" t="inlineStr">
        <is>
          <t>Researched + Own estimate</t>
        </is>
      </c>
      <c r="G146" s="16" t="inlineStr">
        <is>
          <t>seven.io: €0.075 per SMS (https://www.seven.io/de/preise/); Twilio Germany $0.112 per SMS (https://www.twilio.com/en-us/sms/pricing/de). 3 waves × SMS + email tool ≈ €0.30 per person.</t>
        </is>
      </c>
    </row>
    <row r="147">
      <c r="A147" s="2" t="inlineStr">
        <is>
          <t>I1B</t>
        </is>
      </c>
      <c r="B147" s="9" t="inlineStr">
        <is>
          <t>I1: referral bonus per signed referred hire (paid from this budget)</t>
        </is>
      </c>
      <c r="C147" s="2" t="inlineStr">
        <is>
          <t>All</t>
        </is>
      </c>
      <c r="D147" s="17" t="n">
        <v>1000</v>
      </c>
      <c r="E147" s="2" t="inlineStr">
        <is>
          <t>€</t>
        </is>
      </c>
      <c r="F147" s="2" t="inlineStr">
        <is>
          <t>Researched</t>
        </is>
      </c>
      <c r="G147" s="16" t="inlineStr">
        <is>
          <t>German practice example: €1,000 per referral, €2,000 for hard-to-fill roles (IW Köln/KOFA, https://www.kofa.de/media/Publikationen/Handlungsempfehlungen/Mitarbeiter_werben_Mitarbeiter.pdf).</t>
        </is>
      </c>
    </row>
    <row r="148">
      <c r="A148" s="2" t="inlineStr">
        <is>
          <t>I1A</t>
        </is>
      </c>
      <c r="B148" s="9" t="inlineStr">
        <is>
          <t>I1: downstream adjustment (pass/accept better than average)</t>
        </is>
      </c>
      <c r="C148" s="2" t="inlineStr">
        <is>
          <t>All</t>
        </is>
      </c>
      <c r="D148" s="21" t="n">
        <v>1.15</v>
      </c>
      <c r="E148" s="2" t="inlineStr">
        <is>
          <t>×</t>
        </is>
      </c>
      <c r="F148" s="2" t="inlineStr">
        <is>
          <t>Own estimate</t>
        </is>
      </c>
      <c r="G148" s="9" t="inlineStr">
        <is>
          <t>Already-screened and referred candidates pass and accept more often.</t>
        </is>
      </c>
    </row>
    <row r="149">
      <c r="A149" s="2" t="inlineStr">
        <is>
          <t>I2P</t>
        </is>
      </c>
      <c r="B149" s="9" t="inlineStr">
        <is>
          <t>I2: construction/Handwerk electricians (Elektroniker Energie- und Gebäudetechnik) within 75 km</t>
        </is>
      </c>
      <c r="C149" s="2" t="inlineStr">
        <is>
          <t>Electricians</t>
        </is>
      </c>
      <c r="D149" s="14" t="n">
        <v>10000</v>
      </c>
      <c r="E149" s="2" t="inlineStr">
        <is>
          <t>people</t>
        </is>
      </c>
      <c r="F149" s="2" t="inlineStr">
        <is>
          <t>Researched + Own estimate</t>
        </is>
      </c>
      <c r="G149" s="16" t="inlineStr">
        <is>
          <t>BA employment 31.12.2025, KldB 2621 Bauelektrik: Brandenburg 5,905, Berlin 6,204 (https://statistik.arbeitsagentur.de/Statistikdaten/Detail/202512/iiia6/beschaeftigung-sozbe-bo-heft/bo-heft-12-0-202512-xlsx.xlsx?__blob=publicationFile (Brandenburg; -11- Berlin, -d- Germany)); ~75 km scaling ≈ 9,750. Bauelektrik is itself a shortage occupation (BA Engpassanalyse).</t>
        </is>
      </c>
    </row>
    <row r="150">
      <c r="A150" s="2" t="inlineStr">
        <is>
          <t>I2S</t>
        </is>
      </c>
      <c r="B150" s="9" t="inlineStr">
        <is>
          <t>I2: share who apply over the campaign (reachable × persuaded)</t>
        </is>
      </c>
      <c r="C150" s="2" t="inlineStr">
        <is>
          <t>Electricians</t>
        </is>
      </c>
      <c r="D150" s="22" t="n">
        <v>0.025</v>
      </c>
      <c r="E150" s="2" t="inlineStr">
        <is>
          <t>%</t>
        </is>
      </c>
      <c r="F150" s="2" t="inlineStr">
        <is>
          <t>Own estimate</t>
        </is>
      </c>
      <c r="G150" s="9" t="inlineStr">
        <is>
          <t>~60% reachable on Meta/Google × ~4% respond to a 'from site to factory, winter-proof, shift premium' offer.</t>
        </is>
      </c>
    </row>
    <row r="151">
      <c r="A151" s="2" t="inlineStr">
        <is>
          <t>I2C</t>
        </is>
      </c>
      <c r="B151" s="9" t="inlineStr">
        <is>
          <t>I2: cost per application (Meta/Google + 6-question quiz funnel)</t>
        </is>
      </c>
      <c r="C151" s="2" t="inlineStr">
        <is>
          <t>Electricians</t>
        </is>
      </c>
      <c r="D151" s="17" t="n">
        <v>84</v>
      </c>
      <c r="E151" s="2" t="inlineStr">
        <is>
          <t>€</t>
        </is>
      </c>
      <c r="F151" s="2" t="inlineStr">
        <is>
          <t>Researched</t>
        </is>
      </c>
      <c r="G151" s="16" t="inlineStr">
        <is>
          <t>Social-recruiting cost per application, trades (Handwerk) average €84 (TalentBait, 818 campaigns, vendor data, https://www.talentbait.de/social-media-recruiting).</t>
        </is>
      </c>
    </row>
    <row r="152">
      <c r="A152" s="2" t="inlineStr">
        <is>
          <t>I2Q</t>
        </is>
      </c>
      <c r="B152" s="9" t="inlineStr">
        <is>
          <t>I2: share qualified (only if client accepts EGT + Elektrofachkraft + 2 yrs, with in-house bridge)</t>
        </is>
      </c>
      <c r="C152" s="2" t="inlineStr">
        <is>
          <t>Electricians</t>
        </is>
      </c>
      <c r="D152" s="15" t="n">
        <v>0.15</v>
      </c>
      <c r="E152" s="2" t="inlineStr">
        <is>
          <t>%</t>
        </is>
      </c>
      <c r="F152" s="2" t="inlineStr">
        <is>
          <t>Own estimate</t>
        </is>
      </c>
      <c r="G152" s="9" t="inlineStr">
        <is>
          <t>If the client does NOT accept this profile, the initiative is dropped (Q≈0).</t>
        </is>
      </c>
    </row>
    <row r="153">
      <c r="A153" s="2" t="inlineStr">
        <is>
          <t>I2A</t>
        </is>
      </c>
      <c r="B153" s="9" t="inlineStr">
        <is>
          <t>I2: downstream adjustment (industrial skills gap)</t>
        </is>
      </c>
      <c r="C153" s="2" t="inlineStr">
        <is>
          <t>Electricians</t>
        </is>
      </c>
      <c r="D153" s="21" t="n">
        <v>0.8</v>
      </c>
      <c r="E153" s="2" t="inlineStr">
        <is>
          <t>×</t>
        </is>
      </c>
      <c r="F153" s="2" t="inlineStr">
        <is>
          <t>Own estimate</t>
        </is>
      </c>
      <c r="G153" s="9" t="inlineStr">
        <is>
          <t>More fail the plant-automation part of the assessment.</t>
        </is>
      </c>
    </row>
    <row r="154">
      <c r="A154" s="2" t="inlineStr">
        <is>
          <t>I2F</t>
        </is>
      </c>
      <c r="B154" s="9" t="inlineStr">
        <is>
          <t>I2: fixed set-up cost (German copywriter + quiz-funnel tool, 3 months)</t>
        </is>
      </c>
      <c r="C154" s="2" t="inlineStr">
        <is>
          <t>Electricians</t>
        </is>
      </c>
      <c r="D154" s="17" t="n">
        <v>1200</v>
      </c>
      <c r="E154" s="2" t="inlineStr">
        <is>
          <t>€</t>
        </is>
      </c>
      <c r="F154" s="2" t="inlineStr">
        <is>
          <t>Own estimate</t>
        </is>
      </c>
      <c r="G154" s="9" t="inlineStr">
        <is>
          <t>Freelance DE copywriter ~€700 + funnel tool ~€500.</t>
        </is>
      </c>
    </row>
    <row r="155">
      <c r="A155" s="2" t="inlineStr">
        <is>
          <t>I3C</t>
        </is>
      </c>
      <c r="B155" s="9" t="inlineStr">
        <is>
          <t>I3: blended cost per application, Pracuj.pl + OLX Praca + Polish-geo Meta</t>
        </is>
      </c>
      <c r="C155" s="2" t="inlineStr">
        <is>
          <t>Mechatronics</t>
        </is>
      </c>
      <c r="D155" s="17" t="n">
        <v>14</v>
      </c>
      <c r="E155" s="2" t="inlineStr">
        <is>
          <t>€</t>
        </is>
      </c>
      <c r="F155" s="2" t="inlineStr">
        <is>
          <t>Researched + Own estimate</t>
        </is>
      </c>
      <c r="G155" s="16" t="inlineStr">
        <is>
          <t>Pracuj.pl 30-day ad 1,499 PLN net ≈ €350 (official package page, https://dlafirm.pracuj.pl/cennik-uslug/pakiety-ogloszen) ÷ ~25 applications per ad (own estimate; no published figure) = €14.</t>
        </is>
      </c>
    </row>
    <row r="156">
      <c r="A156" s="2" t="inlineStr">
        <is>
          <t>I3Q</t>
        </is>
      </c>
      <c r="B156" s="9" t="inlineStr">
        <is>
          <t>I3: share qualified after Polish-language pre-screen call</t>
        </is>
      </c>
      <c r="C156" s="2" t="inlineStr">
        <is>
          <t>Mechatronics</t>
        </is>
      </c>
      <c r="D156" s="15" t="n">
        <v>0.22</v>
      </c>
      <c r="E156" s="2" t="inlineStr">
        <is>
          <t>%</t>
        </is>
      </c>
      <c r="F156" s="2" t="inlineStr">
        <is>
          <t>Own estimate</t>
        </is>
      </c>
      <c r="G156" s="9" t="inlineStr">
        <is>
          <t>Trade is common; German/English and shift acceptance are the filters the pre-screener checks.</t>
        </is>
      </c>
    </row>
    <row r="157">
      <c r="A157" s="2" t="inlineStr">
        <is>
          <t>I3X</t>
        </is>
      </c>
      <c r="B157" s="9" t="inlineStr">
        <is>
          <t>I3: max applications over campaign</t>
        </is>
      </c>
      <c r="C157" s="2" t="inlineStr">
        <is>
          <t>Mechatronics</t>
        </is>
      </c>
      <c r="D157" s="14" t="n">
        <v>450</v>
      </c>
      <c r="E157" s="2" t="inlineStr">
        <is>
          <t>apps</t>
        </is>
      </c>
      <c r="F157" s="2" t="inlineStr">
        <is>
          <t>Own estimate</t>
        </is>
      </c>
      <c r="G157" s="9" t="inlineStr">
        <is>
          <t>Border towns Słubice/Kostrzyn/Gorzów/Zielona Góra/Szczecin area, 60–130 km.</t>
        </is>
      </c>
    </row>
    <row r="158">
      <c r="A158" s="2" t="inlineStr">
        <is>
          <t>I3A</t>
        </is>
      </c>
      <c r="B158" s="9" t="inlineStr">
        <is>
          <t>I3: downstream adjustment (pre-screened)</t>
        </is>
      </c>
      <c r="C158" s="2" t="inlineStr">
        <is>
          <t>Mechatronics</t>
        </is>
      </c>
      <c r="D158" s="21" t="n">
        <v>1.1</v>
      </c>
      <c r="E158" s="2" t="inlineStr">
        <is>
          <t>×</t>
        </is>
      </c>
      <c r="F158" s="2" t="inlineStr">
        <is>
          <t>Own estimate</t>
        </is>
      </c>
      <c r="G158" s="9" t="inlineStr">
        <is>
          <t>Candidates arrive pre-screened in their own language → higher pass rate.</t>
        </is>
      </c>
    </row>
    <row r="159">
      <c r="A159" s="2" t="inlineStr">
        <is>
          <t>I3H</t>
        </is>
      </c>
      <c r="B159" s="9" t="inlineStr">
        <is>
          <t>I3: pre-screen call time per Polish applicant</t>
        </is>
      </c>
      <c r="C159" s="2" t="inlineStr">
        <is>
          <t>Mechatronics</t>
        </is>
      </c>
      <c r="D159" s="14" t="n">
        <v>15</v>
      </c>
      <c r="E159" s="2" t="inlineStr">
        <is>
          <t>minutes</t>
        </is>
      </c>
      <c r="F159" s="2" t="inlineStr">
        <is>
          <t>Own estimate</t>
        </is>
      </c>
      <c r="G159" s="9" t="inlineStr">
        <is>
          <t>Short structured call: trade certificate, German/English level, shifts, commute. Freelancer is paid hourly, so the cost scales with applications.</t>
        </is>
      </c>
    </row>
    <row r="160">
      <c r="A160" s="2" t="inlineStr">
        <is>
          <t>I3W</t>
        </is>
      </c>
      <c r="B160" s="9" t="inlineStr">
        <is>
          <t>I3: pre-screener hourly rate</t>
        </is>
      </c>
      <c r="C160" s="2" t="inlineStr">
        <is>
          <t>Mechatronics</t>
        </is>
      </c>
      <c r="D160" s="17" t="n">
        <v>25</v>
      </c>
      <c r="E160" s="2" t="inlineStr">
        <is>
          <t>€</t>
        </is>
      </c>
      <c r="F160" s="2" t="inlineStr">
        <is>
          <t>Researched + Own estimate</t>
        </is>
      </c>
      <c r="G160" s="16" t="inlineStr">
        <is>
          <t>Hays Poland salary report 2025: recruitment specialist 8,500 PLN gross/month median (https://wab.edu.pl/wp-content/uploads/2025/01/Raport-placowy-2025-HAYS.pdf) ≈ €12/h employed; ×2 freelance markup ≈ €25/h (own mapping).</t>
        </is>
      </c>
    </row>
    <row r="161">
      <c r="A161" s="2" t="inlineStr">
        <is>
          <t>I3T</t>
        </is>
      </c>
      <c r="B161" s="9" t="inlineStr">
        <is>
          <t>I3: Polish translation of job ads + landing page</t>
        </is>
      </c>
      <c r="C161" s="2" t="inlineStr">
        <is>
          <t>Mechatronics</t>
        </is>
      </c>
      <c r="D161" s="17" t="n">
        <v>400</v>
      </c>
      <c r="E161" s="2" t="inlineStr">
        <is>
          <t>€</t>
        </is>
      </c>
      <c r="F161" s="2" t="inlineStr">
        <is>
          <t>Researched + Own estimate</t>
        </is>
      </c>
      <c r="G161" s="16" t="inlineStr">
        <is>
          <t>German statutory translator fee: €1.95 per started 55 characters (§11 JVEG, https://www.buzer.de/11_JVEG.htm); ~6,000 characters × 2 languages ≈ €430.</t>
        </is>
      </c>
    </row>
    <row r="162"/>
  </sheetData>
  <dataValidations count="5">
    <dataValidation sqref="D10 D29 D30 D31 D32 D33 D34 D35 D36 D37 D38 D39 D40 D41 D42 D43 D44 D50 D52 D53 D54 D55 D56 D57 D58 D59 D60 D61 D62 D63 D64 D65 D66 D74 D75 D76 D77 D92 D93 D95 D97 D98 D99 D100 D103 D104 D105 D106 D139 D140 D145 D150 D152 D156 G112 G113 G114 G115 G116 G117 G118 G119 G120 G121 G122 G123 G124 G125 G126 G127 G128 G129 G130 G131" showDropDown="0" showInputMessage="0" showErrorMessage="1" allowBlank="0" errorTitle="Out of range" error="Enter a share between 0% and 100%." type="decimal" operator="between">
      <formula1>0</formula1>
      <formula2>1</formula2>
    </dataValidation>
    <dataValidation sqref="D48" showDropDown="0" showInputMessage="0" showErrorMessage="1" allowBlank="0" errorTitle="Out of range" error="Reserve must be between 0% and 99%." type="decimal" operator="between">
      <formula1>0</formula1>
      <formula2>0.99</formula2>
    </dataValidation>
    <dataValidation sqref="D9 D11 D12 D13 D14 D15 D49 D51 D70 D71 D72 D73 D78 D79 D80 D81 D85 D86 D87 D88 D89 D90 D91 D94 D96 D101 D102 D107 D108 D135 D136 D137 D138 D141 D142 D143 D144 D146 D147 D148 D149 D151 D153 D154 D155 D157 D158 D159 D160 D161 E112 E113 E114 E115 E116 E117 E118 E119 E120 E121 E122 E123 E124 E125 E126 E127 E128 E129 E130 E131 F112 F113 F114 F115 F116 F117 F118 F119 F120 F121 F122 F123 F124 F125 F126 F127 F128 F129 F130 F131 H112 H113 H114 H115 H116 H117 H118 H119 H120 H121 H122 H123 H124 H125 H126 H127 H128 H129 H130 H131 I112 I113 I114 I115 I116 I117 I118 I119 I120 I121 I122 I123 I124 I125 I126 I127 I128 I129 I130 I131 J112 J113 J114 J115 J116 J117 J118 J119 J120 J121 J122 J123 J124 J125 J126 J127 J128 J129 J130 J131" showDropDown="0" showInputMessage="0" showErrorMessage="1" allowBlank="0" errorTitle="Out of range" error="Enter a number ≥ 0." type="decimal" operator="greaterThanOrEqual">
      <formula1>0</formula1>
    </dataValidation>
    <dataValidation sqref="D20" showDropDown="0" showInputMessage="0" showErrorMessage="1" allowBlank="0" errorTitle="Out of range" error="Enter a date inside the campaign (20 Oct – 31 Dec 2026)." type="date" operator="between">
      <formula1>DATE(2026,10,20)</formula1>
      <formula2>DATE(2026,12,31)</formula2>
    </dataValidation>
    <dataValidation sqref="D19 D21 D22 D23 D24 D25" showDropDown="0" showInputMessage="0" showErrorMessage="1" allowBlank="0" errorTitle="Whole days" error="Enter a whole number of days (0 or more)." type="whole" operator="greaterThanOrEqual">
      <formula1>0</formula1>
    </dataValidation>
  </dataValidations>
  <hyperlinks>
    <hyperlink xmlns:r="http://schemas.openxmlformats.org/officeDocument/2006/relationships" ref="G15" r:id="rId1"/>
    <hyperlink xmlns:r="http://schemas.openxmlformats.org/officeDocument/2006/relationships" ref="G21" r:id="rId2"/>
    <hyperlink xmlns:r="http://schemas.openxmlformats.org/officeDocument/2006/relationships" ref="G22"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41" r:id="rId12"/>
    <hyperlink xmlns:r="http://schemas.openxmlformats.org/officeDocument/2006/relationships" ref="G42" r:id="rId13"/>
    <hyperlink xmlns:r="http://schemas.openxmlformats.org/officeDocument/2006/relationships" ref="G43" r:id="rId14"/>
    <hyperlink xmlns:r="http://schemas.openxmlformats.org/officeDocument/2006/relationships" ref="G44" r:id="rId15"/>
    <hyperlink xmlns:r="http://schemas.openxmlformats.org/officeDocument/2006/relationships" ref="G70" r:id="rId16"/>
    <hyperlink xmlns:r="http://schemas.openxmlformats.org/officeDocument/2006/relationships" ref="G71" r:id="rId17"/>
    <hyperlink xmlns:r="http://schemas.openxmlformats.org/officeDocument/2006/relationships" ref="G72" r:id="rId18"/>
    <hyperlink xmlns:r="http://schemas.openxmlformats.org/officeDocument/2006/relationships" ref="G73" r:id="rId19"/>
    <hyperlink xmlns:r="http://schemas.openxmlformats.org/officeDocument/2006/relationships" ref="G74" r:id="rId20"/>
    <hyperlink xmlns:r="http://schemas.openxmlformats.org/officeDocument/2006/relationships" ref="G75" r:id="rId21"/>
    <hyperlink xmlns:r="http://schemas.openxmlformats.org/officeDocument/2006/relationships" ref="G76" r:id="rId22"/>
    <hyperlink xmlns:r="http://schemas.openxmlformats.org/officeDocument/2006/relationships" ref="G77" r:id="rId23"/>
    <hyperlink xmlns:r="http://schemas.openxmlformats.org/officeDocument/2006/relationships" ref="G78" r:id="rId24"/>
    <hyperlink xmlns:r="http://schemas.openxmlformats.org/officeDocument/2006/relationships" ref="G79" r:id="rId25"/>
    <hyperlink xmlns:r="http://schemas.openxmlformats.org/officeDocument/2006/relationships" ref="G80" r:id="rId26"/>
    <hyperlink xmlns:r="http://schemas.openxmlformats.org/officeDocument/2006/relationships" ref="G81" r:id="rId27"/>
    <hyperlink xmlns:r="http://schemas.openxmlformats.org/officeDocument/2006/relationships" ref="L112" r:id="rId28"/>
    <hyperlink xmlns:r="http://schemas.openxmlformats.org/officeDocument/2006/relationships" ref="L113" r:id="rId29"/>
    <hyperlink xmlns:r="http://schemas.openxmlformats.org/officeDocument/2006/relationships" ref="L114" r:id="rId30"/>
    <hyperlink xmlns:r="http://schemas.openxmlformats.org/officeDocument/2006/relationships" ref="L115" r:id="rId31"/>
    <hyperlink xmlns:r="http://schemas.openxmlformats.org/officeDocument/2006/relationships" ref="L116" r:id="rId32"/>
    <hyperlink xmlns:r="http://schemas.openxmlformats.org/officeDocument/2006/relationships" ref="L117" r:id="rId33"/>
    <hyperlink xmlns:r="http://schemas.openxmlformats.org/officeDocument/2006/relationships" ref="L118" r:id="rId34"/>
    <hyperlink xmlns:r="http://schemas.openxmlformats.org/officeDocument/2006/relationships" ref="L119" r:id="rId35"/>
    <hyperlink xmlns:r="http://schemas.openxmlformats.org/officeDocument/2006/relationships" ref="L120" r:id="rId36"/>
    <hyperlink xmlns:r="http://schemas.openxmlformats.org/officeDocument/2006/relationships" ref="L121" r:id="rId37"/>
    <hyperlink xmlns:r="http://schemas.openxmlformats.org/officeDocument/2006/relationships" ref="L122" r:id="rId38"/>
    <hyperlink xmlns:r="http://schemas.openxmlformats.org/officeDocument/2006/relationships" ref="L123" r:id="rId39"/>
    <hyperlink xmlns:r="http://schemas.openxmlformats.org/officeDocument/2006/relationships" ref="L124" r:id="rId40"/>
    <hyperlink xmlns:r="http://schemas.openxmlformats.org/officeDocument/2006/relationships" ref="L125" r:id="rId41"/>
    <hyperlink xmlns:r="http://schemas.openxmlformats.org/officeDocument/2006/relationships" ref="L126" r:id="rId42"/>
    <hyperlink xmlns:r="http://schemas.openxmlformats.org/officeDocument/2006/relationships" ref="L127" r:id="rId43"/>
    <hyperlink xmlns:r="http://schemas.openxmlformats.org/officeDocument/2006/relationships" ref="L128" r:id="rId44"/>
    <hyperlink xmlns:r="http://schemas.openxmlformats.org/officeDocument/2006/relationships" ref="L129" r:id="rId45"/>
    <hyperlink xmlns:r="http://schemas.openxmlformats.org/officeDocument/2006/relationships" ref="L130" r:id="rId46"/>
    <hyperlink xmlns:r="http://schemas.openxmlformats.org/officeDocument/2006/relationships" ref="L131" r:id="rId47"/>
    <hyperlink xmlns:r="http://schemas.openxmlformats.org/officeDocument/2006/relationships" ref="G135" r:id="rId48"/>
    <hyperlink xmlns:r="http://schemas.openxmlformats.org/officeDocument/2006/relationships" ref="G136" r:id="rId49"/>
    <hyperlink xmlns:r="http://schemas.openxmlformats.org/officeDocument/2006/relationships" ref="G137" r:id="rId50"/>
    <hyperlink xmlns:r="http://schemas.openxmlformats.org/officeDocument/2006/relationships" ref="G138" r:id="rId51"/>
    <hyperlink xmlns:r="http://schemas.openxmlformats.org/officeDocument/2006/relationships" ref="G139" r:id="rId52"/>
    <hyperlink xmlns:r="http://schemas.openxmlformats.org/officeDocument/2006/relationships" ref="G140" r:id="rId53"/>
    <hyperlink xmlns:r="http://schemas.openxmlformats.org/officeDocument/2006/relationships" ref="G145" r:id="rId54"/>
    <hyperlink xmlns:r="http://schemas.openxmlformats.org/officeDocument/2006/relationships" ref="G146" r:id="rId55"/>
    <hyperlink xmlns:r="http://schemas.openxmlformats.org/officeDocument/2006/relationships" ref="G147" r:id="rId56"/>
    <hyperlink xmlns:r="http://schemas.openxmlformats.org/officeDocument/2006/relationships" ref="G149" r:id="rId57"/>
    <hyperlink xmlns:r="http://schemas.openxmlformats.org/officeDocument/2006/relationships" ref="G151" r:id="rId58"/>
    <hyperlink xmlns:r="http://schemas.openxmlformats.org/officeDocument/2006/relationships" ref="G155" r:id="rId59"/>
    <hyperlink xmlns:r="http://schemas.openxmlformats.org/officeDocument/2006/relationships" ref="G160" r:id="rId60"/>
    <hyperlink xmlns:r="http://schemas.openxmlformats.org/officeDocument/2006/relationships" ref="G161" r:id="rId61"/>
  </hyperlinks>
  <pageMargins left="0.75" right="0.75" top="1" bottom="1" header="0.5" footer="0.5"/>
</worksheet>
</file>

<file path=xl/worksheets/sheet3.xml><?xml version="1.0" encoding="utf-8"?>
<worksheet xmlns="http://schemas.openxmlformats.org/spreadsheetml/2006/main">
  <sheetPr>
    <tabColor rgb="008EA9DB"/>
    <outlinePr summaryBelow="1" summaryRight="1"/>
    <pageSetUpPr/>
  </sheetPr>
  <dimension ref="A1:P64"/>
  <sheetViews>
    <sheetView showGridLines="0"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8" customWidth="1" min="7" max="7"/>
    <col width="60" customWidth="1" min="8" max="8"/>
    <col width="18" customWidth="1" min="9" max="9"/>
    <col width="18" customWidth="1" min="10" max="10"/>
    <col width="18"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Part 1 — Funnel by role (work back from openings)</t>
        </is>
      </c>
    </row>
    <row r="2">
      <c r="A2" s="2" t="inlineStr">
        <is>
          <t>All rates come from Assumptions. 'Qualified' = right trade qualification + English or German + accepts shifts (brief).</t>
        </is>
      </c>
    </row>
    <row r="3"/>
    <row r="4" ht="48" customHeight="1">
      <c r="A4" s="12" t="inlineStr">
        <is>
          <t>Role</t>
        </is>
      </c>
      <c r="B4" s="12" t="inlineStr">
        <is>
          <t>Openings</t>
        </is>
      </c>
      <c r="C4" s="12" t="inlineStr">
        <is>
          <t>App → qualified</t>
        </is>
      </c>
      <c r="D4" s="12" t="inlineStr">
        <is>
          <t>Qualified → passed</t>
        </is>
      </c>
      <c r="E4" s="12" t="inlineStr">
        <is>
          <t>Passed → offer</t>
        </is>
      </c>
      <c r="F4" s="12" t="inlineStr">
        <is>
          <t>Offer → signed</t>
        </is>
      </c>
      <c r="G4" s="12" t="inlineStr">
        <is>
          <t>Qualified → signed</t>
        </is>
      </c>
      <c r="H4" s="12" t="inlineStr">
        <is>
          <t>App → signed</t>
        </is>
      </c>
      <c r="I4" s="12" t="inlineStr">
        <is>
          <t>Offers needed</t>
        </is>
      </c>
      <c r="J4" s="12" t="inlineStr">
        <is>
          <t>Passed needed</t>
        </is>
      </c>
      <c r="K4" s="12" t="inlineStr">
        <is>
          <t>Qualified needed</t>
        </is>
      </c>
      <c r="L4" s="12" t="inlineStr">
        <is>
          <t>Applications needed (baseline Q)</t>
        </is>
      </c>
      <c r="M4" s="12" t="inlineStr">
        <is>
          <t>Applications in plan (channel mix)</t>
        </is>
      </c>
      <c r="N4" s="12" t="inlineStr">
        <is>
          <t>Blended Q in plan</t>
        </is>
      </c>
      <c r="O4" s="12" t="inlineStr">
        <is>
          <t>Qualified in plan</t>
        </is>
      </c>
      <c r="P4" s="12" t="inlineStr">
        <is>
          <t>Share of assessment slots</t>
        </is>
      </c>
    </row>
    <row r="5">
      <c r="A5" s="23" t="inlineStr">
        <is>
          <t>Electricians</t>
        </is>
      </c>
      <c r="B5" s="24">
        <f>Assumptions!$D$11</f>
        <v/>
      </c>
      <c r="C5" s="25">
        <f>Assumptions!$D$29</f>
        <v/>
      </c>
      <c r="D5" s="25">
        <f>Assumptions!$D$33</f>
        <v/>
      </c>
      <c r="E5" s="25">
        <f>Assumptions!$D$37</f>
        <v/>
      </c>
      <c r="F5" s="25">
        <f>Assumptions!$D$41</f>
        <v/>
      </c>
      <c r="G5" s="26">
        <f>D5*E5*F5</f>
        <v/>
      </c>
      <c r="H5" s="26">
        <f>C5*G5</f>
        <v/>
      </c>
      <c r="I5" s="27">
        <f>IF(F5&gt;0,B5/F5,0)</f>
        <v/>
      </c>
      <c r="J5" s="27">
        <f>IF(E5&gt;0,I5/E5,0)</f>
        <v/>
      </c>
      <c r="K5" s="27">
        <f>IF(D5&gt;0,J5/D5,0)</f>
        <v/>
      </c>
      <c r="L5" s="24">
        <f>IF(C5&gt;0,K5/C5,0)</f>
        <v/>
      </c>
      <c r="M5" s="24">
        <f>SUMIFS(Channels!$W:$W,Channels!$C:$C,A5)</f>
        <v/>
      </c>
      <c r="N5" s="26">
        <f>IF(M5&gt;0,O5/M5,0)</f>
        <v/>
      </c>
      <c r="O5" s="27">
        <f>SUMIFS(Channels!$V:$V,Channels!$C:$C,A5)</f>
        <v/>
      </c>
      <c r="P5" s="26">
        <f>IF($B$22&gt;0,O5/$B$22,0)</f>
        <v/>
      </c>
    </row>
    <row r="6">
      <c r="A6" s="23" t="inlineStr">
        <is>
          <t>Mechatronics</t>
        </is>
      </c>
      <c r="B6" s="24">
        <f>Assumptions!$D$12</f>
        <v/>
      </c>
      <c r="C6" s="25">
        <f>Assumptions!$D$30</f>
        <v/>
      </c>
      <c r="D6" s="25">
        <f>Assumptions!$D$34</f>
        <v/>
      </c>
      <c r="E6" s="25">
        <f>Assumptions!$D$38</f>
        <v/>
      </c>
      <c r="F6" s="25">
        <f>Assumptions!$D$42</f>
        <v/>
      </c>
      <c r="G6" s="26">
        <f>D6*E6*F6</f>
        <v/>
      </c>
      <c r="H6" s="26">
        <f>C6*G6</f>
        <v/>
      </c>
      <c r="I6" s="27">
        <f>IF(F6&gt;0,B6/F6,0)</f>
        <v/>
      </c>
      <c r="J6" s="27">
        <f>IF(E6&gt;0,I6/E6,0)</f>
        <v/>
      </c>
      <c r="K6" s="27">
        <f>IF(D6&gt;0,J6/D6,0)</f>
        <v/>
      </c>
      <c r="L6" s="24">
        <f>IF(C6&gt;0,K6/C6,0)</f>
        <v/>
      </c>
      <c r="M6" s="24">
        <f>SUMIFS(Channels!$W:$W,Channels!$C:$C,A6)</f>
        <v/>
      </c>
      <c r="N6" s="26">
        <f>IF(M6&gt;0,O6/M6,0)</f>
        <v/>
      </c>
      <c r="O6" s="27">
        <f>SUMIFS(Channels!$V:$V,Channels!$C:$C,A6)</f>
        <v/>
      </c>
      <c r="P6" s="26">
        <f>IF($B$22&gt;0,O6/$B$22,0)</f>
        <v/>
      </c>
    </row>
    <row r="7">
      <c r="A7" s="23" t="inlineStr">
        <is>
          <t>Automation</t>
        </is>
      </c>
      <c r="B7" s="24">
        <f>Assumptions!$D$13</f>
        <v/>
      </c>
      <c r="C7" s="25">
        <f>Assumptions!$D$31</f>
        <v/>
      </c>
      <c r="D7" s="25">
        <f>Assumptions!$D$35</f>
        <v/>
      </c>
      <c r="E7" s="25">
        <f>Assumptions!$D$39</f>
        <v/>
      </c>
      <c r="F7" s="25">
        <f>Assumptions!$D$43</f>
        <v/>
      </c>
      <c r="G7" s="26">
        <f>D7*E7*F7</f>
        <v/>
      </c>
      <c r="H7" s="26">
        <f>C7*G7</f>
        <v/>
      </c>
      <c r="I7" s="27">
        <f>IF(F7&gt;0,B7/F7,0)</f>
        <v/>
      </c>
      <c r="J7" s="27">
        <f>IF(E7&gt;0,I7/E7,0)</f>
        <v/>
      </c>
      <c r="K7" s="27">
        <f>IF(D7&gt;0,J7/D7,0)</f>
        <v/>
      </c>
      <c r="L7" s="24">
        <f>IF(C7&gt;0,K7/C7,0)</f>
        <v/>
      </c>
      <c r="M7" s="24">
        <f>SUMIFS(Channels!$W:$W,Channels!$C:$C,A7)</f>
        <v/>
      </c>
      <c r="N7" s="26">
        <f>IF(M7&gt;0,O7/M7,0)</f>
        <v/>
      </c>
      <c r="O7" s="27">
        <f>SUMIFS(Channels!$V:$V,Channels!$C:$C,A7)</f>
        <v/>
      </c>
      <c r="P7" s="26">
        <f>IF($B$22&gt;0,O7/$B$22,0)</f>
        <v/>
      </c>
    </row>
    <row r="8">
      <c r="A8" s="23" t="inlineStr">
        <is>
          <t>Supervisors</t>
        </is>
      </c>
      <c r="B8" s="24">
        <f>Assumptions!$D$14</f>
        <v/>
      </c>
      <c r="C8" s="25">
        <f>Assumptions!$D$32</f>
        <v/>
      </c>
      <c r="D8" s="25">
        <f>Assumptions!$D$36</f>
        <v/>
      </c>
      <c r="E8" s="25">
        <f>Assumptions!$D$40</f>
        <v/>
      </c>
      <c r="F8" s="25">
        <f>Assumptions!$D$44</f>
        <v/>
      </c>
      <c r="G8" s="26">
        <f>D8*E8*F8</f>
        <v/>
      </c>
      <c r="H8" s="26">
        <f>C8*G8</f>
        <v/>
      </c>
      <c r="I8" s="27">
        <f>IF(F8&gt;0,B8/F8,0)</f>
        <v/>
      </c>
      <c r="J8" s="27">
        <f>IF(E8&gt;0,I8/E8,0)</f>
        <v/>
      </c>
      <c r="K8" s="27">
        <f>IF(D8&gt;0,J8/D8,0)</f>
        <v/>
      </c>
      <c r="L8" s="24">
        <f>IF(C8&gt;0,K8/C8,0)</f>
        <v/>
      </c>
      <c r="M8" s="24">
        <f>SUMIFS(Channels!$W:$W,Channels!$C:$C,A8)</f>
        <v/>
      </c>
      <c r="N8" s="26">
        <f>IF(M8&gt;0,O8/M8,0)</f>
        <v/>
      </c>
      <c r="O8" s="27">
        <f>SUMIFS(Channels!$V:$V,Channels!$C:$C,A8)</f>
        <v/>
      </c>
      <c r="P8" s="26">
        <f>IF($B$22&gt;0,O8/$B$22,0)</f>
        <v/>
      </c>
    </row>
    <row r="9">
      <c r="A9" s="23" t="inlineStr">
        <is>
          <t>Total</t>
        </is>
      </c>
      <c r="B9" s="28">
        <f>SUM(B5:B8)</f>
        <v/>
      </c>
      <c r="G9" s="29">
        <f>IF(K9&gt;0,B9/K9,0)</f>
        <v/>
      </c>
      <c r="I9" s="30">
        <f>SUM(I5:I8)</f>
        <v/>
      </c>
      <c r="J9" s="30">
        <f>SUM(J5:J8)</f>
        <v/>
      </c>
      <c r="K9" s="30">
        <f>SUM(K5:K8)</f>
        <v/>
      </c>
      <c r="L9" s="28">
        <f>SUM(L5:L8)</f>
        <v/>
      </c>
      <c r="M9" s="28">
        <f>SUM(M5:M8)</f>
        <v/>
      </c>
      <c r="N9" s="29">
        <f>IF(M9&gt;0,O9/M9,0)</f>
        <v/>
      </c>
      <c r="O9" s="30">
        <f>SUM(O5:O8)</f>
        <v/>
      </c>
      <c r="P9" s="29">
        <f>IF($B$22&gt;0,O9/$B$22,0)</f>
        <v/>
      </c>
    </row>
    <row r="10">
      <c r="A10" s="2" t="inlineStr">
        <is>
          <t>Qualified needed (col K) uses role averages; 'Qualified in plan' (col O) reflects the actual channel mix incl. better/worse downstream conversion of initiatives. Capacity is checked on col O.</t>
        </is>
      </c>
    </row>
    <row r="11"/>
    <row r="12">
      <c r="A12" s="23" t="inlineStr">
        <is>
          <t>Timeline and recruiter capacity (Part 1.3)</t>
        </is>
      </c>
    </row>
    <row r="13">
      <c r="A13" s="2" t="inlineStr">
        <is>
          <t>First assessment date</t>
        </is>
      </c>
      <c r="B13" s="31">
        <f>Assumptions!$D$7+Assumptions!$D$19</f>
        <v/>
      </c>
    </row>
    <row r="14">
      <c r="A14" s="2" t="inlineStr">
        <is>
          <t>Last signing date</t>
        </is>
      </c>
      <c r="B14" s="31">
        <f>Assumptions!$D$20</f>
        <v/>
      </c>
    </row>
    <row r="15">
      <c r="A15" s="2" t="inlineStr">
        <is>
          <t>Days assessment → signed (E/M/A)</t>
        </is>
      </c>
      <c r="B15" s="24">
        <f>Assumptions!$D$22+Assumptions!$D$23+Assumptions!$D$24</f>
        <v/>
      </c>
    </row>
    <row r="16">
      <c r="A16" s="2" t="inlineStr">
        <is>
          <t>Days assessment → signed (Supervisors)</t>
        </is>
      </c>
      <c r="B16" s="24">
        <f>B15+Assumptions!$D$25</f>
        <v/>
      </c>
    </row>
    <row r="17">
      <c r="A17" s="2" t="inlineStr">
        <is>
          <t>Last assessment date (E/M/A)</t>
        </is>
      </c>
      <c r="B17" s="31">
        <f>B14-B15</f>
        <v/>
      </c>
    </row>
    <row r="18">
      <c r="A18" s="2" t="inlineStr">
        <is>
          <t>Last assessment date (Supervisors)</t>
        </is>
      </c>
      <c r="B18" s="31">
        <f>B14-B16</f>
        <v/>
      </c>
    </row>
    <row r="19">
      <c r="A19" s="2" t="inlineStr">
        <is>
          <t>Last useful application date (E/M/A)</t>
        </is>
      </c>
      <c r="B19" s="32">
        <f>B17-Assumptions!$D$21</f>
        <v/>
      </c>
    </row>
    <row r="20">
      <c r="A20" s="2" t="inlineStr">
        <is>
          <t>Last useful application date (Supervisors)</t>
        </is>
      </c>
      <c r="B20" s="31">
        <f>B18-Assumptions!$D$21</f>
        <v/>
      </c>
    </row>
    <row r="21">
      <c r="A21" s="2" t="inlineStr">
        <is>
          <t>Assessment window (days, E/M/A)</t>
        </is>
      </c>
      <c r="B21" s="24">
        <f>MAX(0,B17-B13+1)</f>
        <v/>
      </c>
    </row>
    <row r="22">
      <c r="A22" s="2" t="inlineStr">
        <is>
          <t>Assessment slots available (capacity × weeks)</t>
        </is>
      </c>
      <c r="B22" s="33">
        <f>Assumptions!$D$9*B21/7</f>
        <v/>
      </c>
    </row>
    <row r="23">
      <c r="A23" s="2" t="inlineStr">
        <is>
          <t>Qualified applicants in plan</t>
        </is>
      </c>
      <c r="B23" s="24">
        <f>O9</f>
        <v/>
      </c>
    </row>
    <row r="24">
      <c r="A24" s="2" t="inlineStr">
        <is>
          <t>Slot utilisation</t>
        </is>
      </c>
      <c r="B24" s="34">
        <f>IF(B22&gt;0,B23/B22,IF(B23&gt;0,9.99,0))</f>
        <v/>
      </c>
      <c r="C24" s="23">
        <f>IF(B24&gt;1,"OVER CAPACITY – plan cannot be assessed",IF(B24&gt;Assumptions!$D$105,"Tight: little headroom","OK"))</f>
        <v/>
      </c>
    </row>
    <row r="25">
      <c r="A25" s="2" t="inlineStr">
        <is>
          <t>Hires per qualified applicant (plan mix)</t>
        </is>
      </c>
      <c r="B25" s="26">
        <f>IF(O9&gt;0,Channels!U35/O9,0)</f>
        <v/>
      </c>
    </row>
    <row r="26">
      <c r="A26" s="2" t="inlineStr">
        <is>
          <t>Max hires the 55/week limit allows before 31 Dec</t>
        </is>
      </c>
      <c r="B26" s="33">
        <f>B22*B25</f>
        <v/>
      </c>
      <c r="C26" s="2" t="inlineStr">
        <is>
          <t>If every slot is filled at the plan's conversion; above 100 = headroom.</t>
        </is>
      </c>
    </row>
    <row r="27"/>
    <row r="28">
      <c r="A28" s="23" t="inlineStr">
        <is>
          <t>Which role is hardest to fill? (Part 1.3)</t>
        </is>
      </c>
    </row>
    <row r="29" ht="60" customHeight="1">
      <c r="A29" s="12" t="inlineStr">
        <is>
          <t>Role</t>
        </is>
      </c>
      <c r="B29" s="12" t="inlineStr">
        <is>
          <t>Openings</t>
        </is>
      </c>
      <c r="C29" s="12" t="inlineStr">
        <is>
          <t>Qualified needed (plan)</t>
        </is>
      </c>
      <c r="D29" s="12" t="inlineStr">
        <is>
          <t>Hire capacity of all channels at plan rates</t>
        </is>
      </c>
      <c r="E29" s="12" t="inlineStr">
        <is>
          <t>Coverage (capacity ÷ openings)</t>
        </is>
      </c>
      <c r="F29" s="12" t="inlineStr">
        <is>
          <t>Reachable qualified pool (pool check below)</t>
        </is>
      </c>
      <c r="G29" s="12" t="inlineStr">
        <is>
          <t>Qualified needed ÷ reachable pool (excl. I2, pool check below)</t>
        </is>
      </c>
      <c r="H29" s="12" t="inlineStr">
        <is>
          <t>Highest cost per hire we must buy (beyond tests)</t>
        </is>
      </c>
      <c r="I29" s="12" t="inlineStr">
        <is>
          <t>Polish route allowed?</t>
        </is>
      </c>
      <c r="J29" s="12" t="inlineStr">
        <is>
          <t>Foreign-trained route by 31 Dec?</t>
        </is>
      </c>
      <c r="K29" s="12" t="inlineStr">
        <is>
          <t>Coverage without the unproven I2 initiative</t>
        </is>
      </c>
      <c r="L29" s="12" t="inlineStr">
        <is>
          <t>Ranking helper (roles with openings)</t>
        </is>
      </c>
    </row>
    <row r="30">
      <c r="A30" s="23" t="inlineStr">
        <is>
          <t>Electricians</t>
        </is>
      </c>
      <c r="B30" s="24">
        <f>B5</f>
        <v/>
      </c>
      <c r="C30" s="27">
        <f>O5</f>
        <v/>
      </c>
      <c r="D30" s="27">
        <f>SUMIFS(Channels!$N:$N,Channels!$C:$C,A30)</f>
        <v/>
      </c>
      <c r="E30" s="35">
        <f>IF(B30&gt;0,D30/B30,0)</f>
        <v/>
      </c>
      <c r="F30" s="24">
        <f>Funnel!F58</f>
        <v/>
      </c>
      <c r="G30" s="26">
        <f>Funnel!H58</f>
        <v/>
      </c>
      <c r="H30" s="36">
        <f>_xlfn.MAXIFS(Channels!$P:$P,Channels!$C:$C,A30,Channels!$AI:$AI,"&gt;0")</f>
        <v/>
      </c>
      <c r="I30" s="2" t="inlineStr">
        <is>
          <t>No</t>
        </is>
      </c>
      <c r="J30" s="2" t="inlineStr">
        <is>
          <t>No – recognition takes 2–4 months</t>
        </is>
      </c>
      <c r="K30" s="35">
        <f>IF(B30&gt;0,(D30-SUMIFS(Channels!$N:$N,Channels!$A:$A,"I2-E",Channels!$C:$C,A30))/B30,0)</f>
        <v/>
      </c>
      <c r="L30" s="35">
        <f>IF(B30&gt;0,K30,1E+9)</f>
        <v/>
      </c>
    </row>
    <row r="31">
      <c r="A31" s="23" t="inlineStr">
        <is>
          <t>Mechatronics</t>
        </is>
      </c>
      <c r="B31" s="24">
        <f>B6</f>
        <v/>
      </c>
      <c r="C31" s="27">
        <f>O6</f>
        <v/>
      </c>
      <c r="D31" s="27">
        <f>SUMIFS(Channels!$N:$N,Channels!$C:$C,A31)</f>
        <v/>
      </c>
      <c r="E31" s="35">
        <f>IF(B31&gt;0,D31/B31,0)</f>
        <v/>
      </c>
      <c r="F31" s="24">
        <f>Funnel!F59</f>
        <v/>
      </c>
      <c r="G31" s="26">
        <f>Funnel!H59</f>
        <v/>
      </c>
      <c r="H31" s="36">
        <f>_xlfn.MAXIFS(Channels!$P:$P,Channels!$C:$C,A31,Channels!$AI:$AI,"&gt;0")</f>
        <v/>
      </c>
      <c r="I31" s="2" t="inlineStr">
        <is>
          <t>Yes (≤40%)</t>
        </is>
      </c>
      <c r="J31" s="2" t="inlineStr">
        <is>
          <t>Yes (no recognition gate in brief)</t>
        </is>
      </c>
      <c r="K31" s="35">
        <f>IF(B31&gt;0,(D31-SUMIFS(Channels!$N:$N,Channels!$A:$A,"I2-E",Channels!$C:$C,A31))/B31,0)</f>
        <v/>
      </c>
      <c r="L31" s="35">
        <f>IF(B31&gt;0,K31,1E+9)</f>
        <v/>
      </c>
    </row>
    <row r="32">
      <c r="A32" s="23" t="inlineStr">
        <is>
          <t>Automation</t>
        </is>
      </c>
      <c r="B32" s="24">
        <f>B7</f>
        <v/>
      </c>
      <c r="C32" s="27">
        <f>O7</f>
        <v/>
      </c>
      <c r="D32" s="27">
        <f>SUMIFS(Channels!$N:$N,Channels!$C:$C,A32)</f>
        <v/>
      </c>
      <c r="E32" s="35">
        <f>IF(B32&gt;0,D32/B32,0)</f>
        <v/>
      </c>
      <c r="F32" s="24">
        <f>Funnel!F60</f>
        <v/>
      </c>
      <c r="G32" s="26">
        <f>Funnel!H60</f>
        <v/>
      </c>
      <c r="H32" s="36">
        <f>_xlfn.MAXIFS(Channels!$P:$P,Channels!$C:$C,A32,Channels!$AI:$AI,"&gt;0")</f>
        <v/>
      </c>
      <c r="I32" s="2" t="inlineStr">
        <is>
          <t>No</t>
        </is>
      </c>
      <c r="J32" s="2" t="inlineStr">
        <is>
          <t>Yes (no recognition gate in brief)</t>
        </is>
      </c>
      <c r="K32" s="35">
        <f>IF(B32&gt;0,(D32-SUMIFS(Channels!$N:$N,Channels!$A:$A,"I2-E",Channels!$C:$C,A32))/B32,0)</f>
        <v/>
      </c>
      <c r="L32" s="35">
        <f>IF(B32&gt;0,K32,1E+9)</f>
        <v/>
      </c>
    </row>
    <row r="33">
      <c r="A33" s="23" t="inlineStr">
        <is>
          <t>Supervisors</t>
        </is>
      </c>
      <c r="B33" s="24">
        <f>B8</f>
        <v/>
      </c>
      <c r="C33" s="27">
        <f>O8</f>
        <v/>
      </c>
      <c r="D33" s="27">
        <f>SUMIFS(Channels!$N:$N,Channels!$C:$C,A33)</f>
        <v/>
      </c>
      <c r="E33" s="35">
        <f>IF(B33&gt;0,D33/B33,0)</f>
        <v/>
      </c>
      <c r="F33" s="24">
        <f>Funnel!F61</f>
        <v/>
      </c>
      <c r="G33" s="26">
        <f>Funnel!H61</f>
        <v/>
      </c>
      <c r="H33" s="36">
        <f>_xlfn.MAXIFS(Channels!$P:$P,Channels!$C:$C,A33,Channels!$AI:$AI,"&gt;0")</f>
        <v/>
      </c>
      <c r="I33" s="2" t="inlineStr">
        <is>
          <t>No</t>
        </is>
      </c>
      <c r="J33" s="2" t="inlineStr">
        <is>
          <t>Yes (no recognition gate in brief)</t>
        </is>
      </c>
      <c r="K33" s="35">
        <f>IF(B33&gt;0,(D33-SUMIFS(Channels!$N:$N,Channels!$A:$A,"I2-E",Channels!$C:$C,A33))/B33,0)</f>
        <v/>
      </c>
      <c r="L33" s="35">
        <f>IF(B33&gt;0,K33,1E+9)</f>
        <v/>
      </c>
    </row>
    <row r="34"/>
    <row r="35" ht="30" customHeight="1">
      <c r="A35" s="9">
        <f>"Verdict (base case; Summary C16 recomputes it live): Electricians. Biggest scarce volume (30); channel coverage ~"&amp;TEXT(E30,"0.0")&amp;"× openings, but only ~"&amp;TEXT(K30,"0.0")&amp;"×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~"&amp;TEXT(E33,"0.0")&amp;"× coverage, but are only 10 hires with an internal-promotion fallback (and the earliest cut-off, B20)."</f>
        <v/>
      </c>
    </row>
    <row r="36"/>
    <row r="37"/>
    <row r="38"/>
    <row r="39">
      <c r="A39" s="23" t="inlineStr">
        <is>
          <t>Sensitivity: each assumption 30% worse (Part 1.4)</t>
        </is>
      </c>
    </row>
    <row r="40">
      <c r="A40" s="2" t="inlineStr">
        <is>
          <t>Stress size:</t>
        </is>
      </c>
      <c r="B40" s="25">
        <f>Assumptions!$D$66</f>
        <v/>
      </c>
    </row>
    <row r="41" ht="45" customHeight="1">
      <c r="A41" s="12" t="inlineStr">
        <is>
          <t>Assumption made 30% worse</t>
        </is>
      </c>
      <c r="B41" s="12" t="inlineStr">
        <is>
          <t>Qualified applicants needed</t>
        </is>
      </c>
      <c r="C41" s="12" t="inlineStr">
        <is>
          <t>Slot utilisation</t>
        </is>
      </c>
      <c r="D41" s="12" t="inlineStr">
        <is>
          <t>Hires possible before 31 Dec</t>
        </is>
      </c>
      <c r="E41" s="12" t="inlineStr">
        <is>
          <t>Hires lost vs 100</t>
        </is>
      </c>
      <c r="F41" s="12" t="inlineStr">
        <is>
          <t>Paid media needed (€, approx.)</t>
        </is>
      </c>
      <c r="G41" s="12" t="inlineStr">
        <is>
          <t>Change in media</t>
        </is>
      </c>
      <c r="H41" s="12" t="inlineStr">
        <is>
          <t>Why</t>
        </is>
      </c>
    </row>
    <row r="42" ht="30" customHeight="1">
      <c r="A42" s="9" t="inlineStr">
        <is>
          <t>Base case</t>
        </is>
      </c>
      <c r="B42" s="24">
        <f>O9</f>
        <v/>
      </c>
      <c r="C42" s="25">
        <f>IF(($B$22)&gt;0,B42/($B$22),IF(B42&gt;0,9.99,0))</f>
        <v/>
      </c>
      <c r="D42" s="33">
        <f>MIN($B$9,IF(B42&gt;0,$B$22/B42*$B$9,$B$9),MIN(B5,D30*1)+MIN(B6,D31*1)+MIN(B7,D32*1)+MIN(B8,D33*1))</f>
        <v/>
      </c>
      <c r="E42" s="24">
        <f>$B$9-D42</f>
        <v/>
      </c>
      <c r="F42" s="36">
        <f>Budget!$C$7*1</f>
        <v/>
      </c>
      <c r="G42" s="25">
        <f>IF(Budget!$C$7&gt;0,F42/Budget!$C$7-1,0)</f>
        <v/>
      </c>
      <c r="H42" s="9" t="inlineStr">
        <is>
          <t>Plan as built.</t>
        </is>
      </c>
    </row>
    <row r="43" ht="30" customHeight="1">
      <c r="A43" s="9" t="inlineStr">
        <is>
          <t>Qualified → signed (assessment pass rate) ×0.7</t>
        </is>
      </c>
      <c r="B43" s="24">
        <f>O9/(1-$B$40)</f>
        <v/>
      </c>
      <c r="C43" s="25">
        <f>IF(($B$22)&gt;0,B43/($B$22),IF(B43&gt;0,9.99,0))</f>
        <v/>
      </c>
      <c r="D43" s="33">
        <f>MIN($B$9,IF(B43&gt;0,$B$22/B43*$B$9,$B$9),MIN(B5,D30*(1-$B$40))+MIN(B6,D31*(1-$B$40))+MIN(B7,D32*(1-$B$40))+MIN(B8,D33*(1-$B$40)))</f>
        <v/>
      </c>
      <c r="E43" s="24">
        <f>$B$9-D43</f>
        <v/>
      </c>
      <c r="F43" s="36">
        <f>Budget!$C$7*1/(1-$B$40)</f>
        <v/>
      </c>
      <c r="G43" s="25">
        <f>IF(Budget!$C$7&gt;0,F43/Budget!$C$7-1,0)</f>
        <v/>
      </c>
      <c r="H43" s="9" t="inlineStr">
        <is>
          <t>Each qualified applicant yields 30% fewer hires → 43% more qualified needed, but slots are fixed at 55/week.</t>
        </is>
      </c>
    </row>
    <row r="44" ht="30" customHeight="1">
      <c r="A44" s="9" t="inlineStr">
        <is>
          <t>Offer acceptance ×0.7</t>
        </is>
      </c>
      <c r="B44" s="24">
        <f>O9/(1-$B$40)</f>
        <v/>
      </c>
      <c r="C44" s="25">
        <f>IF(($B$22)&gt;0,B44/($B$22),IF(B44&gt;0,9.99,0))</f>
        <v/>
      </c>
      <c r="D44" s="33">
        <f>MIN($B$9,IF(B44&gt;0,$B$22/B44*$B$9,$B$9),MIN(B5,D30*(1-$B$40))+MIN(B6,D31*(1-$B$40))+MIN(B7,D32*(1-$B$40))+MIN(B8,D33*(1-$B$40)))</f>
        <v/>
      </c>
      <c r="E44" s="24">
        <f>$B$9-D44</f>
        <v/>
      </c>
      <c r="F44" s="36">
        <f>Budget!$C$7*1/(1-$B$40)</f>
        <v/>
      </c>
      <c r="G44" s="25">
        <f>IF(Budget!$C$7&gt;0,F44/Budget!$C$7-1,0)</f>
        <v/>
      </c>
      <c r="H44" s="9" t="inlineStr">
        <is>
          <t>Same arithmetic as pass rate: it also sits between the capacity limit and the hire.</t>
        </is>
      </c>
    </row>
    <row r="45" ht="30" customHeight="1">
      <c r="A45" s="9" t="inlineStr">
        <is>
          <t>Application → qualified ×0.7</t>
        </is>
      </c>
      <c r="B45" s="24">
        <f>O9</f>
        <v/>
      </c>
      <c r="C45" s="25">
        <f>IF(($B$22)&gt;0,B45/($B$22),IF(B45&gt;0,9.99,0))</f>
        <v/>
      </c>
      <c r="D45" s="33">
        <f>MIN($B$9,IF(B45&gt;0,$B$22/B45*$B$9,$B$9),MIN(B5,D30*(1-$B$40))+MIN(B6,D31*(1-$B$40))+MIN(B7,D32*(1-$B$40))+MIN(B8,D33*(1-$B$40)))</f>
        <v/>
      </c>
      <c r="E45" s="24">
        <f>$B$9-D45</f>
        <v/>
      </c>
      <c r="F45" s="36">
        <f>Budget!$C$7*1/(1-$B$40)</f>
        <v/>
      </c>
      <c r="G45" s="25">
        <f>IF(Budget!$C$7&gt;0,F45/Budget!$C$7-1,0)</f>
        <v/>
      </c>
      <c r="H45" s="9" t="inlineStr">
        <is>
          <t>Costs 43% more per qualified; slots unaffected; channels run out sooner (electricians first).</t>
        </is>
      </c>
    </row>
    <row r="46" ht="30" customHeight="1">
      <c r="A46" s="9" t="inlineStr">
        <is>
          <t>Cost per application ×1.3</t>
        </is>
      </c>
      <c r="B46" s="24">
        <f>O9</f>
        <v/>
      </c>
      <c r="C46" s="25">
        <f>IF(($B$22)&gt;0,B46/($B$22),IF(B46&gt;0,9.99,0))</f>
        <v/>
      </c>
      <c r="D46" s="33">
        <f>MIN($B$9,IF(B46&gt;0,$B$22/B46*$B$9,$B$9),MIN(B5,D30*1)+MIN(B6,D31*1)+MIN(B7,D32*1)+MIN(B8,D33*1))</f>
        <v/>
      </c>
      <c r="E46" s="24">
        <f>$B$9-D46</f>
        <v/>
      </c>
      <c r="F46" s="36">
        <f>Budget!$C$7*(1+$B$40)</f>
        <v/>
      </c>
      <c r="G46" s="25">
        <f>IF(Budget!$C$7&gt;0,F46/Budget!$C$7-1,0)</f>
        <v/>
      </c>
      <c r="H46" s="9" t="inlineStr">
        <is>
          <t>Pure money: +30% media, no effect on hires if the money is there.</t>
        </is>
      </c>
    </row>
    <row r="47" ht="30" customHeight="1">
      <c r="A47" s="9" t="inlineStr">
        <is>
          <t>Recruiter capacity ×0.7 (≈38/week)</t>
        </is>
      </c>
      <c r="B47" s="24">
        <f>O9</f>
        <v/>
      </c>
      <c r="C47" s="25">
        <f>IF(($B$22*(1-$B$40))&gt;0,B47/($B$22*(1-$B$40)),IF(B47&gt;0,9.99,0))</f>
        <v/>
      </c>
      <c r="D47" s="33">
        <f>MIN($B$9,IF(B47&gt;0,$B$22*(1-$B$40)/B47*$B$9,$B$9),MIN(B5,D30*1)+MIN(B6,D31*1)+MIN(B7,D32*1)+MIN(B8,D33*1))</f>
        <v/>
      </c>
      <c r="E47" s="24">
        <f>$B$9-D47</f>
        <v/>
      </c>
      <c r="F47" s="36">
        <f>Budget!$C$7*1</f>
        <v/>
      </c>
      <c r="G47" s="25">
        <f>IF(Budget!$C$7&gt;0,F47/Budget!$C$7-1,0)</f>
        <v/>
      </c>
      <c r="H47" s="9" t="inlineStr">
        <is>
          <t>Fewer slots: hires capped by capacity.</t>
        </is>
      </c>
    </row>
    <row r="48"/>
    <row r="49">
      <c r="A49" s="23" t="inlineStr">
        <is>
          <t>Most sensitive assumption (largest hire loss):</t>
        </is>
      </c>
      <c r="D49" s="8">
        <f>INDEX(A43:A47,MATCH(MAX(E43:E47),E43:E47,0))</f>
        <v/>
      </c>
    </row>
    <row r="50">
      <c r="A50" s="9" t="inlineStr">
        <is>
          <t>Why it matters most: recruiter capacity, not money, is the binding limit. Anything that lowers hires per qualified applicant (pass or acceptance) can't be fixed by spending more; anything upstream (share qualified, CPA) can.</t>
        </is>
      </c>
    </row>
    <row r="51"/>
    <row r="52"/>
    <row r="53"/>
    <row r="54">
      <c r="A54" s="1" t="inlineStr">
        <is>
          <t>Talent-pool sanity check (Part 2.2): can the channels plausibly deliver the qualified applicants we plan?</t>
        </is>
      </c>
    </row>
    <row r="55"/>
    <row r="56"/>
    <row r="57" ht="45" customHeight="1">
      <c r="A57" s="12" t="inlineStr">
        <is>
          <t>Role</t>
        </is>
      </c>
      <c r="B57" s="12" t="inlineStr">
        <is>
          <t>Employed within 75 km</t>
        </is>
      </c>
      <c r="C57" s="12" t="inlineStr">
        <is>
          <t>Share in market / persuadable</t>
        </is>
      </c>
      <c r="D57" s="12" t="inlineStr">
        <is>
          <t>Local reachable</t>
        </is>
      </c>
      <c r="E57" s="12" t="inlineStr">
        <is>
          <t>Relocators</t>
        </is>
      </c>
      <c r="F57" s="12" t="inlineStr">
        <is>
          <t>Reachable qualified pool</t>
        </is>
      </c>
      <c r="G57" s="12" t="inlineStr">
        <is>
          <t>Qualified applicants in plan from this pool (excl. I2)</t>
        </is>
      </c>
      <c r="H57" s="12" t="inlineStr">
        <is>
          <t>Plan ÷ pool</t>
        </is>
      </c>
      <c r="I57" s="12" t="inlineStr">
        <is>
          <t>Max qualified all channels could deliver (excl. I2)</t>
        </is>
      </c>
      <c r="J57" s="12" t="inlineStr">
        <is>
          <t>Channel max ÷ pool</t>
        </is>
      </c>
      <c r="K57" s="12" t="inlineStr">
        <is>
          <t>Read-out</t>
        </is>
      </c>
    </row>
    <row r="58">
      <c r="A58" s="23" t="inlineStr">
        <is>
          <t>Electricians</t>
        </is>
      </c>
      <c r="B58" s="24">
        <f>Assumptions!$D$70</f>
        <v/>
      </c>
      <c r="C58" s="25">
        <f>Assumptions!$D$74</f>
        <v/>
      </c>
      <c r="D58" s="24">
        <f>B58*C58</f>
        <v/>
      </c>
      <c r="E58" s="24">
        <f>Assumptions!$D$78</f>
        <v/>
      </c>
      <c r="F58" s="24">
        <f>D58+E58</f>
        <v/>
      </c>
      <c r="G58" s="24">
        <f>Funnel!O5-SUMIFS(Channels!$V:$V,Channels!$A:$A,"I2-E",Channels!$C:$C,A58)</f>
        <v/>
      </c>
      <c r="H58" s="25">
        <f>IF(F58&gt;0,G58/F58,0)</f>
        <v/>
      </c>
      <c r="I58" s="24">
        <f>SUMIFS(Channels!$K:$K,Channels!$C:$C,A58)-SUMIFS(Channels!$K:$K,Channels!$A:$A,"I2-E",Channels!$C:$C,A58)</f>
        <v/>
      </c>
      <c r="J58" s="25">
        <f>IF(F58&gt;0,I58/F58,0)</f>
        <v/>
      </c>
      <c r="K58" s="2">
        <f>IF(H58&gt;Assumptions!$D$103,"Very hard",IF(H58&gt;Assumptions!$D$104,"Tight","Comfortable"))</f>
        <v/>
      </c>
    </row>
    <row r="59">
      <c r="A59" s="23" t="inlineStr">
        <is>
          <t>Mechatronics</t>
        </is>
      </c>
      <c r="B59" s="24">
        <f>Assumptions!$D$71</f>
        <v/>
      </c>
      <c r="C59" s="25">
        <f>Assumptions!$D$75</f>
        <v/>
      </c>
      <c r="D59" s="24">
        <f>B59*C59</f>
        <v/>
      </c>
      <c r="E59" s="24">
        <f>Assumptions!$D$79</f>
        <v/>
      </c>
      <c r="F59" s="24">
        <f>D59+E59</f>
        <v/>
      </c>
      <c r="G59" s="24">
        <f>Funnel!O6-SUMIFS(Channels!$V:$V,Channels!$A:$A,"I2-E",Channels!$C:$C,A59)</f>
        <v/>
      </c>
      <c r="H59" s="25">
        <f>IF(F59&gt;0,G59/F59,0)</f>
        <v/>
      </c>
      <c r="I59" s="24">
        <f>SUMIFS(Channels!$K:$K,Channels!$C:$C,A59)-SUMIFS(Channels!$K:$K,Channels!$A:$A,"I2-E",Channels!$C:$C,A59)</f>
        <v/>
      </c>
      <c r="J59" s="25">
        <f>IF(F59&gt;0,I59/F59,0)</f>
        <v/>
      </c>
      <c r="K59" s="2">
        <f>IF(H59&gt;Assumptions!$D$103,"Very hard",IF(H59&gt;Assumptions!$D$104,"Tight","Comfortable"))</f>
        <v/>
      </c>
    </row>
    <row r="60">
      <c r="A60" s="23" t="inlineStr">
        <is>
          <t>Automation</t>
        </is>
      </c>
      <c r="B60" s="24">
        <f>Assumptions!$D$72</f>
        <v/>
      </c>
      <c r="C60" s="25">
        <f>Assumptions!$D$76</f>
        <v/>
      </c>
      <c r="D60" s="24">
        <f>B60*C60</f>
        <v/>
      </c>
      <c r="E60" s="24">
        <f>Assumptions!$D$80</f>
        <v/>
      </c>
      <c r="F60" s="24">
        <f>D60+E60</f>
        <v/>
      </c>
      <c r="G60" s="24">
        <f>Funnel!O7-SUMIFS(Channels!$V:$V,Channels!$A:$A,"I2-E",Channels!$C:$C,A60)</f>
        <v/>
      </c>
      <c r="H60" s="25">
        <f>IF(F60&gt;0,G60/F60,0)</f>
        <v/>
      </c>
      <c r="I60" s="24">
        <f>SUMIFS(Channels!$K:$K,Channels!$C:$C,A60)-SUMIFS(Channels!$K:$K,Channels!$A:$A,"I2-E",Channels!$C:$C,A60)</f>
        <v/>
      </c>
      <c r="J60" s="25">
        <f>IF(F60&gt;0,I60/F60,0)</f>
        <v/>
      </c>
      <c r="K60" s="2">
        <f>IF(H60&gt;Assumptions!$D$103,"Very hard",IF(H60&gt;Assumptions!$D$104,"Tight","Comfortable"))</f>
        <v/>
      </c>
    </row>
    <row r="61">
      <c r="A61" s="23" t="inlineStr">
        <is>
          <t>Supervisors</t>
        </is>
      </c>
      <c r="B61" s="24">
        <f>Assumptions!$D$73</f>
        <v/>
      </c>
      <c r="C61" s="25">
        <f>Assumptions!$D$77</f>
        <v/>
      </c>
      <c r="D61" s="24">
        <f>B61*C61</f>
        <v/>
      </c>
      <c r="E61" s="24">
        <f>Assumptions!$D$81</f>
        <v/>
      </c>
      <c r="F61" s="24">
        <f>D61+E61</f>
        <v/>
      </c>
      <c r="G61" s="24">
        <f>Funnel!O8-SUMIFS(Channels!$V:$V,Channels!$A:$A,"I2-E",Channels!$C:$C,A61)</f>
        <v/>
      </c>
      <c r="H61" s="25">
        <f>IF(F61&gt;0,G61/F61,0)</f>
        <v/>
      </c>
      <c r="I61" s="24">
        <f>SUMIFS(Channels!$K:$K,Channels!$C:$C,A61)-SUMIFS(Channels!$K:$K,Channels!$A:$A,"I2-E",Channels!$C:$C,A61)</f>
        <v/>
      </c>
      <c r="J61" s="25">
        <f>IF(F61&gt;0,I61/F61,0)</f>
        <v/>
      </c>
      <c r="K61" s="2">
        <f>IF(H61&gt;Assumptions!$D$103,"Very hard",IF(H61&gt;Assumptions!$D$104,"Tight","Comfortable"))</f>
        <v/>
      </c>
    </row>
    <row r="62"/>
    <row r="63">
      <c r="A63" s="9" t="inlineStr">
        <is>
          <t>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is>
      </c>
    </row>
    <row r="64"/>
  </sheetData>
  <mergeCells count="3">
    <mergeCell ref="A35:J37"/>
    <mergeCell ref="A63:K64"/>
    <mergeCell ref="A50:H51"/>
  </mergeCells>
  <pageMargins left="0.75" right="0.75" top="1" bottom="1" header="0.5" footer="0.5"/>
</worksheet>
</file>

<file path=xl/worksheets/sheet4.xml><?xml version="1.0" encoding="utf-8"?>
<worksheet xmlns="http://schemas.openxmlformats.org/spreadsheetml/2006/main">
  <sheetPr>
    <tabColor rgb="008EA9DB"/>
    <outlinePr summaryBelow="1" summaryRight="1"/>
    <pageSetUpPr/>
  </sheetPr>
  <dimension ref="A1:K57"/>
  <sheetViews>
    <sheetView showGridLines="0"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60" customWidth="1" min="7" max="7"/>
    <col width="14" customWidth="1" min="8" max="8"/>
    <col width="14" customWidth="1" min="9" max="9"/>
    <col width="14" customWidth="1" min="10" max="10"/>
    <col width="60" customWidth="1" min="11" max="11"/>
  </cols>
  <sheetData>
    <row r="1">
      <c r="A1" s="1" t="inlineStr">
        <is>
          <t>Part 3 — New sources beyond the usual paid channels (maths feeds the Channels tab)</t>
        </is>
      </c>
    </row>
    <row r="2"/>
    <row r="3">
      <c r="A3" s="23" t="inlineStr">
        <is>
          <t>I1 · Talent rediscovery (past applicants in client ATS) + employee referral sprint — built for electricians, used for all roles</t>
        </is>
      </c>
    </row>
    <row r="4">
      <c r="A4" s="12" t="inlineStr">
        <is>
          <t>Line</t>
        </is>
      </c>
      <c r="B4" s="12" t="inlineStr">
        <is>
          <t>Electricians</t>
        </is>
      </c>
      <c r="C4" s="12" t="inlineStr">
        <is>
          <t>Mechatronics</t>
        </is>
      </c>
      <c r="D4" s="12" t="inlineStr">
        <is>
          <t>Automation</t>
        </is>
      </c>
      <c r="E4" s="12" t="inlineStr">
        <is>
          <t>Supervisors</t>
        </is>
      </c>
      <c r="F4" s="12" t="inlineStr">
        <is>
          <t>Total</t>
        </is>
      </c>
    </row>
    <row r="5">
      <c r="A5" s="2" t="inlineStr">
        <is>
          <t>I1a Past qualified applicants in ATS</t>
        </is>
      </c>
      <c r="B5" s="24">
        <f>Assumptions!$D$135</f>
        <v/>
      </c>
      <c r="C5" s="24">
        <f>Assumptions!$D$136</f>
        <v/>
      </c>
      <c r="D5" s="24">
        <f>Assumptions!$D$137</f>
        <v/>
      </c>
      <c r="E5" s="24">
        <f>Assumptions!$D$138</f>
        <v/>
      </c>
      <c r="F5" s="28">
        <f>SUM(B5:E5)</f>
        <v/>
      </c>
    </row>
    <row r="6">
      <c r="A6" s="2" t="inlineStr">
        <is>
          <t>I1a Re-application rate</t>
        </is>
      </c>
      <c r="B6" s="25">
        <f>Assumptions!$D$139</f>
        <v/>
      </c>
      <c r="C6" s="25">
        <f>Assumptions!$D$139</f>
        <v/>
      </c>
      <c r="D6" s="25">
        <f>Assumptions!$D$139</f>
        <v/>
      </c>
      <c r="E6" s="25">
        <f>Assumptions!$D$139</f>
        <v/>
      </c>
    </row>
    <row r="7">
      <c r="A7" s="2" t="inlineStr">
        <is>
          <t>I1a Re-applications (max)</t>
        </is>
      </c>
      <c r="B7" s="27">
        <f>B5*B6</f>
        <v/>
      </c>
      <c r="C7" s="27">
        <f>C5*C6</f>
        <v/>
      </c>
      <c r="D7" s="27">
        <f>D5*D6</f>
        <v/>
      </c>
      <c r="E7" s="27">
        <f>E5*E6</f>
        <v/>
      </c>
      <c r="F7" s="30">
        <f>SUM(B7:E7)</f>
        <v/>
      </c>
    </row>
    <row r="8">
      <c r="A8" s="2" t="inlineStr">
        <is>
          <t>I1a Share qualified</t>
        </is>
      </c>
      <c r="B8" s="25">
        <f>Assumptions!$D$140</f>
        <v/>
      </c>
      <c r="C8" s="25">
        <f>Assumptions!$D$140</f>
        <v/>
      </c>
      <c r="D8" s="25">
        <f>Assumptions!$D$140</f>
        <v/>
      </c>
      <c r="E8" s="25">
        <f>Assumptions!$D$140</f>
        <v/>
      </c>
    </row>
    <row r="9">
      <c r="A9" s="2" t="inlineStr">
        <is>
          <t>I1 Qualified → signed (role × adj.)</t>
        </is>
      </c>
      <c r="B9" s="26">
        <f>Funnel!$G$5*Assumptions!$D$148</f>
        <v/>
      </c>
      <c r="C9" s="26">
        <f>Funnel!$G$6*Assumptions!$D$148</f>
        <v/>
      </c>
      <c r="D9" s="26">
        <f>Funnel!$G$7*Assumptions!$D$148</f>
        <v/>
      </c>
      <c r="E9" s="26">
        <f>Funnel!$G$8*Assumptions!$D$148</f>
        <v/>
      </c>
    </row>
    <row r="10">
      <c r="A10" s="2" t="inlineStr">
        <is>
          <t>I1a Messaging cost (records × €/contact)</t>
        </is>
      </c>
      <c r="B10" s="36">
        <f>B5*Assumptions!$D$146</f>
        <v/>
      </c>
      <c r="C10" s="36">
        <f>C5*Assumptions!$D$146</f>
        <v/>
      </c>
      <c r="D10" s="36">
        <f>D5*Assumptions!$D$146</f>
        <v/>
      </c>
      <c r="E10" s="36">
        <f>E5*Assumptions!$D$146</f>
        <v/>
      </c>
      <c r="F10" s="37">
        <f>SUM(B10:E10)</f>
        <v/>
      </c>
    </row>
    <row r="11">
      <c r="A11" s="2" t="inlineStr">
        <is>
          <t>I1a Cost per application (→ Channels)</t>
        </is>
      </c>
      <c r="B11" s="38">
        <f>IF(B7&gt;0,B10/B7,0)</f>
        <v/>
      </c>
      <c r="C11" s="38">
        <f>IF(C7&gt;0,C10/C7,0)</f>
        <v/>
      </c>
      <c r="D11" s="38">
        <f>IF(D7&gt;0,D10/D7,0)</f>
        <v/>
      </c>
      <c r="E11" s="38">
        <f>IF(E7&gt;0,E10/E7,0)</f>
        <v/>
      </c>
      <c r="G11" s="9">
        <f>"≈"&amp;TEXT(B11,"€0.00")&amp;" per application: messaging is nearly free; the scarce input is the client’s ATS export."</f>
        <v/>
      </c>
    </row>
    <row r="12">
      <c r="A12" s="2" t="inlineStr">
        <is>
          <t>I1a Hires if fully used</t>
        </is>
      </c>
      <c r="B12" s="27">
        <f>B7*B8*B9</f>
        <v/>
      </c>
      <c r="C12" s="27">
        <f>C7*C8*C9</f>
        <v/>
      </c>
      <c r="D12" s="27">
        <f>D7*D8*D9</f>
        <v/>
      </c>
      <c r="E12" s="27">
        <f>E7*E8*E9</f>
        <v/>
      </c>
      <c r="F12" s="30">
        <f>SUM(B12:E12)</f>
        <v/>
      </c>
    </row>
    <row r="13">
      <c r="A13" s="2" t="inlineStr">
        <is>
          <t>I1b Referral applications (max)</t>
        </is>
      </c>
      <c r="B13" s="27">
        <f>Assumptions!$D$141</f>
        <v/>
      </c>
      <c r="C13" s="27">
        <f>Assumptions!$D$142</f>
        <v/>
      </c>
      <c r="D13" s="27">
        <f>Assumptions!$D$143</f>
        <v/>
      </c>
      <c r="E13" s="27">
        <f>Assumptions!$D$144</f>
        <v/>
      </c>
      <c r="F13" s="30">
        <f>SUM(B13:E13)</f>
        <v/>
      </c>
    </row>
    <row r="14">
      <c r="A14" s="2" t="inlineStr">
        <is>
          <t>I1b Share qualified</t>
        </is>
      </c>
      <c r="B14" s="25">
        <f>Assumptions!$D$145</f>
        <v/>
      </c>
      <c r="C14" s="25">
        <f>Assumptions!$D$145</f>
        <v/>
      </c>
      <c r="D14" s="25">
        <f>Assumptions!$D$145</f>
        <v/>
      </c>
      <c r="E14" s="25">
        <f>Assumptions!$D$145</f>
        <v/>
      </c>
    </row>
    <row r="15">
      <c r="A15" s="2" t="inlineStr">
        <is>
          <t>I1b Hires if fully used</t>
        </is>
      </c>
      <c r="B15" s="27">
        <f>B13*B14*B9</f>
        <v/>
      </c>
      <c r="C15" s="27">
        <f>C13*C14*C9</f>
        <v/>
      </c>
      <c r="D15" s="27">
        <f>D13*D14*D9</f>
        <v/>
      </c>
      <c r="E15" s="27">
        <f>E13*E14*E9</f>
        <v/>
      </c>
      <c r="F15" s="30">
        <f>SUM(B15:E15)</f>
        <v/>
      </c>
    </row>
    <row r="16">
      <c r="A16" s="2" t="inlineStr">
        <is>
          <t>I1b Referral bonuses at full use (hires × bonus)</t>
        </is>
      </c>
      <c r="B16" s="36">
        <f>B15*Assumptions!$D$147</f>
        <v/>
      </c>
      <c r="C16" s="36">
        <f>C15*Assumptions!$D$147</f>
        <v/>
      </c>
      <c r="D16" s="36">
        <f>D15*Assumptions!$D$147</f>
        <v/>
      </c>
      <c r="E16" s="36">
        <f>E15*Assumptions!$D$147</f>
        <v/>
      </c>
      <c r="F16" s="37">
        <f>SUM(B16:E16)</f>
        <v/>
      </c>
    </row>
    <row r="17">
      <c r="A17" s="2" t="inlineStr">
        <is>
          <t>I1b Expected bonus cost per application (→ Channels)</t>
        </is>
      </c>
      <c r="B17" s="38">
        <f>IF(B13&gt;0,B16/B13,0)</f>
        <v/>
      </c>
      <c r="C17" s="38">
        <f>IF(C13&gt;0,C16/C13,0)</f>
        <v/>
      </c>
      <c r="D17" s="38">
        <f>IF(D13&gt;0,D16/D13,0)</f>
        <v/>
      </c>
      <c r="E17" s="38">
        <f>IF(E13&gt;0,E16/E13,0)</f>
        <v/>
      </c>
      <c r="G17" s="9" t="inlineStr">
        <is>
          <t>Bonus is only paid when a referred hire signs; shown per application so it ranks against paid channels.</t>
        </is>
      </c>
    </row>
    <row r="18">
      <c r="A18" s="2" t="inlineStr">
        <is>
          <t>I1 Total hires if fully used</t>
        </is>
      </c>
      <c r="B18" s="27">
        <f>B12+B15</f>
        <v/>
      </c>
      <c r="C18" s="27">
        <f>C12+C15</f>
        <v/>
      </c>
      <c r="D18" s="27">
        <f>D12+D15</f>
        <v/>
      </c>
      <c r="E18" s="27">
        <f>E12+E15</f>
        <v/>
      </c>
      <c r="F18" s="30">
        <f>SUM(B18:E18)</f>
        <v/>
      </c>
    </row>
    <row r="19">
      <c r="A19" s="2" t="inlineStr">
        <is>
          <t>I1 Total cost if fully used</t>
        </is>
      </c>
      <c r="B19" s="36">
        <f>B10+B16</f>
        <v/>
      </c>
      <c r="C19" s="36">
        <f>C10+C16</f>
        <v/>
      </c>
      <c r="D19" s="36">
        <f>D10+D16</f>
        <v/>
      </c>
      <c r="E19" s="36">
        <f>E10+E16</f>
        <v/>
      </c>
      <c r="F19" s="37">
        <f>SUM(B19:E19)</f>
        <v/>
      </c>
    </row>
    <row r="20">
      <c r="A20" s="2" t="inlineStr">
        <is>
          <t>I1 Cost per hire</t>
        </is>
      </c>
      <c r="B20" s="36">
        <f>IF(B18&gt;0,B19/B18,0)</f>
        <v/>
      </c>
      <c r="C20" s="36">
        <f>IF(C18&gt;0,C19/C18,0)</f>
        <v/>
      </c>
      <c r="D20" s="36">
        <f>IF(D18&gt;0,D19/D18,0)</f>
        <v/>
      </c>
      <c r="E20" s="36">
        <f>IF(E18&gt;0,E19/E18,0)</f>
        <v/>
      </c>
      <c r="F20" s="37">
        <f>IF(F18&gt;0,F19/F18,0)</f>
        <v/>
      </c>
    </row>
    <row r="21"/>
    <row r="22"/>
    <row r="23">
      <c r="A23" s="23" t="inlineStr">
        <is>
          <t>I2 · 'Vom Handwerk in die Industrie' — construction electricians → plant maintenance (electricians only)</t>
        </is>
      </c>
    </row>
    <row r="24">
      <c r="A24" s="2" t="inlineStr">
        <is>
          <t>Construction/Handwerk electricians within 75 km</t>
        </is>
      </c>
      <c r="B24" s="24">
        <f>Assumptions!$D$149</f>
        <v/>
      </c>
    </row>
    <row r="25">
      <c r="A25" s="2" t="inlineStr">
        <is>
          <t>Share who apply</t>
        </is>
      </c>
      <c r="B25" s="26">
        <f>Assumptions!$D$150</f>
        <v/>
      </c>
    </row>
    <row r="26">
      <c r="A26" s="2" t="inlineStr">
        <is>
          <t>Max applications</t>
        </is>
      </c>
      <c r="B26" s="24">
        <f>B24*B25</f>
        <v/>
      </c>
    </row>
    <row r="27">
      <c r="A27" s="2" t="inlineStr">
        <is>
          <t>Cost per application</t>
        </is>
      </c>
      <c r="B27" s="36">
        <f>Assumptions!$D$151</f>
        <v/>
      </c>
    </row>
    <row r="28">
      <c r="A28" s="2" t="inlineStr">
        <is>
          <t>Share qualified (client accepts profile)</t>
        </is>
      </c>
      <c r="B28" s="25">
        <f>Assumptions!$D$152</f>
        <v/>
      </c>
    </row>
    <row r="29">
      <c r="A29" s="2" t="inlineStr">
        <is>
          <t>Qualified</t>
        </is>
      </c>
      <c r="B29" s="27">
        <f>B26*B28</f>
        <v/>
      </c>
    </row>
    <row r="30">
      <c r="A30" s="2" t="inlineStr">
        <is>
          <t>Qualified → signed (electrician × 0.8 adj.)</t>
        </is>
      </c>
      <c r="B30" s="26">
        <f>Funnel!$G$5*Assumptions!$D$153</f>
        <v/>
      </c>
    </row>
    <row r="31">
      <c r="A31" s="2" t="inlineStr">
        <is>
          <t>Expected hires if fully used</t>
        </is>
      </c>
      <c r="B31" s="27">
        <f>B29*B30</f>
        <v/>
      </c>
    </row>
    <row r="32">
      <c r="A32" s="2" t="inlineStr">
        <is>
          <t>Media at full use</t>
        </is>
      </c>
      <c r="B32" s="36">
        <f>B26*B27</f>
        <v/>
      </c>
    </row>
    <row r="33">
      <c r="A33" s="2" t="inlineStr">
        <is>
          <t>Fixed set-up</t>
        </is>
      </c>
      <c r="B33" s="36">
        <f>Assumptions!$D$154</f>
        <v/>
      </c>
    </row>
    <row r="34">
      <c r="A34" s="2" t="inlineStr">
        <is>
          <t>Cost per hire at full use</t>
        </is>
      </c>
      <c r="B34" s="36">
        <f>IF(B31&gt;0,(B32+B33)/B31,0)</f>
        <v/>
      </c>
    </row>
    <row r="35"/>
    <row r="36"/>
    <row r="37">
      <c r="A37" s="23" t="inlineStr">
        <is>
          <t>I3 · Polish border corridor with a remote Polish-speaking pre-screener (mechatronics only, ≤40% of those hires)</t>
        </is>
      </c>
    </row>
    <row r="38">
      <c r="A38" s="2" t="inlineStr">
        <is>
          <t>All-in cost per application (ads + pre-screen call) (→ Channels)</t>
        </is>
      </c>
      <c r="B38" s="38">
        <f>B44+B45</f>
        <v/>
      </c>
    </row>
    <row r="39">
      <c r="A39" s="2" t="inlineStr">
        <is>
          <t>Share qualified after pre-screen</t>
        </is>
      </c>
      <c r="B39" s="25">
        <f>Assumptions!$D$156</f>
        <v/>
      </c>
    </row>
    <row r="40">
      <c r="A40" s="2" t="inlineStr">
        <is>
          <t>Max applications</t>
        </is>
      </c>
      <c r="B40" s="24">
        <f>Assumptions!$D$157</f>
        <v/>
      </c>
    </row>
    <row r="41">
      <c r="A41" s="2" t="inlineStr">
        <is>
          <t>Qualified → signed (mechatronics × 1.1 adj.)</t>
        </is>
      </c>
      <c r="B41" s="26">
        <f>Funnel!$G$6*Assumptions!$D$158</f>
        <v/>
      </c>
    </row>
    <row r="42">
      <c r="A42" s="2" t="inlineStr">
        <is>
          <t>Hire cap from the 40% rule</t>
        </is>
      </c>
      <c r="B42" s="27">
        <f>Assumptions!$D$10*Assumptions!$D$12</f>
        <v/>
      </c>
    </row>
    <row r="43">
      <c r="A43" s="2" t="inlineStr">
        <is>
          <t>Hires if fully used (capped)</t>
        </is>
      </c>
      <c r="B43" s="27">
        <f>MIN(B40*B39*B41,B42)</f>
        <v/>
      </c>
    </row>
    <row r="44">
      <c r="A44" s="2" t="inlineStr">
        <is>
          <t>Ad cost per application (Pracuj.pl, OLX Praca, PL-geo Meta)</t>
        </is>
      </c>
      <c r="B44" s="38">
        <f>Assumptions!$D$155</f>
        <v/>
      </c>
    </row>
    <row r="45">
      <c r="A45" s="2" t="inlineStr">
        <is>
          <t>Pre-screen cost per applicant (minutes ÷ 60 × hourly rate)</t>
        </is>
      </c>
      <c r="B45" s="38">
        <f>Assumptions!$D$159/60*Assumptions!$D$160</f>
        <v/>
      </c>
    </row>
    <row r="46">
      <c r="A46" s="2" t="inlineStr">
        <is>
          <t>Fixed cost: translation</t>
        </is>
      </c>
      <c r="B46" s="36">
        <f>Assumptions!$D$161</f>
        <v/>
      </c>
    </row>
    <row r="47">
      <c r="A47" s="2" t="inlineStr">
        <is>
          <t>Applications needed to hit the cap</t>
        </is>
      </c>
      <c r="B47" s="24">
        <f>IF(B41*B39&gt;0,B43/B41/B39,0)</f>
        <v/>
      </c>
    </row>
    <row r="48">
      <c r="A48" s="2" t="inlineStr">
        <is>
          <t>Cost per hire at cap (incl. fixed)</t>
        </is>
      </c>
      <c r="B48" s="36">
        <f>IF(B43&gt;0,(B47*B38+B46)/B43,0)</f>
        <v/>
      </c>
    </row>
    <row r="49"/>
    <row r="50"/>
    <row r="51">
      <c r="A51" s="23" t="inlineStr">
        <is>
          <t>Two-week tests: bars are set from each initiative's planned volume in its own 14-day window (inputs TP1–TK2 on Assumptions)</t>
        </is>
      </c>
    </row>
    <row r="52" ht="60" customHeight="1">
      <c r="A52" s="12" t="inlineStr">
        <is>
          <t>Initiative</t>
        </is>
      </c>
      <c r="B52" s="12" t="inlineStr">
        <is>
          <t>Test window (14 days from launch)</t>
        </is>
      </c>
      <c r="C52" s="12" t="inlineStr">
        <is>
          <t>Share of planned volume in window (days of each spend week inside the window)</t>
        </is>
      </c>
      <c r="D52" s="12" t="inlineStr">
        <is>
          <t>Test budget €</t>
        </is>
      </c>
      <c r="E52" s="12" t="inlineStr">
        <is>
          <t>Planned qualified in window</t>
        </is>
      </c>
      <c r="F52" s="12" t="inlineStr">
        <is>
          <t>Planned cost per qualified</t>
        </is>
      </c>
      <c r="G52" s="12" t="inlineStr">
        <is>
          <t>PASS if qualified ≥</t>
        </is>
      </c>
      <c r="H52" s="12" t="inlineStr">
        <is>
          <t>…and cost per qualified ≤</t>
        </is>
      </c>
      <c r="I52" s="12" t="inlineStr">
        <is>
          <t>KILL if qualified &lt;</t>
        </is>
      </c>
      <c r="J52" s="12" t="inlineStr">
        <is>
          <t>…or cost per qualified &gt;</t>
        </is>
      </c>
      <c r="K52" s="12" t="inlineStr">
        <is>
          <t>Other conditions</t>
        </is>
      </c>
    </row>
    <row r="53" ht="48" customHeight="1">
      <c r="A53" s="23" t="inlineStr">
        <is>
          <t>I1 Rediscovery + referrals</t>
        </is>
      </c>
      <c r="B53" s="9" t="inlineStr">
        <is>
          <t>Wed 21 Oct – Tue 3 Nov (waves 1–3)</t>
        </is>
      </c>
      <c r="C53" s="25">
        <f>(Assumptions!$D$97+Assumptions!$D$98)</f>
        <v/>
      </c>
      <c r="D53" s="36">
        <f>F10</f>
        <v/>
      </c>
      <c r="E53" s="27">
        <f>(SUMIFS(Channels!$V:$V,Channels!$A:$A,"I1a-E")+SUMIFS(Channels!$V:$V,Channels!$A:$A,"I1a-M")+SUMIFS(Channels!$V:$V,Channels!$A:$A,"I1a-A")+SUMIFS(Channels!$V:$V,Channels!$A:$A,"I1a-S"))*(Assumptions!$D$97+Assumptions!$D$98)+(SUMIFS(Channels!$V:$V,Channels!$A:$A,"I1b-E")+SUMIFS(Channels!$V:$V,Channels!$A:$A,"I1b-M")+SUMIFS(Channels!$V:$V,Channels!$A:$A,"I1b-A")+SUMIFS(Channels!$V:$V,Channels!$A:$A,"I1b-S"))*(Weekly!$D$4+Weekly!$D$5)</f>
        <v/>
      </c>
      <c r="F53" s="2" t="inlineStr">
        <is>
          <t>n/a (≈€8)</t>
        </is>
      </c>
      <c r="G53" s="24">
        <f>MAX(1,ROUNDDOWN(E53*Assumptions!$D$93,0))</f>
        <v/>
      </c>
      <c r="H53" s="2" t="inlineStr">
        <is>
          <t>–</t>
        </is>
      </c>
      <c r="I53" s="24">
        <f>MIN(G53,MAX(1,ROUNDUP(E53*Assumptions!$D$95,0)))</f>
        <v/>
      </c>
      <c r="J53" s="2" t="inlineStr">
        <is>
          <t>–</t>
        </is>
      </c>
      <c r="K53" s="9" t="inlineStr">
        <is>
          <t>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is>
      </c>
    </row>
    <row r="54" ht="48" customHeight="1">
      <c r="A54" s="23" t="inlineStr">
        <is>
          <t>I2 Handwerk → Industrie</t>
        </is>
      </c>
      <c r="B54" s="9" t="inlineStr">
        <is>
          <t>Fri 23 Oct – Thu 5 Nov (read Mon 9 Nov)</t>
        </is>
      </c>
      <c r="C54" s="25">
        <f>(Weekly!$D$4*4/7+Weekly!$D$5+Weekly!$D$6*3/7)</f>
        <v/>
      </c>
      <c r="D54" s="36">
        <f>B33+SUMIFS(Channels!$X:$X,Channels!$A:$A,"I2-E")*C54</f>
        <v/>
      </c>
      <c r="E54" s="27">
        <f>SUMIFS(Channels!$V:$V,Channels!$A:$A,"I2-E")*C54</f>
        <v/>
      </c>
      <c r="F54" s="36">
        <f>IF(B28&gt;0,B27/B28,0)</f>
        <v/>
      </c>
      <c r="G54" s="24">
        <f>MAX(1,ROUNDDOWN(E54*Assumptions!$D$93,0))</f>
        <v/>
      </c>
      <c r="H54" s="36">
        <f>ROUND(F54*Assumptions!$D$94/10,0)*10</f>
        <v/>
      </c>
      <c r="I54" s="24">
        <f>MIN(G54,MAX(1,ROUNDUP(E54*Assumptions!$D$95,0)))</f>
        <v/>
      </c>
      <c r="J54" s="36">
        <f>MAX(H54,ROUND(F54*Assumptions!$D$96/10,0)*10)</f>
        <v/>
      </c>
      <c r="K54" s="9" t="inlineStr">
        <is>
          <t>Also kill at once if the client rejects the EGT profile. Week-4 quality check: ≥50% of the first 6 interviewed pass (kill below 40%). Money then moves to Meta, StepStone and programmatic electricians.</t>
        </is>
      </c>
    </row>
    <row r="55" ht="48" customHeight="1">
      <c r="A55" s="23" t="inlineStr">
        <is>
          <t>I3 Polish corridor</t>
        </is>
      </c>
      <c r="B55" s="9" t="inlineStr">
        <is>
          <t>Tue 27 Oct – Mon 9 Nov (freelancer starts 27 Oct)</t>
        </is>
      </c>
      <c r="C55" s="25">
        <f>(Weekly!$D$5+Weekly!$D$6)</f>
        <v/>
      </c>
      <c r="D55" s="36">
        <f>B46+SUMIFS(Channels!$X:$X,Channels!$A:$A,"I3-M")*C55</f>
        <v/>
      </c>
      <c r="E55" s="27">
        <f>SUMIFS(Channels!$V:$V,Channels!$A:$A,"I3-M")*C55</f>
        <v/>
      </c>
      <c r="F55" s="36">
        <f>IF(B39&gt;0,B38/B39,0)</f>
        <v/>
      </c>
      <c r="G55" s="24">
        <f>MAX(1,ROUNDDOWN(E55*Assumptions!$D$93,0))</f>
        <v/>
      </c>
      <c r="H55" s="36">
        <f>ROUND(F55*Assumptions!$D$94/10,0)*10</f>
        <v/>
      </c>
      <c r="I55" s="24">
        <f>MIN(G55,MAX(1,ROUNDUP(E55*Assumptions!$D$95,0)))</f>
        <v/>
      </c>
      <c r="J55" s="36">
        <f>MAX(H55,ROUND(F55*Assumptions!$D$96/10,0)*10)</f>
        <v/>
      </c>
      <c r="K55" s="9" t="inlineStr">
        <is>
          <t>Also kill if the pre-screener finds &lt;30% speak German/English. Freelancer is paid hourly, so stopping leaves no sunk cost beyond translation.</t>
        </is>
      </c>
    </row>
    <row r="56"/>
    <row r="57">
      <c r="A57" s="2" t="inlineStr">
        <is>
          <t>Who does what: see the deck, Part 3 (all set-up done from Bangalore; client provides ATS export, referral approval, EGT profile sign-off). Test windows start at each initiative's launch, so I2/I3 are read on Mon 9 Nov, I1 on Mon 2 Nov and again on 9 Nov.</t>
        </is>
      </c>
    </row>
  </sheetData>
  <pageMargins left="0.75" right="0.75" top="1" bottom="1" header="0.5" footer="0.5"/>
</worksheet>
</file>

<file path=xl/worksheets/sheet5.xml><?xml version="1.0" encoding="utf-8"?>
<worksheet xmlns="http://schemas.openxmlformats.org/spreadsheetml/2006/main">
  <sheetPr>
    <tabColor rgb="008EA9DB"/>
    <outlinePr summaryBelow="1" summaryRight="0"/>
    <pageSetUpPr/>
  </sheetPr>
  <dimension ref="A1:AI4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13" customWidth="1" min="3" max="3"/>
    <col width="10" customWidth="1" min="4" max="4"/>
    <col width="7"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hidden="1" outlineLevel="1" width="11" customWidth="1" min="17"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hidden="1" outlineLevel="1" width="11" customWidth="1" min="29" max="29"/>
    <col width="22" customWidth="1" min="30" max="30"/>
    <col hidden="1" outlineLevel="1" width="13" customWidth="1" min="31" max="35"/>
  </cols>
  <sheetData>
    <row r="1">
      <c r="A1" s="1" t="inlineStr">
        <is>
          <t>Part 2 — Channel × role economics and allocation (cheapest cost-per-hire first, until each role's openings are covered)</t>
        </is>
      </c>
    </row>
    <row r="2">
      <c r="A2" s="2" t="inlineStr">
        <is>
          <t>Allocation logic: within each role, channels are filled in order of cost per hire (media at full capacity + fixed costs, ÷ hire capacity) up to their capacity until hires = openings. Polish cap enforced in hire capacity. Slots bought in whole 30-day ads.</t>
        </is>
      </c>
    </row>
    <row r="3">
      <c r="A3" s="2" t="inlineStr">
        <is>
          <t>Every paid CPC/CPA cell for a role with openings first gets a test tranche (B2) in weeks 1–2; its applicants and hires are counted (cols AE–AG). The allocation then fills only the remaining need (col T) from remaining capacity (col AH).</t>
        </is>
      </c>
    </row>
    <row r="4" ht="60" customHeight="1">
      <c r="A4" s="12" t="inlineStr">
        <is>
          <t>ID</t>
        </is>
      </c>
      <c r="B4" s="12" t="inlineStr">
        <is>
          <t>Channel</t>
        </is>
      </c>
      <c r="C4" s="12" t="inlineStr">
        <is>
          <t>Role</t>
        </is>
      </c>
      <c r="D4" s="12" t="inlineStr">
        <is>
          <t>Type</t>
        </is>
      </c>
      <c r="E4" s="12" t="inlineStr">
        <is>
          <t>Basis</t>
        </is>
      </c>
      <c r="F4" s="12" t="inlineStr">
        <is>
          <t>Unit cost €</t>
        </is>
      </c>
      <c r="G4" s="12" t="inlineStr">
        <is>
          <t>Click→apply / apps per slot</t>
        </is>
      </c>
      <c r="H4" s="12" t="inlineStr">
        <is>
          <t>Cost per application</t>
        </is>
      </c>
      <c r="I4" s="12" t="inlineStr">
        <is>
          <t>Share qualified</t>
        </is>
      </c>
      <c r="J4" s="12" t="inlineStr">
        <is>
          <t>Max applications</t>
        </is>
      </c>
      <c r="K4" s="12" t="inlineStr">
        <is>
          <t>Qualified capacity</t>
        </is>
      </c>
      <c r="L4" s="12" t="inlineStr">
        <is>
          <t>Qualified → signed</t>
        </is>
      </c>
      <c r="M4" s="12" t="inlineStr">
        <is>
          <t>Downstream adj.</t>
        </is>
      </c>
      <c r="N4" s="12" t="inlineStr">
        <is>
          <t>Hire capacity</t>
        </is>
      </c>
      <c r="O4" s="12" t="inlineStr">
        <is>
          <t>Cost per qualified</t>
        </is>
      </c>
      <c r="P4" s="12" t="inlineStr">
        <is>
          <t>Cost per hire at capacity (incl. fixed)</t>
        </is>
      </c>
      <c r="Q4" s="12" t="inlineStr">
        <is>
          <t>Sort key</t>
        </is>
      </c>
      <c r="R4" s="12" t="inlineStr">
        <is>
          <t>Rank in role</t>
        </is>
      </c>
      <c r="S4" s="12" t="inlineStr">
        <is>
          <t>Remaining capacity of cheaper channels</t>
        </is>
      </c>
      <c r="T4" s="12" t="inlineStr">
        <is>
          <t>Need after all tests (openings – test hires)</t>
        </is>
      </c>
      <c r="U4" s="12" t="inlineStr">
        <is>
          <t>Hires (test + allocated)</t>
        </is>
      </c>
      <c r="V4" s="12" t="inlineStr">
        <is>
          <t>Qualified (total)</t>
        </is>
      </c>
      <c r="W4" s="12" t="inlineStr">
        <is>
          <t>Applications (total)</t>
        </is>
      </c>
      <c r="X4" s="12" t="inlineStr">
        <is>
          <t>Media € (incl. test tranche)</t>
        </is>
      </c>
      <c r="Y4" s="12" t="inlineStr">
        <is>
          <t>Fixed €</t>
        </is>
      </c>
      <c r="Z4" s="12" t="inlineStr">
        <is>
          <t>Test tranche wk 1–2 €</t>
        </is>
      </c>
      <c r="AA4" s="12" t="inlineStr">
        <is>
          <t>Total €</t>
        </is>
      </c>
      <c r="AB4" s="12" t="inlineStr">
        <is>
          <t>Planned cost per hire</t>
        </is>
      </c>
      <c r="AC4" s="12" t="inlineStr">
        <is>
          <t>Rank overall</t>
        </is>
      </c>
      <c r="AD4" s="12" t="inlineStr">
        <is>
          <t>Status</t>
        </is>
      </c>
      <c r="AE4" s="12" t="inlineStr">
        <is>
          <t>Test applications</t>
        </is>
      </c>
      <c r="AF4" s="12" t="inlineStr">
        <is>
          <t>Test qualified</t>
        </is>
      </c>
      <c r="AG4" s="12" t="inlineStr">
        <is>
          <t>Test hires</t>
        </is>
      </c>
      <c r="AH4" s="12" t="inlineStr">
        <is>
          <t>Hire capacity left after test</t>
        </is>
      </c>
      <c r="AI4" s="12" t="inlineStr">
        <is>
          <t>Hires allocated beyond test</t>
        </is>
      </c>
    </row>
    <row r="5">
      <c r="A5" s="2">
        <f>Assumptions!A112</f>
        <v/>
      </c>
      <c r="B5" s="2">
        <f>Assumptions!B112</f>
        <v/>
      </c>
      <c r="C5" s="2">
        <f>Assumptions!C112</f>
        <v/>
      </c>
      <c r="D5" s="2" t="inlineStr">
        <is>
          <t>Channel</t>
        </is>
      </c>
      <c r="E5" s="2">
        <f>Assumptions!D112</f>
        <v/>
      </c>
      <c r="F5" s="38">
        <f>Assumptions!E112</f>
        <v/>
      </c>
      <c r="G5" s="24">
        <f>IF(E5="Free","",Assumptions!F112)</f>
        <v/>
      </c>
      <c r="H5" s="38">
        <f>MAX(0,IF(OR(E5="CPC",E5="Slot"),IF(N(G5)&gt;0,F5/G5,0),F5))</f>
        <v/>
      </c>
      <c r="I5" s="25">
        <f>Assumptions!G112</f>
        <v/>
      </c>
      <c r="J5" s="24">
        <f>IF(AND(OR(E5="CPC",E5="Slot"),NOT(N(G5)&gt;0)),0,IF(E5="Slot",Assumptions!H112*G5,Assumptions!H112))</f>
        <v/>
      </c>
      <c r="K5" s="27">
        <f>J5*I5</f>
        <v/>
      </c>
      <c r="L5" s="26">
        <f>INDEX(Funnel!$G$5:$G$8,MATCH(C5,Funnel!$A$5:$A$8,0))*M5</f>
        <v/>
      </c>
      <c r="M5" s="39">
        <f>Assumptions!I112</f>
        <v/>
      </c>
      <c r="N5" s="27">
        <f>K5*L5</f>
        <v/>
      </c>
      <c r="O5" s="36">
        <f>IF(I5&gt;0,H5/I5,0)</f>
        <v/>
      </c>
      <c r="P5" s="36">
        <f>IF(N5&gt;0,(N5/L5/I5*H5+Assumptions!J112)/N5,0)</f>
        <v/>
      </c>
      <c r="Q5" s="40">
        <f>P5+ROW()/1000000</f>
        <v/>
      </c>
      <c r="R5" s="24">
        <f>SUMPRODUCT(($C$5:$C$34=C5)*($Q$5:$Q$34&lt;Q5))+1</f>
        <v/>
      </c>
      <c r="S5" s="27">
        <f>SUMPRODUCT(($C$5:$C$34=C5)*($Q$5:$Q$34&lt;Q5)*$AH$5:$AH$34)</f>
        <v/>
      </c>
      <c r="T5" s="27">
        <f>INDEX(Funnel!$B$5:$B$8,MATCH(C5,Funnel!$A$5:$A$8,0))-SUMIFS($AG$5:$AG$34,$C$5:$C$34,C5)</f>
        <v/>
      </c>
      <c r="U5" s="41">
        <f>AG5+AI5</f>
        <v/>
      </c>
      <c r="V5" s="27">
        <f>IF(L5&gt;0,U5/L5,0)</f>
        <v/>
      </c>
      <c r="W5" s="24">
        <f>IF(I5&gt;0,V5/I5,0)</f>
        <v/>
      </c>
      <c r="X5" s="36">
        <f>IF(E5="Slot",IF(N(G5)&gt;0,ROUNDUP(W5/G5,0)*MAX(0,F5),0),W5*H5)</f>
        <v/>
      </c>
      <c r="Y5" s="36">
        <f>IF(U5&gt;0,Assumptions!J112,0)</f>
        <v/>
      </c>
      <c r="Z5" s="36">
        <f>IF(AND(D5="Channel",OR(E5="CPC",E5="CPA"),INDEX(Funnel!$B$5:$B$8,MATCH(C5,Funnel!$A$5:$A$8,0))&gt;0),MIN(Assumptions!$D$49,J5*H5,IF(I5*L5&gt;0,INDEX(Funnel!$B$5:$B$8,MATCH(C5,Funnel!$A$5:$A$8,0))/SUMPRODUCT(($C$5:$C$34=C5)*($D$5:$D$34="Channel")*(($E$5:$E$34="CPC")+($E$5:$E$34="CPA")))/(I5*L5)*H5,0)),0)</f>
        <v/>
      </c>
      <c r="AA5" s="36">
        <f>X5+Y5</f>
        <v/>
      </c>
      <c r="AB5" s="36">
        <f>IF(U5&gt;0,(X5+Y5)/U5,"–")</f>
        <v/>
      </c>
      <c r="AC5" s="24">
        <f>SUMPRODUCT(--($Q$5:$Q$34&lt;Q5))+1</f>
        <v/>
      </c>
      <c r="AD5" s="2">
        <f>IF(AND(AH5&gt;0,AI5&gt;=AH5*0.999),"Used to capacity",IF(AI5&gt;0,"Marginal (fills the gap)",IF(Z5&gt;0,"Test only (wk 1–2)","Not used")))</f>
        <v/>
      </c>
      <c r="AE5" s="27">
        <f>IF(H5&gt;0,Z5/H5,0)</f>
        <v/>
      </c>
      <c r="AF5" s="27">
        <f>AE5*I5</f>
        <v/>
      </c>
      <c r="AG5" s="27">
        <f>AF5*L5</f>
        <v/>
      </c>
      <c r="AH5" s="27">
        <f>MAX(0,N5-AG5)</f>
        <v/>
      </c>
      <c r="AI5" s="27">
        <f>MIN(AH5,MAX(0,T5-S5))</f>
        <v/>
      </c>
    </row>
    <row r="6">
      <c r="A6" s="2">
        <f>Assumptions!A113</f>
        <v/>
      </c>
      <c r="B6" s="2">
        <f>Assumptions!B113</f>
        <v/>
      </c>
      <c r="C6" s="2">
        <f>Assumptions!C113</f>
        <v/>
      </c>
      <c r="D6" s="2" t="inlineStr">
        <is>
          <t>Channel</t>
        </is>
      </c>
      <c r="E6" s="2">
        <f>Assumptions!D113</f>
        <v/>
      </c>
      <c r="F6" s="38">
        <f>Assumptions!E113</f>
        <v/>
      </c>
      <c r="G6" s="24">
        <f>IF(E6="Free","",Assumptions!F113)</f>
        <v/>
      </c>
      <c r="H6" s="38">
        <f>MAX(0,IF(OR(E6="CPC",E6="Slot"),IF(N(G6)&gt;0,F6/G6,0),F6))</f>
        <v/>
      </c>
      <c r="I6" s="25">
        <f>Assumptions!G113</f>
        <v/>
      </c>
      <c r="J6" s="24">
        <f>IF(AND(OR(E6="CPC",E6="Slot"),NOT(N(G6)&gt;0)),0,IF(E6="Slot",Assumptions!H113*G6,Assumptions!H113))</f>
        <v/>
      </c>
      <c r="K6" s="27">
        <f>J6*I6</f>
        <v/>
      </c>
      <c r="L6" s="26">
        <f>INDEX(Funnel!$G$5:$G$8,MATCH(C6,Funnel!$A$5:$A$8,0))*M6</f>
        <v/>
      </c>
      <c r="M6" s="39">
        <f>Assumptions!I113</f>
        <v/>
      </c>
      <c r="N6" s="27">
        <f>K6*L6</f>
        <v/>
      </c>
      <c r="O6" s="36">
        <f>IF(I6&gt;0,H6/I6,0)</f>
        <v/>
      </c>
      <c r="P6" s="36">
        <f>IF(N6&gt;0,(N6/L6/I6*H6+Assumptions!J113)/N6,0)</f>
        <v/>
      </c>
      <c r="Q6" s="40">
        <f>P6+ROW()/1000000</f>
        <v/>
      </c>
      <c r="R6" s="24">
        <f>SUMPRODUCT(($C$5:$C$34=C6)*($Q$5:$Q$34&lt;Q6))+1</f>
        <v/>
      </c>
      <c r="S6" s="27">
        <f>SUMPRODUCT(($C$5:$C$34=C6)*($Q$5:$Q$34&lt;Q6)*$AH$5:$AH$34)</f>
        <v/>
      </c>
      <c r="T6" s="27">
        <f>INDEX(Funnel!$B$5:$B$8,MATCH(C6,Funnel!$A$5:$A$8,0))-SUMIFS($AG$5:$AG$34,$C$5:$C$34,C6)</f>
        <v/>
      </c>
      <c r="U6" s="41">
        <f>AG6+AI6</f>
        <v/>
      </c>
      <c r="V6" s="27">
        <f>IF(L6&gt;0,U6/L6,0)</f>
        <v/>
      </c>
      <c r="W6" s="24">
        <f>IF(I6&gt;0,V6/I6,0)</f>
        <v/>
      </c>
      <c r="X6" s="36">
        <f>IF(E6="Slot",IF(N(G6)&gt;0,ROUNDUP(W6/G6,0)*MAX(0,F6),0),W6*H6)</f>
        <v/>
      </c>
      <c r="Y6" s="36">
        <f>IF(U6&gt;0,Assumptions!J113,0)</f>
        <v/>
      </c>
      <c r="Z6" s="36">
        <f>IF(AND(D6="Channel",OR(E6="CPC",E6="CPA"),INDEX(Funnel!$B$5:$B$8,MATCH(C6,Funnel!$A$5:$A$8,0))&gt;0),MIN(Assumptions!$D$49,J6*H6,IF(I6*L6&gt;0,INDEX(Funnel!$B$5:$B$8,MATCH(C6,Funnel!$A$5:$A$8,0))/SUMPRODUCT(($C$5:$C$34=C6)*($D$5:$D$34="Channel")*(($E$5:$E$34="CPC")+($E$5:$E$34="CPA")))/(I6*L6)*H6,0)),0)</f>
        <v/>
      </c>
      <c r="AA6" s="36">
        <f>X6+Y6</f>
        <v/>
      </c>
      <c r="AB6" s="36">
        <f>IF(U6&gt;0,(X6+Y6)/U6,"–")</f>
        <v/>
      </c>
      <c r="AC6" s="24">
        <f>SUMPRODUCT(--($Q$5:$Q$34&lt;Q6))+1</f>
        <v/>
      </c>
      <c r="AD6" s="2">
        <f>IF(AND(AH6&gt;0,AI6&gt;=AH6*0.999),"Used to capacity",IF(AI6&gt;0,"Marginal (fills the gap)",IF(Z6&gt;0,"Test only (wk 1–2)","Not used")))</f>
        <v/>
      </c>
      <c r="AE6" s="27">
        <f>IF(H6&gt;0,Z6/H6,0)</f>
        <v/>
      </c>
      <c r="AF6" s="27">
        <f>AE6*I6</f>
        <v/>
      </c>
      <c r="AG6" s="27">
        <f>AF6*L6</f>
        <v/>
      </c>
      <c r="AH6" s="27">
        <f>MAX(0,N6-AG6)</f>
        <v/>
      </c>
      <c r="AI6" s="27">
        <f>MIN(AH6,MAX(0,T6-S6))</f>
        <v/>
      </c>
    </row>
    <row r="7">
      <c r="A7" s="2">
        <f>Assumptions!A114</f>
        <v/>
      </c>
      <c r="B7" s="2">
        <f>Assumptions!B114</f>
        <v/>
      </c>
      <c r="C7" s="2">
        <f>Assumptions!C114</f>
        <v/>
      </c>
      <c r="D7" s="2" t="inlineStr">
        <is>
          <t>Channel</t>
        </is>
      </c>
      <c r="E7" s="2">
        <f>Assumptions!D114</f>
        <v/>
      </c>
      <c r="F7" s="38">
        <f>Assumptions!E114</f>
        <v/>
      </c>
      <c r="G7" s="24">
        <f>IF(E7="Free","",Assumptions!F114)</f>
        <v/>
      </c>
      <c r="H7" s="38">
        <f>MAX(0,IF(OR(E7="CPC",E7="Slot"),IF(N(G7)&gt;0,F7/G7,0),F7))</f>
        <v/>
      </c>
      <c r="I7" s="25">
        <f>Assumptions!G114</f>
        <v/>
      </c>
      <c r="J7" s="24">
        <f>IF(AND(OR(E7="CPC",E7="Slot"),NOT(N(G7)&gt;0)),0,IF(E7="Slot",Assumptions!H114*G7,Assumptions!H114))</f>
        <v/>
      </c>
      <c r="K7" s="27">
        <f>J7*I7</f>
        <v/>
      </c>
      <c r="L7" s="26">
        <f>INDEX(Funnel!$G$5:$G$8,MATCH(C7,Funnel!$A$5:$A$8,0))*M7</f>
        <v/>
      </c>
      <c r="M7" s="39">
        <f>Assumptions!I114</f>
        <v/>
      </c>
      <c r="N7" s="27">
        <f>K7*L7</f>
        <v/>
      </c>
      <c r="O7" s="36">
        <f>IF(I7&gt;0,H7/I7,0)</f>
        <v/>
      </c>
      <c r="P7" s="36">
        <f>IF(N7&gt;0,(N7/L7/I7*H7+Assumptions!J114)/N7,0)</f>
        <v/>
      </c>
      <c r="Q7" s="40">
        <f>P7+ROW()/1000000</f>
        <v/>
      </c>
      <c r="R7" s="24">
        <f>SUMPRODUCT(($C$5:$C$34=C7)*($Q$5:$Q$34&lt;Q7))+1</f>
        <v/>
      </c>
      <c r="S7" s="27">
        <f>SUMPRODUCT(($C$5:$C$34=C7)*($Q$5:$Q$34&lt;Q7)*$AH$5:$AH$34)</f>
        <v/>
      </c>
      <c r="T7" s="27">
        <f>INDEX(Funnel!$B$5:$B$8,MATCH(C7,Funnel!$A$5:$A$8,0))-SUMIFS($AG$5:$AG$34,$C$5:$C$34,C7)</f>
        <v/>
      </c>
      <c r="U7" s="41">
        <f>AG7+AI7</f>
        <v/>
      </c>
      <c r="V7" s="27">
        <f>IF(L7&gt;0,U7/L7,0)</f>
        <v/>
      </c>
      <c r="W7" s="24">
        <f>IF(I7&gt;0,V7/I7,0)</f>
        <v/>
      </c>
      <c r="X7" s="36">
        <f>IF(E7="Slot",IF(N(G7)&gt;0,ROUNDUP(W7/G7,0)*MAX(0,F7),0),W7*H7)</f>
        <v/>
      </c>
      <c r="Y7" s="36">
        <f>IF(U7&gt;0,Assumptions!J114,0)</f>
        <v/>
      </c>
      <c r="Z7" s="36">
        <f>IF(AND(D7="Channel",OR(E7="CPC",E7="CPA"),INDEX(Funnel!$B$5:$B$8,MATCH(C7,Funnel!$A$5:$A$8,0))&gt;0),MIN(Assumptions!$D$49,J7*H7,IF(I7*L7&gt;0,INDEX(Funnel!$B$5:$B$8,MATCH(C7,Funnel!$A$5:$A$8,0))/SUMPRODUCT(($C$5:$C$34=C7)*($D$5:$D$34="Channel")*(($E$5:$E$34="CPC")+($E$5:$E$34="CPA")))/(I7*L7)*H7,0)),0)</f>
        <v/>
      </c>
      <c r="AA7" s="36">
        <f>X7+Y7</f>
        <v/>
      </c>
      <c r="AB7" s="36">
        <f>IF(U7&gt;0,(X7+Y7)/U7,"–")</f>
        <v/>
      </c>
      <c r="AC7" s="24">
        <f>SUMPRODUCT(--($Q$5:$Q$34&lt;Q7))+1</f>
        <v/>
      </c>
      <c r="AD7" s="2">
        <f>IF(AND(AH7&gt;0,AI7&gt;=AH7*0.999),"Used to capacity",IF(AI7&gt;0,"Marginal (fills the gap)",IF(Z7&gt;0,"Test only (wk 1–2)","Not used")))</f>
        <v/>
      </c>
      <c r="AE7" s="27">
        <f>IF(H7&gt;0,Z7/H7,0)</f>
        <v/>
      </c>
      <c r="AF7" s="27">
        <f>AE7*I7</f>
        <v/>
      </c>
      <c r="AG7" s="27">
        <f>AF7*L7</f>
        <v/>
      </c>
      <c r="AH7" s="27">
        <f>MAX(0,N7-AG7)</f>
        <v/>
      </c>
      <c r="AI7" s="27">
        <f>MIN(AH7,MAX(0,T7-S7))</f>
        <v/>
      </c>
    </row>
    <row r="8">
      <c r="A8" s="2">
        <f>Assumptions!A115</f>
        <v/>
      </c>
      <c r="B8" s="2">
        <f>Assumptions!B115</f>
        <v/>
      </c>
      <c r="C8" s="2">
        <f>Assumptions!C115</f>
        <v/>
      </c>
      <c r="D8" s="2" t="inlineStr">
        <is>
          <t>Channel</t>
        </is>
      </c>
      <c r="E8" s="2">
        <f>Assumptions!D115</f>
        <v/>
      </c>
      <c r="F8" s="38">
        <f>Assumptions!E115</f>
        <v/>
      </c>
      <c r="G8" s="24">
        <f>IF(E8="Free","",Assumptions!F115)</f>
        <v/>
      </c>
      <c r="H8" s="38">
        <f>MAX(0,IF(OR(E8="CPC",E8="Slot"),IF(N(G8)&gt;0,F8/G8,0),F8))</f>
        <v/>
      </c>
      <c r="I8" s="25">
        <f>Assumptions!G115</f>
        <v/>
      </c>
      <c r="J8" s="24">
        <f>IF(AND(OR(E8="CPC",E8="Slot"),NOT(N(G8)&gt;0)),0,IF(E8="Slot",Assumptions!H115*G8,Assumptions!H115))</f>
        <v/>
      </c>
      <c r="K8" s="27">
        <f>J8*I8</f>
        <v/>
      </c>
      <c r="L8" s="26">
        <f>INDEX(Funnel!$G$5:$G$8,MATCH(C8,Funnel!$A$5:$A$8,0))*M8</f>
        <v/>
      </c>
      <c r="M8" s="39">
        <f>Assumptions!I115</f>
        <v/>
      </c>
      <c r="N8" s="27">
        <f>K8*L8</f>
        <v/>
      </c>
      <c r="O8" s="36">
        <f>IF(I8&gt;0,H8/I8,0)</f>
        <v/>
      </c>
      <c r="P8" s="36">
        <f>IF(N8&gt;0,(N8/L8/I8*H8+Assumptions!J115)/N8,0)</f>
        <v/>
      </c>
      <c r="Q8" s="40">
        <f>P8+ROW()/1000000</f>
        <v/>
      </c>
      <c r="R8" s="24">
        <f>SUMPRODUCT(($C$5:$C$34=C8)*($Q$5:$Q$34&lt;Q8))+1</f>
        <v/>
      </c>
      <c r="S8" s="27">
        <f>SUMPRODUCT(($C$5:$C$34=C8)*($Q$5:$Q$34&lt;Q8)*$AH$5:$AH$34)</f>
        <v/>
      </c>
      <c r="T8" s="27">
        <f>INDEX(Funnel!$B$5:$B$8,MATCH(C8,Funnel!$A$5:$A$8,0))-SUMIFS($AG$5:$AG$34,$C$5:$C$34,C8)</f>
        <v/>
      </c>
      <c r="U8" s="41">
        <f>AG8+AI8</f>
        <v/>
      </c>
      <c r="V8" s="27">
        <f>IF(L8&gt;0,U8/L8,0)</f>
        <v/>
      </c>
      <c r="W8" s="24">
        <f>IF(I8&gt;0,V8/I8,0)</f>
        <v/>
      </c>
      <c r="X8" s="36">
        <f>IF(E8="Slot",IF(N(G8)&gt;0,ROUNDUP(W8/G8,0)*MAX(0,F8),0),W8*H8)</f>
        <v/>
      </c>
      <c r="Y8" s="36">
        <f>IF(U8&gt;0,Assumptions!J115,0)</f>
        <v/>
      </c>
      <c r="Z8" s="36">
        <f>IF(AND(D8="Channel",OR(E8="CPC",E8="CPA"),INDEX(Funnel!$B$5:$B$8,MATCH(C8,Funnel!$A$5:$A$8,0))&gt;0),MIN(Assumptions!$D$49,J8*H8,IF(I8*L8&gt;0,INDEX(Funnel!$B$5:$B$8,MATCH(C8,Funnel!$A$5:$A$8,0))/SUMPRODUCT(($C$5:$C$34=C8)*($D$5:$D$34="Channel")*(($E$5:$E$34="CPC")+($E$5:$E$34="CPA")))/(I8*L8)*H8,0)),0)</f>
        <v/>
      </c>
      <c r="AA8" s="36">
        <f>X8+Y8</f>
        <v/>
      </c>
      <c r="AB8" s="36">
        <f>IF(U8&gt;0,(X8+Y8)/U8,"–")</f>
        <v/>
      </c>
      <c r="AC8" s="24">
        <f>SUMPRODUCT(--($Q$5:$Q$34&lt;Q8))+1</f>
        <v/>
      </c>
      <c r="AD8" s="2">
        <f>IF(AND(AH8&gt;0,AI8&gt;=AH8*0.999),"Used to capacity",IF(AI8&gt;0,"Marginal (fills the gap)",IF(Z8&gt;0,"Test only (wk 1–2)","Not used")))</f>
        <v/>
      </c>
      <c r="AE8" s="27">
        <f>IF(H8&gt;0,Z8/H8,0)</f>
        <v/>
      </c>
      <c r="AF8" s="27">
        <f>AE8*I8</f>
        <v/>
      </c>
      <c r="AG8" s="27">
        <f>AF8*L8</f>
        <v/>
      </c>
      <c r="AH8" s="27">
        <f>MAX(0,N8-AG8)</f>
        <v/>
      </c>
      <c r="AI8" s="27">
        <f>MIN(AH8,MAX(0,T8-S8))</f>
        <v/>
      </c>
    </row>
    <row r="9">
      <c r="A9" s="2">
        <f>Assumptions!A116</f>
        <v/>
      </c>
      <c r="B9" s="2">
        <f>Assumptions!B116</f>
        <v/>
      </c>
      <c r="C9" s="2">
        <f>Assumptions!C116</f>
        <v/>
      </c>
      <c r="D9" s="2" t="inlineStr">
        <is>
          <t>Channel</t>
        </is>
      </c>
      <c r="E9" s="2">
        <f>Assumptions!D116</f>
        <v/>
      </c>
      <c r="F9" s="38">
        <f>Assumptions!E116</f>
        <v/>
      </c>
      <c r="G9" s="24">
        <f>IF(E9="Free","",Assumptions!F116)</f>
        <v/>
      </c>
      <c r="H9" s="38">
        <f>MAX(0,IF(OR(E9="CPC",E9="Slot"),IF(N(G9)&gt;0,F9/G9,0),F9))</f>
        <v/>
      </c>
      <c r="I9" s="25">
        <f>Assumptions!G116</f>
        <v/>
      </c>
      <c r="J9" s="24">
        <f>IF(AND(OR(E9="CPC",E9="Slot"),NOT(N(G9)&gt;0)),0,IF(E9="Slot",Assumptions!H116*G9,Assumptions!H116))</f>
        <v/>
      </c>
      <c r="K9" s="27">
        <f>J9*I9</f>
        <v/>
      </c>
      <c r="L9" s="26">
        <f>INDEX(Funnel!$G$5:$G$8,MATCH(C9,Funnel!$A$5:$A$8,0))*M9</f>
        <v/>
      </c>
      <c r="M9" s="39">
        <f>Assumptions!I116</f>
        <v/>
      </c>
      <c r="N9" s="27">
        <f>K9*L9</f>
        <v/>
      </c>
      <c r="O9" s="36">
        <f>IF(I9&gt;0,H9/I9,0)</f>
        <v/>
      </c>
      <c r="P9" s="36">
        <f>IF(N9&gt;0,(N9/L9/I9*H9+Assumptions!J116)/N9,0)</f>
        <v/>
      </c>
      <c r="Q9" s="40">
        <f>P9+ROW()/1000000</f>
        <v/>
      </c>
      <c r="R9" s="24">
        <f>SUMPRODUCT(($C$5:$C$34=C9)*($Q$5:$Q$34&lt;Q9))+1</f>
        <v/>
      </c>
      <c r="S9" s="27">
        <f>SUMPRODUCT(($C$5:$C$34=C9)*($Q$5:$Q$34&lt;Q9)*$AH$5:$AH$34)</f>
        <v/>
      </c>
      <c r="T9" s="27">
        <f>INDEX(Funnel!$B$5:$B$8,MATCH(C9,Funnel!$A$5:$A$8,0))-SUMIFS($AG$5:$AG$34,$C$5:$C$34,C9)</f>
        <v/>
      </c>
      <c r="U9" s="41">
        <f>AG9+AI9</f>
        <v/>
      </c>
      <c r="V9" s="27">
        <f>IF(L9&gt;0,U9/L9,0)</f>
        <v/>
      </c>
      <c r="W9" s="24">
        <f>IF(I9&gt;0,V9/I9,0)</f>
        <v/>
      </c>
      <c r="X9" s="36">
        <f>IF(E9="Slot",IF(N(G9)&gt;0,ROUNDUP(W9/G9,0)*MAX(0,F9),0),W9*H9)</f>
        <v/>
      </c>
      <c r="Y9" s="36">
        <f>IF(U9&gt;0,Assumptions!J116,0)</f>
        <v/>
      </c>
      <c r="Z9" s="36">
        <f>IF(AND(D9="Channel",OR(E9="CPC",E9="CPA"),INDEX(Funnel!$B$5:$B$8,MATCH(C9,Funnel!$A$5:$A$8,0))&gt;0),MIN(Assumptions!$D$49,J9*H9,IF(I9*L9&gt;0,INDEX(Funnel!$B$5:$B$8,MATCH(C9,Funnel!$A$5:$A$8,0))/SUMPRODUCT(($C$5:$C$34=C9)*($D$5:$D$34="Channel")*(($E$5:$E$34="CPC")+($E$5:$E$34="CPA")))/(I9*L9)*H9,0)),0)</f>
        <v/>
      </c>
      <c r="AA9" s="36">
        <f>X9+Y9</f>
        <v/>
      </c>
      <c r="AB9" s="36">
        <f>IF(U9&gt;0,(X9+Y9)/U9,"–")</f>
        <v/>
      </c>
      <c r="AC9" s="24">
        <f>SUMPRODUCT(--($Q$5:$Q$34&lt;Q9))+1</f>
        <v/>
      </c>
      <c r="AD9" s="2">
        <f>IF(AND(AH9&gt;0,AI9&gt;=AH9*0.999),"Used to capacity",IF(AI9&gt;0,"Marginal (fills the gap)",IF(Z9&gt;0,"Test only (wk 1–2)","Not used")))</f>
        <v/>
      </c>
      <c r="AE9" s="27">
        <f>IF(H9&gt;0,Z9/H9,0)</f>
        <v/>
      </c>
      <c r="AF9" s="27">
        <f>AE9*I9</f>
        <v/>
      </c>
      <c r="AG9" s="27">
        <f>AF9*L9</f>
        <v/>
      </c>
      <c r="AH9" s="27">
        <f>MAX(0,N9-AG9)</f>
        <v/>
      </c>
      <c r="AI9" s="27">
        <f>MIN(AH9,MAX(0,T9-S9))</f>
        <v/>
      </c>
    </row>
    <row r="10">
      <c r="A10" s="2">
        <f>Assumptions!A117</f>
        <v/>
      </c>
      <c r="B10" s="2">
        <f>Assumptions!B117</f>
        <v/>
      </c>
      <c r="C10" s="2">
        <f>Assumptions!C117</f>
        <v/>
      </c>
      <c r="D10" s="2" t="inlineStr">
        <is>
          <t>Channel</t>
        </is>
      </c>
      <c r="E10" s="2">
        <f>Assumptions!D117</f>
        <v/>
      </c>
      <c r="F10" s="38">
        <f>Assumptions!E117</f>
        <v/>
      </c>
      <c r="G10" s="24">
        <f>IF(E10="Free","",Assumptions!F117)</f>
        <v/>
      </c>
      <c r="H10" s="38">
        <f>MAX(0,IF(OR(E10="CPC",E10="Slot"),IF(N(G10)&gt;0,F10/G10,0),F10))</f>
        <v/>
      </c>
      <c r="I10" s="25">
        <f>Assumptions!G117</f>
        <v/>
      </c>
      <c r="J10" s="24">
        <f>IF(AND(OR(E10="CPC",E10="Slot"),NOT(N(G10)&gt;0)),0,IF(E10="Slot",Assumptions!H117*G10,Assumptions!H117))</f>
        <v/>
      </c>
      <c r="K10" s="27">
        <f>J10*I10</f>
        <v/>
      </c>
      <c r="L10" s="26">
        <f>INDEX(Funnel!$G$5:$G$8,MATCH(C10,Funnel!$A$5:$A$8,0))*M10</f>
        <v/>
      </c>
      <c r="M10" s="39">
        <f>Assumptions!I117</f>
        <v/>
      </c>
      <c r="N10" s="27">
        <f>K10*L10</f>
        <v/>
      </c>
      <c r="O10" s="36">
        <f>IF(I10&gt;0,H10/I10,0)</f>
        <v/>
      </c>
      <c r="P10" s="36">
        <f>IF(N10&gt;0,(N10/L10/I10*H10+Assumptions!J117)/N10,0)</f>
        <v/>
      </c>
      <c r="Q10" s="40">
        <f>P10+ROW()/1000000</f>
        <v/>
      </c>
      <c r="R10" s="24">
        <f>SUMPRODUCT(($C$5:$C$34=C10)*($Q$5:$Q$34&lt;Q10))+1</f>
        <v/>
      </c>
      <c r="S10" s="27">
        <f>SUMPRODUCT(($C$5:$C$34=C10)*($Q$5:$Q$34&lt;Q10)*$AH$5:$AH$34)</f>
        <v/>
      </c>
      <c r="T10" s="27">
        <f>INDEX(Funnel!$B$5:$B$8,MATCH(C10,Funnel!$A$5:$A$8,0))-SUMIFS($AG$5:$AG$34,$C$5:$C$34,C10)</f>
        <v/>
      </c>
      <c r="U10" s="41">
        <f>AG10+AI10</f>
        <v/>
      </c>
      <c r="V10" s="27">
        <f>IF(L10&gt;0,U10/L10,0)</f>
        <v/>
      </c>
      <c r="W10" s="24">
        <f>IF(I10&gt;0,V10/I10,0)</f>
        <v/>
      </c>
      <c r="X10" s="36">
        <f>IF(E10="Slot",IF(N(G10)&gt;0,ROUNDUP(W10/G10,0)*MAX(0,F10),0),W10*H10)</f>
        <v/>
      </c>
      <c r="Y10" s="36">
        <f>IF(U10&gt;0,Assumptions!J117,0)</f>
        <v/>
      </c>
      <c r="Z10" s="36">
        <f>IF(AND(D10="Channel",OR(E10="CPC",E10="CPA"),INDEX(Funnel!$B$5:$B$8,MATCH(C10,Funnel!$A$5:$A$8,0))&gt;0),MIN(Assumptions!$D$49,J10*H10,IF(I10*L10&gt;0,INDEX(Funnel!$B$5:$B$8,MATCH(C10,Funnel!$A$5:$A$8,0))/SUMPRODUCT(($C$5:$C$34=C10)*($D$5:$D$34="Channel")*(($E$5:$E$34="CPC")+($E$5:$E$34="CPA")))/(I10*L10)*H10,0)),0)</f>
        <v/>
      </c>
      <c r="AA10" s="36">
        <f>X10+Y10</f>
        <v/>
      </c>
      <c r="AB10" s="36">
        <f>IF(U10&gt;0,(X10+Y10)/U10,"–")</f>
        <v/>
      </c>
      <c r="AC10" s="24">
        <f>SUMPRODUCT(--($Q$5:$Q$34&lt;Q10))+1</f>
        <v/>
      </c>
      <c r="AD10" s="2">
        <f>IF(AND(AH10&gt;0,AI10&gt;=AH10*0.999),"Used to capacity",IF(AI10&gt;0,"Marginal (fills the gap)",IF(Z10&gt;0,"Test only (wk 1–2)","Not used")))</f>
        <v/>
      </c>
      <c r="AE10" s="27">
        <f>IF(H10&gt;0,Z10/H10,0)</f>
        <v/>
      </c>
      <c r="AF10" s="27">
        <f>AE10*I10</f>
        <v/>
      </c>
      <c r="AG10" s="27">
        <f>AF10*L10</f>
        <v/>
      </c>
      <c r="AH10" s="27">
        <f>MAX(0,N10-AG10)</f>
        <v/>
      </c>
      <c r="AI10" s="27">
        <f>MIN(AH10,MAX(0,T10-S10))</f>
        <v/>
      </c>
    </row>
    <row r="11">
      <c r="A11" s="2">
        <f>Assumptions!A118</f>
        <v/>
      </c>
      <c r="B11" s="2">
        <f>Assumptions!B118</f>
        <v/>
      </c>
      <c r="C11" s="2">
        <f>Assumptions!C118</f>
        <v/>
      </c>
      <c r="D11" s="2" t="inlineStr">
        <is>
          <t>Channel</t>
        </is>
      </c>
      <c r="E11" s="2">
        <f>Assumptions!D118</f>
        <v/>
      </c>
      <c r="F11" s="38">
        <f>Assumptions!E118</f>
        <v/>
      </c>
      <c r="G11" s="24">
        <f>IF(E11="Free","",Assumptions!F118)</f>
        <v/>
      </c>
      <c r="H11" s="38">
        <f>MAX(0,IF(OR(E11="CPC",E11="Slot"),IF(N(G11)&gt;0,F11/G11,0),F11))</f>
        <v/>
      </c>
      <c r="I11" s="25">
        <f>Assumptions!G118</f>
        <v/>
      </c>
      <c r="J11" s="24">
        <f>IF(AND(OR(E11="CPC",E11="Slot"),NOT(N(G11)&gt;0)),0,IF(E11="Slot",Assumptions!H118*G11,Assumptions!H118))</f>
        <v/>
      </c>
      <c r="K11" s="27">
        <f>J11*I11</f>
        <v/>
      </c>
      <c r="L11" s="26">
        <f>INDEX(Funnel!$G$5:$G$8,MATCH(C11,Funnel!$A$5:$A$8,0))*M11</f>
        <v/>
      </c>
      <c r="M11" s="39">
        <f>Assumptions!I118</f>
        <v/>
      </c>
      <c r="N11" s="27">
        <f>K11*L11</f>
        <v/>
      </c>
      <c r="O11" s="36">
        <f>IF(I11&gt;0,H11/I11,0)</f>
        <v/>
      </c>
      <c r="P11" s="36">
        <f>IF(N11&gt;0,(N11/L11/I11*H11+Assumptions!J118)/N11,0)</f>
        <v/>
      </c>
      <c r="Q11" s="40">
        <f>P11+ROW()/1000000</f>
        <v/>
      </c>
      <c r="R11" s="24">
        <f>SUMPRODUCT(($C$5:$C$34=C11)*($Q$5:$Q$34&lt;Q11))+1</f>
        <v/>
      </c>
      <c r="S11" s="27">
        <f>SUMPRODUCT(($C$5:$C$34=C11)*($Q$5:$Q$34&lt;Q11)*$AH$5:$AH$34)</f>
        <v/>
      </c>
      <c r="T11" s="27">
        <f>INDEX(Funnel!$B$5:$B$8,MATCH(C11,Funnel!$A$5:$A$8,0))-SUMIFS($AG$5:$AG$34,$C$5:$C$34,C11)</f>
        <v/>
      </c>
      <c r="U11" s="41">
        <f>AG11+AI11</f>
        <v/>
      </c>
      <c r="V11" s="27">
        <f>IF(L11&gt;0,U11/L11,0)</f>
        <v/>
      </c>
      <c r="W11" s="24">
        <f>IF(I11&gt;0,V11/I11,0)</f>
        <v/>
      </c>
      <c r="X11" s="36">
        <f>IF(E11="Slot",IF(N(G11)&gt;0,ROUNDUP(W11/G11,0)*MAX(0,F11),0),W11*H11)</f>
        <v/>
      </c>
      <c r="Y11" s="36">
        <f>IF(U11&gt;0,Assumptions!J118,0)</f>
        <v/>
      </c>
      <c r="Z11" s="36">
        <f>IF(AND(D11="Channel",OR(E11="CPC",E11="CPA"),INDEX(Funnel!$B$5:$B$8,MATCH(C11,Funnel!$A$5:$A$8,0))&gt;0),MIN(Assumptions!$D$49,J11*H11,IF(I11*L11&gt;0,INDEX(Funnel!$B$5:$B$8,MATCH(C11,Funnel!$A$5:$A$8,0))/SUMPRODUCT(($C$5:$C$34=C11)*($D$5:$D$34="Channel")*(($E$5:$E$34="CPC")+($E$5:$E$34="CPA")))/(I11*L11)*H11,0)),0)</f>
        <v/>
      </c>
      <c r="AA11" s="36">
        <f>X11+Y11</f>
        <v/>
      </c>
      <c r="AB11" s="36">
        <f>IF(U11&gt;0,(X11+Y11)/U11,"–")</f>
        <v/>
      </c>
      <c r="AC11" s="24">
        <f>SUMPRODUCT(--($Q$5:$Q$34&lt;Q11))+1</f>
        <v/>
      </c>
      <c r="AD11" s="2">
        <f>IF(AND(AH11&gt;0,AI11&gt;=AH11*0.999),"Used to capacity",IF(AI11&gt;0,"Marginal (fills the gap)",IF(Z11&gt;0,"Test only (wk 1–2)","Not used")))</f>
        <v/>
      </c>
      <c r="AE11" s="27">
        <f>IF(H11&gt;0,Z11/H11,0)</f>
        <v/>
      </c>
      <c r="AF11" s="27">
        <f>AE11*I11</f>
        <v/>
      </c>
      <c r="AG11" s="27">
        <f>AF11*L11</f>
        <v/>
      </c>
      <c r="AH11" s="27">
        <f>MAX(0,N11-AG11)</f>
        <v/>
      </c>
      <c r="AI11" s="27">
        <f>MIN(AH11,MAX(0,T11-S11))</f>
        <v/>
      </c>
    </row>
    <row r="12">
      <c r="A12" s="2">
        <f>Assumptions!A119</f>
        <v/>
      </c>
      <c r="B12" s="2">
        <f>Assumptions!B119</f>
        <v/>
      </c>
      <c r="C12" s="2">
        <f>Assumptions!C119</f>
        <v/>
      </c>
      <c r="D12" s="2" t="inlineStr">
        <is>
          <t>Channel</t>
        </is>
      </c>
      <c r="E12" s="2">
        <f>Assumptions!D119</f>
        <v/>
      </c>
      <c r="F12" s="38">
        <f>Assumptions!E119</f>
        <v/>
      </c>
      <c r="G12" s="24">
        <f>IF(E12="Free","",Assumptions!F119)</f>
        <v/>
      </c>
      <c r="H12" s="38">
        <f>MAX(0,IF(OR(E12="CPC",E12="Slot"),IF(N(G12)&gt;0,F12/G12,0),F12))</f>
        <v/>
      </c>
      <c r="I12" s="25">
        <f>Assumptions!G119</f>
        <v/>
      </c>
      <c r="J12" s="24">
        <f>IF(AND(OR(E12="CPC",E12="Slot"),NOT(N(G12)&gt;0)),0,IF(E12="Slot",Assumptions!H119*G12,Assumptions!H119))</f>
        <v/>
      </c>
      <c r="K12" s="27">
        <f>J12*I12</f>
        <v/>
      </c>
      <c r="L12" s="26">
        <f>INDEX(Funnel!$G$5:$G$8,MATCH(C12,Funnel!$A$5:$A$8,0))*M12</f>
        <v/>
      </c>
      <c r="M12" s="39">
        <f>Assumptions!I119</f>
        <v/>
      </c>
      <c r="N12" s="27">
        <f>K12*L12</f>
        <v/>
      </c>
      <c r="O12" s="36">
        <f>IF(I12&gt;0,H12/I12,0)</f>
        <v/>
      </c>
      <c r="P12" s="36">
        <f>IF(N12&gt;0,(N12/L12/I12*H12+Assumptions!J119)/N12,0)</f>
        <v/>
      </c>
      <c r="Q12" s="40">
        <f>P12+ROW()/1000000</f>
        <v/>
      </c>
      <c r="R12" s="24">
        <f>SUMPRODUCT(($C$5:$C$34=C12)*($Q$5:$Q$34&lt;Q12))+1</f>
        <v/>
      </c>
      <c r="S12" s="27">
        <f>SUMPRODUCT(($C$5:$C$34=C12)*($Q$5:$Q$34&lt;Q12)*$AH$5:$AH$34)</f>
        <v/>
      </c>
      <c r="T12" s="27">
        <f>INDEX(Funnel!$B$5:$B$8,MATCH(C12,Funnel!$A$5:$A$8,0))-SUMIFS($AG$5:$AG$34,$C$5:$C$34,C12)</f>
        <v/>
      </c>
      <c r="U12" s="41">
        <f>AG12+AI12</f>
        <v/>
      </c>
      <c r="V12" s="27">
        <f>IF(L12&gt;0,U12/L12,0)</f>
        <v/>
      </c>
      <c r="W12" s="24">
        <f>IF(I12&gt;0,V12/I12,0)</f>
        <v/>
      </c>
      <c r="X12" s="36">
        <f>IF(E12="Slot",IF(N(G12)&gt;0,ROUNDUP(W12/G12,0)*MAX(0,F12),0),W12*H12)</f>
        <v/>
      </c>
      <c r="Y12" s="36">
        <f>IF(U12&gt;0,Assumptions!J119,0)</f>
        <v/>
      </c>
      <c r="Z12" s="36">
        <f>IF(AND(D12="Channel",OR(E12="CPC",E12="CPA"),INDEX(Funnel!$B$5:$B$8,MATCH(C12,Funnel!$A$5:$A$8,0))&gt;0),MIN(Assumptions!$D$49,J12*H12,IF(I12*L12&gt;0,INDEX(Funnel!$B$5:$B$8,MATCH(C12,Funnel!$A$5:$A$8,0))/SUMPRODUCT(($C$5:$C$34=C12)*($D$5:$D$34="Channel")*(($E$5:$E$34="CPC")+($E$5:$E$34="CPA")))/(I12*L12)*H12,0)),0)</f>
        <v/>
      </c>
      <c r="AA12" s="36">
        <f>X12+Y12</f>
        <v/>
      </c>
      <c r="AB12" s="36">
        <f>IF(U12&gt;0,(X12+Y12)/U12,"–")</f>
        <v/>
      </c>
      <c r="AC12" s="24">
        <f>SUMPRODUCT(--($Q$5:$Q$34&lt;Q12))+1</f>
        <v/>
      </c>
      <c r="AD12" s="2">
        <f>IF(AND(AH12&gt;0,AI12&gt;=AH12*0.999),"Used to capacity",IF(AI12&gt;0,"Marginal (fills the gap)",IF(Z12&gt;0,"Test only (wk 1–2)","Not used")))</f>
        <v/>
      </c>
      <c r="AE12" s="27">
        <f>IF(H12&gt;0,Z12/H12,0)</f>
        <v/>
      </c>
      <c r="AF12" s="27">
        <f>AE12*I12</f>
        <v/>
      </c>
      <c r="AG12" s="27">
        <f>AF12*L12</f>
        <v/>
      </c>
      <c r="AH12" s="27">
        <f>MAX(0,N12-AG12)</f>
        <v/>
      </c>
      <c r="AI12" s="27">
        <f>MIN(AH12,MAX(0,T12-S12))</f>
        <v/>
      </c>
    </row>
    <row r="13">
      <c r="A13" s="2">
        <f>Assumptions!A120</f>
        <v/>
      </c>
      <c r="B13" s="2">
        <f>Assumptions!B120</f>
        <v/>
      </c>
      <c r="C13" s="2">
        <f>Assumptions!C120</f>
        <v/>
      </c>
      <c r="D13" s="2" t="inlineStr">
        <is>
          <t>Channel</t>
        </is>
      </c>
      <c r="E13" s="2">
        <f>Assumptions!D120</f>
        <v/>
      </c>
      <c r="F13" s="38">
        <f>Assumptions!E120</f>
        <v/>
      </c>
      <c r="G13" s="24">
        <f>IF(E13="Free","",Assumptions!F120)</f>
        <v/>
      </c>
      <c r="H13" s="38">
        <f>MAX(0,IF(OR(E13="CPC",E13="Slot"),IF(N(G13)&gt;0,F13/G13,0),F13))</f>
        <v/>
      </c>
      <c r="I13" s="25">
        <f>Assumptions!G120</f>
        <v/>
      </c>
      <c r="J13" s="24">
        <f>IF(AND(OR(E13="CPC",E13="Slot"),NOT(N(G13)&gt;0)),0,IF(E13="Slot",Assumptions!H120*G13,Assumptions!H120))</f>
        <v/>
      </c>
      <c r="K13" s="27">
        <f>J13*I13</f>
        <v/>
      </c>
      <c r="L13" s="26">
        <f>INDEX(Funnel!$G$5:$G$8,MATCH(C13,Funnel!$A$5:$A$8,0))*M13</f>
        <v/>
      </c>
      <c r="M13" s="39">
        <f>Assumptions!I120</f>
        <v/>
      </c>
      <c r="N13" s="27">
        <f>K13*L13</f>
        <v/>
      </c>
      <c r="O13" s="36">
        <f>IF(I13&gt;0,H13/I13,0)</f>
        <v/>
      </c>
      <c r="P13" s="36">
        <f>IF(N13&gt;0,(N13/L13/I13*H13+Assumptions!J120)/N13,0)</f>
        <v/>
      </c>
      <c r="Q13" s="40">
        <f>P13+ROW()/1000000</f>
        <v/>
      </c>
      <c r="R13" s="24">
        <f>SUMPRODUCT(($C$5:$C$34=C13)*($Q$5:$Q$34&lt;Q13))+1</f>
        <v/>
      </c>
      <c r="S13" s="27">
        <f>SUMPRODUCT(($C$5:$C$34=C13)*($Q$5:$Q$34&lt;Q13)*$AH$5:$AH$34)</f>
        <v/>
      </c>
      <c r="T13" s="27">
        <f>INDEX(Funnel!$B$5:$B$8,MATCH(C13,Funnel!$A$5:$A$8,0))-SUMIFS($AG$5:$AG$34,$C$5:$C$34,C13)</f>
        <v/>
      </c>
      <c r="U13" s="41">
        <f>AG13+AI13</f>
        <v/>
      </c>
      <c r="V13" s="27">
        <f>IF(L13&gt;0,U13/L13,0)</f>
        <v/>
      </c>
      <c r="W13" s="24">
        <f>IF(I13&gt;0,V13/I13,0)</f>
        <v/>
      </c>
      <c r="X13" s="36">
        <f>IF(E13="Slot",IF(N(G13)&gt;0,ROUNDUP(W13/G13,0)*MAX(0,F13),0),W13*H13)</f>
        <v/>
      </c>
      <c r="Y13" s="36">
        <f>IF(U13&gt;0,Assumptions!J120,0)</f>
        <v/>
      </c>
      <c r="Z13" s="36">
        <f>IF(AND(D13="Channel",OR(E13="CPC",E13="CPA"),INDEX(Funnel!$B$5:$B$8,MATCH(C13,Funnel!$A$5:$A$8,0))&gt;0),MIN(Assumptions!$D$49,J13*H13,IF(I13*L13&gt;0,INDEX(Funnel!$B$5:$B$8,MATCH(C13,Funnel!$A$5:$A$8,0))/SUMPRODUCT(($C$5:$C$34=C13)*($D$5:$D$34="Channel")*(($E$5:$E$34="CPC")+($E$5:$E$34="CPA")))/(I13*L13)*H13,0)),0)</f>
        <v/>
      </c>
      <c r="AA13" s="36">
        <f>X13+Y13</f>
        <v/>
      </c>
      <c r="AB13" s="36">
        <f>IF(U13&gt;0,(X13+Y13)/U13,"–")</f>
        <v/>
      </c>
      <c r="AC13" s="24">
        <f>SUMPRODUCT(--($Q$5:$Q$34&lt;Q13))+1</f>
        <v/>
      </c>
      <c r="AD13" s="2">
        <f>IF(AND(AH13&gt;0,AI13&gt;=AH13*0.999),"Used to capacity",IF(AI13&gt;0,"Marginal (fills the gap)",IF(Z13&gt;0,"Test only (wk 1–2)","Not used")))</f>
        <v/>
      </c>
      <c r="AE13" s="27">
        <f>IF(H13&gt;0,Z13/H13,0)</f>
        <v/>
      </c>
      <c r="AF13" s="27">
        <f>AE13*I13</f>
        <v/>
      </c>
      <c r="AG13" s="27">
        <f>AF13*L13</f>
        <v/>
      </c>
      <c r="AH13" s="27">
        <f>MAX(0,N13-AG13)</f>
        <v/>
      </c>
      <c r="AI13" s="27">
        <f>MIN(AH13,MAX(0,T13-S13))</f>
        <v/>
      </c>
    </row>
    <row r="14">
      <c r="A14" s="2">
        <f>Assumptions!A121</f>
        <v/>
      </c>
      <c r="B14" s="2">
        <f>Assumptions!B121</f>
        <v/>
      </c>
      <c r="C14" s="2">
        <f>Assumptions!C121</f>
        <v/>
      </c>
      <c r="D14" s="2" t="inlineStr">
        <is>
          <t>Channel</t>
        </is>
      </c>
      <c r="E14" s="2">
        <f>Assumptions!D121</f>
        <v/>
      </c>
      <c r="F14" s="38">
        <f>Assumptions!E121</f>
        <v/>
      </c>
      <c r="G14" s="24">
        <f>IF(E14="Free","",Assumptions!F121)</f>
        <v/>
      </c>
      <c r="H14" s="38">
        <f>MAX(0,IF(OR(E14="CPC",E14="Slot"),IF(N(G14)&gt;0,F14/G14,0),F14))</f>
        <v/>
      </c>
      <c r="I14" s="25">
        <f>Assumptions!G121</f>
        <v/>
      </c>
      <c r="J14" s="24">
        <f>IF(AND(OR(E14="CPC",E14="Slot"),NOT(N(G14)&gt;0)),0,IF(E14="Slot",Assumptions!H121*G14,Assumptions!H121))</f>
        <v/>
      </c>
      <c r="K14" s="27">
        <f>J14*I14</f>
        <v/>
      </c>
      <c r="L14" s="26">
        <f>INDEX(Funnel!$G$5:$G$8,MATCH(C14,Funnel!$A$5:$A$8,0))*M14</f>
        <v/>
      </c>
      <c r="M14" s="39">
        <f>Assumptions!I121</f>
        <v/>
      </c>
      <c r="N14" s="27">
        <f>K14*L14</f>
        <v/>
      </c>
      <c r="O14" s="36">
        <f>IF(I14&gt;0,H14/I14,0)</f>
        <v/>
      </c>
      <c r="P14" s="36">
        <f>IF(N14&gt;0,(N14/L14/I14*H14+Assumptions!J121)/N14,0)</f>
        <v/>
      </c>
      <c r="Q14" s="40">
        <f>P14+ROW()/1000000</f>
        <v/>
      </c>
      <c r="R14" s="24">
        <f>SUMPRODUCT(($C$5:$C$34=C14)*($Q$5:$Q$34&lt;Q14))+1</f>
        <v/>
      </c>
      <c r="S14" s="27">
        <f>SUMPRODUCT(($C$5:$C$34=C14)*($Q$5:$Q$34&lt;Q14)*$AH$5:$AH$34)</f>
        <v/>
      </c>
      <c r="T14" s="27">
        <f>INDEX(Funnel!$B$5:$B$8,MATCH(C14,Funnel!$A$5:$A$8,0))-SUMIFS($AG$5:$AG$34,$C$5:$C$34,C14)</f>
        <v/>
      </c>
      <c r="U14" s="41">
        <f>AG14+AI14</f>
        <v/>
      </c>
      <c r="V14" s="27">
        <f>IF(L14&gt;0,U14/L14,0)</f>
        <v/>
      </c>
      <c r="W14" s="24">
        <f>IF(I14&gt;0,V14/I14,0)</f>
        <v/>
      </c>
      <c r="X14" s="36">
        <f>IF(E14="Slot",IF(N(G14)&gt;0,ROUNDUP(W14/G14,0)*MAX(0,F14),0),W14*H14)</f>
        <v/>
      </c>
      <c r="Y14" s="36">
        <f>IF(U14&gt;0,Assumptions!J121,0)</f>
        <v/>
      </c>
      <c r="Z14" s="36">
        <f>IF(AND(D14="Channel",OR(E14="CPC",E14="CPA"),INDEX(Funnel!$B$5:$B$8,MATCH(C14,Funnel!$A$5:$A$8,0))&gt;0),MIN(Assumptions!$D$49,J14*H14,IF(I14*L14&gt;0,INDEX(Funnel!$B$5:$B$8,MATCH(C14,Funnel!$A$5:$A$8,0))/SUMPRODUCT(($C$5:$C$34=C14)*($D$5:$D$34="Channel")*(($E$5:$E$34="CPC")+($E$5:$E$34="CPA")))/(I14*L14)*H14,0)),0)</f>
        <v/>
      </c>
      <c r="AA14" s="36">
        <f>X14+Y14</f>
        <v/>
      </c>
      <c r="AB14" s="36">
        <f>IF(U14&gt;0,(X14+Y14)/U14,"–")</f>
        <v/>
      </c>
      <c r="AC14" s="24">
        <f>SUMPRODUCT(--($Q$5:$Q$34&lt;Q14))+1</f>
        <v/>
      </c>
      <c r="AD14" s="2">
        <f>IF(AND(AH14&gt;0,AI14&gt;=AH14*0.999),"Used to capacity",IF(AI14&gt;0,"Marginal (fills the gap)",IF(Z14&gt;0,"Test only (wk 1–2)","Not used")))</f>
        <v/>
      </c>
      <c r="AE14" s="27">
        <f>IF(H14&gt;0,Z14/H14,0)</f>
        <v/>
      </c>
      <c r="AF14" s="27">
        <f>AE14*I14</f>
        <v/>
      </c>
      <c r="AG14" s="27">
        <f>AF14*L14</f>
        <v/>
      </c>
      <c r="AH14" s="27">
        <f>MAX(0,N14-AG14)</f>
        <v/>
      </c>
      <c r="AI14" s="27">
        <f>MIN(AH14,MAX(0,T14-S14))</f>
        <v/>
      </c>
    </row>
    <row r="15">
      <c r="A15" s="2">
        <f>Assumptions!A122</f>
        <v/>
      </c>
      <c r="B15" s="2">
        <f>Assumptions!B122</f>
        <v/>
      </c>
      <c r="C15" s="2">
        <f>Assumptions!C122</f>
        <v/>
      </c>
      <c r="D15" s="2" t="inlineStr">
        <is>
          <t>Channel</t>
        </is>
      </c>
      <c r="E15" s="2">
        <f>Assumptions!D122</f>
        <v/>
      </c>
      <c r="F15" s="38">
        <f>Assumptions!E122</f>
        <v/>
      </c>
      <c r="G15" s="24">
        <f>IF(E15="Free","",Assumptions!F122)</f>
        <v/>
      </c>
      <c r="H15" s="38">
        <f>MAX(0,IF(OR(E15="CPC",E15="Slot"),IF(N(G15)&gt;0,F15/G15,0),F15))</f>
        <v/>
      </c>
      <c r="I15" s="25">
        <f>Assumptions!G122</f>
        <v/>
      </c>
      <c r="J15" s="24">
        <f>IF(AND(OR(E15="CPC",E15="Slot"),NOT(N(G15)&gt;0)),0,IF(E15="Slot",Assumptions!H122*G15,Assumptions!H122))</f>
        <v/>
      </c>
      <c r="K15" s="27">
        <f>J15*I15</f>
        <v/>
      </c>
      <c r="L15" s="26">
        <f>INDEX(Funnel!$G$5:$G$8,MATCH(C15,Funnel!$A$5:$A$8,0))*M15</f>
        <v/>
      </c>
      <c r="M15" s="39">
        <f>Assumptions!I122</f>
        <v/>
      </c>
      <c r="N15" s="27">
        <f>K15*L15</f>
        <v/>
      </c>
      <c r="O15" s="36">
        <f>IF(I15&gt;0,H15/I15,0)</f>
        <v/>
      </c>
      <c r="P15" s="36">
        <f>IF(N15&gt;0,(N15/L15/I15*H15+Assumptions!J122)/N15,0)</f>
        <v/>
      </c>
      <c r="Q15" s="40">
        <f>P15+ROW()/1000000</f>
        <v/>
      </c>
      <c r="R15" s="24">
        <f>SUMPRODUCT(($C$5:$C$34=C15)*($Q$5:$Q$34&lt;Q15))+1</f>
        <v/>
      </c>
      <c r="S15" s="27">
        <f>SUMPRODUCT(($C$5:$C$34=C15)*($Q$5:$Q$34&lt;Q15)*$AH$5:$AH$34)</f>
        <v/>
      </c>
      <c r="T15" s="27">
        <f>INDEX(Funnel!$B$5:$B$8,MATCH(C15,Funnel!$A$5:$A$8,0))-SUMIFS($AG$5:$AG$34,$C$5:$C$34,C15)</f>
        <v/>
      </c>
      <c r="U15" s="41">
        <f>AG15+AI15</f>
        <v/>
      </c>
      <c r="V15" s="27">
        <f>IF(L15&gt;0,U15/L15,0)</f>
        <v/>
      </c>
      <c r="W15" s="24">
        <f>IF(I15&gt;0,V15/I15,0)</f>
        <v/>
      </c>
      <c r="X15" s="36">
        <f>IF(E15="Slot",IF(N(G15)&gt;0,ROUNDUP(W15/G15,0)*MAX(0,F15),0),W15*H15)</f>
        <v/>
      </c>
      <c r="Y15" s="36">
        <f>IF(U15&gt;0,Assumptions!J122,0)</f>
        <v/>
      </c>
      <c r="Z15" s="36">
        <f>IF(AND(D15="Channel",OR(E15="CPC",E15="CPA"),INDEX(Funnel!$B$5:$B$8,MATCH(C15,Funnel!$A$5:$A$8,0))&gt;0),MIN(Assumptions!$D$49,J15*H15,IF(I15*L15&gt;0,INDEX(Funnel!$B$5:$B$8,MATCH(C15,Funnel!$A$5:$A$8,0))/SUMPRODUCT(($C$5:$C$34=C15)*($D$5:$D$34="Channel")*(($E$5:$E$34="CPC")+($E$5:$E$34="CPA")))/(I15*L15)*H15,0)),0)</f>
        <v/>
      </c>
      <c r="AA15" s="36">
        <f>X15+Y15</f>
        <v/>
      </c>
      <c r="AB15" s="36">
        <f>IF(U15&gt;0,(X15+Y15)/U15,"–")</f>
        <v/>
      </c>
      <c r="AC15" s="24">
        <f>SUMPRODUCT(--($Q$5:$Q$34&lt;Q15))+1</f>
        <v/>
      </c>
      <c r="AD15" s="2">
        <f>IF(AND(AH15&gt;0,AI15&gt;=AH15*0.999),"Used to capacity",IF(AI15&gt;0,"Marginal (fills the gap)",IF(Z15&gt;0,"Test only (wk 1–2)","Not used")))</f>
        <v/>
      </c>
      <c r="AE15" s="27">
        <f>IF(H15&gt;0,Z15/H15,0)</f>
        <v/>
      </c>
      <c r="AF15" s="27">
        <f>AE15*I15</f>
        <v/>
      </c>
      <c r="AG15" s="27">
        <f>AF15*L15</f>
        <v/>
      </c>
      <c r="AH15" s="27">
        <f>MAX(0,N15-AG15)</f>
        <v/>
      </c>
      <c r="AI15" s="27">
        <f>MIN(AH15,MAX(0,T15-S15))</f>
        <v/>
      </c>
    </row>
    <row r="16">
      <c r="A16" s="2">
        <f>Assumptions!A123</f>
        <v/>
      </c>
      <c r="B16" s="2">
        <f>Assumptions!B123</f>
        <v/>
      </c>
      <c r="C16" s="2">
        <f>Assumptions!C123</f>
        <v/>
      </c>
      <c r="D16" s="2" t="inlineStr">
        <is>
          <t>Channel</t>
        </is>
      </c>
      <c r="E16" s="2">
        <f>Assumptions!D123</f>
        <v/>
      </c>
      <c r="F16" s="38">
        <f>Assumptions!E123</f>
        <v/>
      </c>
      <c r="G16" s="24">
        <f>IF(E16="Free","",Assumptions!F123)</f>
        <v/>
      </c>
      <c r="H16" s="38">
        <f>MAX(0,IF(OR(E16="CPC",E16="Slot"),IF(N(G16)&gt;0,F16/G16,0),F16))</f>
        <v/>
      </c>
      <c r="I16" s="25">
        <f>Assumptions!G123</f>
        <v/>
      </c>
      <c r="J16" s="24">
        <f>IF(AND(OR(E16="CPC",E16="Slot"),NOT(N(G16)&gt;0)),0,IF(E16="Slot",Assumptions!H123*G16,Assumptions!H123))</f>
        <v/>
      </c>
      <c r="K16" s="27">
        <f>J16*I16</f>
        <v/>
      </c>
      <c r="L16" s="26">
        <f>INDEX(Funnel!$G$5:$G$8,MATCH(C16,Funnel!$A$5:$A$8,0))*M16</f>
        <v/>
      </c>
      <c r="M16" s="39">
        <f>Assumptions!I123</f>
        <v/>
      </c>
      <c r="N16" s="27">
        <f>K16*L16</f>
        <v/>
      </c>
      <c r="O16" s="36">
        <f>IF(I16&gt;0,H16/I16,0)</f>
        <v/>
      </c>
      <c r="P16" s="36">
        <f>IF(N16&gt;0,(N16/L16/I16*H16+Assumptions!J123)/N16,0)</f>
        <v/>
      </c>
      <c r="Q16" s="40">
        <f>P16+ROW()/1000000</f>
        <v/>
      </c>
      <c r="R16" s="24">
        <f>SUMPRODUCT(($C$5:$C$34=C16)*($Q$5:$Q$34&lt;Q16))+1</f>
        <v/>
      </c>
      <c r="S16" s="27">
        <f>SUMPRODUCT(($C$5:$C$34=C16)*($Q$5:$Q$34&lt;Q16)*$AH$5:$AH$34)</f>
        <v/>
      </c>
      <c r="T16" s="27">
        <f>INDEX(Funnel!$B$5:$B$8,MATCH(C16,Funnel!$A$5:$A$8,0))-SUMIFS($AG$5:$AG$34,$C$5:$C$34,C16)</f>
        <v/>
      </c>
      <c r="U16" s="41">
        <f>AG16+AI16</f>
        <v/>
      </c>
      <c r="V16" s="27">
        <f>IF(L16&gt;0,U16/L16,0)</f>
        <v/>
      </c>
      <c r="W16" s="24">
        <f>IF(I16&gt;0,V16/I16,0)</f>
        <v/>
      </c>
      <c r="X16" s="36">
        <f>IF(E16="Slot",IF(N(G16)&gt;0,ROUNDUP(W16/G16,0)*MAX(0,F16),0),W16*H16)</f>
        <v/>
      </c>
      <c r="Y16" s="36">
        <f>IF(U16&gt;0,Assumptions!J123,0)</f>
        <v/>
      </c>
      <c r="Z16" s="36">
        <f>IF(AND(D16="Channel",OR(E16="CPC",E16="CPA"),INDEX(Funnel!$B$5:$B$8,MATCH(C16,Funnel!$A$5:$A$8,0))&gt;0),MIN(Assumptions!$D$49,J16*H16,IF(I16*L16&gt;0,INDEX(Funnel!$B$5:$B$8,MATCH(C16,Funnel!$A$5:$A$8,0))/SUMPRODUCT(($C$5:$C$34=C16)*($D$5:$D$34="Channel")*(($E$5:$E$34="CPC")+($E$5:$E$34="CPA")))/(I16*L16)*H16,0)),0)</f>
        <v/>
      </c>
      <c r="AA16" s="36">
        <f>X16+Y16</f>
        <v/>
      </c>
      <c r="AB16" s="36">
        <f>IF(U16&gt;0,(X16+Y16)/U16,"–")</f>
        <v/>
      </c>
      <c r="AC16" s="24">
        <f>SUMPRODUCT(--($Q$5:$Q$34&lt;Q16))+1</f>
        <v/>
      </c>
      <c r="AD16" s="2">
        <f>IF(AND(AH16&gt;0,AI16&gt;=AH16*0.999),"Used to capacity",IF(AI16&gt;0,"Marginal (fills the gap)",IF(Z16&gt;0,"Test only (wk 1–2)","Not used")))</f>
        <v/>
      </c>
      <c r="AE16" s="27">
        <f>IF(H16&gt;0,Z16/H16,0)</f>
        <v/>
      </c>
      <c r="AF16" s="27">
        <f>AE16*I16</f>
        <v/>
      </c>
      <c r="AG16" s="27">
        <f>AF16*L16</f>
        <v/>
      </c>
      <c r="AH16" s="27">
        <f>MAX(0,N16-AG16)</f>
        <v/>
      </c>
      <c r="AI16" s="27">
        <f>MIN(AH16,MAX(0,T16-S16))</f>
        <v/>
      </c>
    </row>
    <row r="17">
      <c r="A17" s="2">
        <f>Assumptions!A124</f>
        <v/>
      </c>
      <c r="B17" s="2">
        <f>Assumptions!B124</f>
        <v/>
      </c>
      <c r="C17" s="2">
        <f>Assumptions!C124</f>
        <v/>
      </c>
      <c r="D17" s="2" t="inlineStr">
        <is>
          <t>Channel</t>
        </is>
      </c>
      <c r="E17" s="2">
        <f>Assumptions!D124</f>
        <v/>
      </c>
      <c r="F17" s="38">
        <f>Assumptions!E124</f>
        <v/>
      </c>
      <c r="G17" s="24">
        <f>IF(E17="Free","",Assumptions!F124)</f>
        <v/>
      </c>
      <c r="H17" s="38">
        <f>MAX(0,IF(OR(E17="CPC",E17="Slot"),IF(N(G17)&gt;0,F17/G17,0),F17))</f>
        <v/>
      </c>
      <c r="I17" s="25">
        <f>Assumptions!G124</f>
        <v/>
      </c>
      <c r="J17" s="24">
        <f>IF(AND(OR(E17="CPC",E17="Slot"),NOT(N(G17)&gt;0)),0,IF(E17="Slot",Assumptions!H124*G17,Assumptions!H124))</f>
        <v/>
      </c>
      <c r="K17" s="27">
        <f>J17*I17</f>
        <v/>
      </c>
      <c r="L17" s="26">
        <f>INDEX(Funnel!$G$5:$G$8,MATCH(C17,Funnel!$A$5:$A$8,0))*M17</f>
        <v/>
      </c>
      <c r="M17" s="39">
        <f>Assumptions!I124</f>
        <v/>
      </c>
      <c r="N17" s="27">
        <f>K17*L17</f>
        <v/>
      </c>
      <c r="O17" s="36">
        <f>IF(I17&gt;0,H17/I17,0)</f>
        <v/>
      </c>
      <c r="P17" s="36">
        <f>IF(N17&gt;0,(N17/L17/I17*H17+Assumptions!J124)/N17,0)</f>
        <v/>
      </c>
      <c r="Q17" s="40">
        <f>P17+ROW()/1000000</f>
        <v/>
      </c>
      <c r="R17" s="24">
        <f>SUMPRODUCT(($C$5:$C$34=C17)*($Q$5:$Q$34&lt;Q17))+1</f>
        <v/>
      </c>
      <c r="S17" s="27">
        <f>SUMPRODUCT(($C$5:$C$34=C17)*($Q$5:$Q$34&lt;Q17)*$AH$5:$AH$34)</f>
        <v/>
      </c>
      <c r="T17" s="27">
        <f>INDEX(Funnel!$B$5:$B$8,MATCH(C17,Funnel!$A$5:$A$8,0))-SUMIFS($AG$5:$AG$34,$C$5:$C$34,C17)</f>
        <v/>
      </c>
      <c r="U17" s="41">
        <f>AG17+AI17</f>
        <v/>
      </c>
      <c r="V17" s="27">
        <f>IF(L17&gt;0,U17/L17,0)</f>
        <v/>
      </c>
      <c r="W17" s="24">
        <f>IF(I17&gt;0,V17/I17,0)</f>
        <v/>
      </c>
      <c r="X17" s="36">
        <f>IF(E17="Slot",IF(N(G17)&gt;0,ROUNDUP(W17/G17,0)*MAX(0,F17),0),W17*H17)</f>
        <v/>
      </c>
      <c r="Y17" s="36">
        <f>IF(U17&gt;0,Assumptions!J124,0)</f>
        <v/>
      </c>
      <c r="Z17" s="36">
        <f>IF(AND(D17="Channel",OR(E17="CPC",E17="CPA"),INDEX(Funnel!$B$5:$B$8,MATCH(C17,Funnel!$A$5:$A$8,0))&gt;0),MIN(Assumptions!$D$49,J17*H17,IF(I17*L17&gt;0,INDEX(Funnel!$B$5:$B$8,MATCH(C17,Funnel!$A$5:$A$8,0))/SUMPRODUCT(($C$5:$C$34=C17)*($D$5:$D$34="Channel")*(($E$5:$E$34="CPC")+($E$5:$E$34="CPA")))/(I17*L17)*H17,0)),0)</f>
        <v/>
      </c>
      <c r="AA17" s="36">
        <f>X17+Y17</f>
        <v/>
      </c>
      <c r="AB17" s="36">
        <f>IF(U17&gt;0,(X17+Y17)/U17,"–")</f>
        <v/>
      </c>
      <c r="AC17" s="24">
        <f>SUMPRODUCT(--($Q$5:$Q$34&lt;Q17))+1</f>
        <v/>
      </c>
      <c r="AD17" s="2">
        <f>IF(AND(AH17&gt;0,AI17&gt;=AH17*0.999),"Used to capacity",IF(AI17&gt;0,"Marginal (fills the gap)",IF(Z17&gt;0,"Test only (wk 1–2)","Not used")))</f>
        <v/>
      </c>
      <c r="AE17" s="27">
        <f>IF(H17&gt;0,Z17/H17,0)</f>
        <v/>
      </c>
      <c r="AF17" s="27">
        <f>AE17*I17</f>
        <v/>
      </c>
      <c r="AG17" s="27">
        <f>AF17*L17</f>
        <v/>
      </c>
      <c r="AH17" s="27">
        <f>MAX(0,N17-AG17)</f>
        <v/>
      </c>
      <c r="AI17" s="27">
        <f>MIN(AH17,MAX(0,T17-S17))</f>
        <v/>
      </c>
    </row>
    <row r="18">
      <c r="A18" s="2">
        <f>Assumptions!A125</f>
        <v/>
      </c>
      <c r="B18" s="2">
        <f>Assumptions!B125</f>
        <v/>
      </c>
      <c r="C18" s="2">
        <f>Assumptions!C125</f>
        <v/>
      </c>
      <c r="D18" s="2" t="inlineStr">
        <is>
          <t>Channel</t>
        </is>
      </c>
      <c r="E18" s="2">
        <f>Assumptions!D125</f>
        <v/>
      </c>
      <c r="F18" s="38">
        <f>Assumptions!E125</f>
        <v/>
      </c>
      <c r="G18" s="24">
        <f>IF(E18="Free","",Assumptions!F125)</f>
        <v/>
      </c>
      <c r="H18" s="38">
        <f>MAX(0,IF(OR(E18="CPC",E18="Slot"),IF(N(G18)&gt;0,F18/G18,0),F18))</f>
        <v/>
      </c>
      <c r="I18" s="25">
        <f>Assumptions!G125</f>
        <v/>
      </c>
      <c r="J18" s="24">
        <f>IF(AND(OR(E18="CPC",E18="Slot"),NOT(N(G18)&gt;0)),0,IF(E18="Slot",Assumptions!H125*G18,Assumptions!H125))</f>
        <v/>
      </c>
      <c r="K18" s="27">
        <f>J18*I18</f>
        <v/>
      </c>
      <c r="L18" s="26">
        <f>INDEX(Funnel!$G$5:$G$8,MATCH(C18,Funnel!$A$5:$A$8,0))*M18</f>
        <v/>
      </c>
      <c r="M18" s="39">
        <f>Assumptions!I125</f>
        <v/>
      </c>
      <c r="N18" s="27">
        <f>K18*L18</f>
        <v/>
      </c>
      <c r="O18" s="36">
        <f>IF(I18&gt;0,H18/I18,0)</f>
        <v/>
      </c>
      <c r="P18" s="36">
        <f>IF(N18&gt;0,(N18/L18/I18*H18+Assumptions!J125)/N18,0)</f>
        <v/>
      </c>
      <c r="Q18" s="40">
        <f>P18+ROW()/1000000</f>
        <v/>
      </c>
      <c r="R18" s="24">
        <f>SUMPRODUCT(($C$5:$C$34=C18)*($Q$5:$Q$34&lt;Q18))+1</f>
        <v/>
      </c>
      <c r="S18" s="27">
        <f>SUMPRODUCT(($C$5:$C$34=C18)*($Q$5:$Q$34&lt;Q18)*$AH$5:$AH$34)</f>
        <v/>
      </c>
      <c r="T18" s="27">
        <f>INDEX(Funnel!$B$5:$B$8,MATCH(C18,Funnel!$A$5:$A$8,0))-SUMIFS($AG$5:$AG$34,$C$5:$C$34,C18)</f>
        <v/>
      </c>
      <c r="U18" s="41">
        <f>AG18+AI18</f>
        <v/>
      </c>
      <c r="V18" s="27">
        <f>IF(L18&gt;0,U18/L18,0)</f>
        <v/>
      </c>
      <c r="W18" s="24">
        <f>IF(I18&gt;0,V18/I18,0)</f>
        <v/>
      </c>
      <c r="X18" s="36">
        <f>IF(E18="Slot",IF(N(G18)&gt;0,ROUNDUP(W18/G18,0)*MAX(0,F18),0),W18*H18)</f>
        <v/>
      </c>
      <c r="Y18" s="36">
        <f>IF(U18&gt;0,Assumptions!J125,0)</f>
        <v/>
      </c>
      <c r="Z18" s="36">
        <f>IF(AND(D18="Channel",OR(E18="CPC",E18="CPA"),INDEX(Funnel!$B$5:$B$8,MATCH(C18,Funnel!$A$5:$A$8,0))&gt;0),MIN(Assumptions!$D$49,J18*H18,IF(I18*L18&gt;0,INDEX(Funnel!$B$5:$B$8,MATCH(C18,Funnel!$A$5:$A$8,0))/SUMPRODUCT(($C$5:$C$34=C18)*($D$5:$D$34="Channel")*(($E$5:$E$34="CPC")+($E$5:$E$34="CPA")))/(I18*L18)*H18,0)),0)</f>
        <v/>
      </c>
      <c r="AA18" s="36">
        <f>X18+Y18</f>
        <v/>
      </c>
      <c r="AB18" s="36">
        <f>IF(U18&gt;0,(X18+Y18)/U18,"–")</f>
        <v/>
      </c>
      <c r="AC18" s="24">
        <f>SUMPRODUCT(--($Q$5:$Q$34&lt;Q18))+1</f>
        <v/>
      </c>
      <c r="AD18" s="2">
        <f>IF(AND(AH18&gt;0,AI18&gt;=AH18*0.999),"Used to capacity",IF(AI18&gt;0,"Marginal (fills the gap)",IF(Z18&gt;0,"Test only (wk 1–2)","Not used")))</f>
        <v/>
      </c>
      <c r="AE18" s="27">
        <f>IF(H18&gt;0,Z18/H18,0)</f>
        <v/>
      </c>
      <c r="AF18" s="27">
        <f>AE18*I18</f>
        <v/>
      </c>
      <c r="AG18" s="27">
        <f>AF18*L18</f>
        <v/>
      </c>
      <c r="AH18" s="27">
        <f>MAX(0,N18-AG18)</f>
        <v/>
      </c>
      <c r="AI18" s="27">
        <f>MIN(AH18,MAX(0,T18-S18))</f>
        <v/>
      </c>
    </row>
    <row r="19">
      <c r="A19" s="2">
        <f>Assumptions!A126</f>
        <v/>
      </c>
      <c r="B19" s="2">
        <f>Assumptions!B126</f>
        <v/>
      </c>
      <c r="C19" s="2">
        <f>Assumptions!C126</f>
        <v/>
      </c>
      <c r="D19" s="2" t="inlineStr">
        <is>
          <t>Channel</t>
        </is>
      </c>
      <c r="E19" s="2">
        <f>Assumptions!D126</f>
        <v/>
      </c>
      <c r="F19" s="38">
        <f>Assumptions!E126</f>
        <v/>
      </c>
      <c r="G19" s="24">
        <f>IF(E19="Free","",Assumptions!F126)</f>
        <v/>
      </c>
      <c r="H19" s="38">
        <f>MAX(0,IF(OR(E19="CPC",E19="Slot"),IF(N(G19)&gt;0,F19/G19,0),F19))</f>
        <v/>
      </c>
      <c r="I19" s="25">
        <f>Assumptions!G126</f>
        <v/>
      </c>
      <c r="J19" s="24">
        <f>IF(AND(OR(E19="CPC",E19="Slot"),NOT(N(G19)&gt;0)),0,IF(E19="Slot",Assumptions!H126*G19,Assumptions!H126))</f>
        <v/>
      </c>
      <c r="K19" s="27">
        <f>J19*I19</f>
        <v/>
      </c>
      <c r="L19" s="26">
        <f>INDEX(Funnel!$G$5:$G$8,MATCH(C19,Funnel!$A$5:$A$8,0))*M19</f>
        <v/>
      </c>
      <c r="M19" s="39">
        <f>Assumptions!I126</f>
        <v/>
      </c>
      <c r="N19" s="27">
        <f>K19*L19</f>
        <v/>
      </c>
      <c r="O19" s="36">
        <f>IF(I19&gt;0,H19/I19,0)</f>
        <v/>
      </c>
      <c r="P19" s="36">
        <f>IF(N19&gt;0,(N19/L19/I19*H19+Assumptions!J126)/N19,0)</f>
        <v/>
      </c>
      <c r="Q19" s="40">
        <f>P19+ROW()/1000000</f>
        <v/>
      </c>
      <c r="R19" s="24">
        <f>SUMPRODUCT(($C$5:$C$34=C19)*($Q$5:$Q$34&lt;Q19))+1</f>
        <v/>
      </c>
      <c r="S19" s="27">
        <f>SUMPRODUCT(($C$5:$C$34=C19)*($Q$5:$Q$34&lt;Q19)*$AH$5:$AH$34)</f>
        <v/>
      </c>
      <c r="T19" s="27">
        <f>INDEX(Funnel!$B$5:$B$8,MATCH(C19,Funnel!$A$5:$A$8,0))-SUMIFS($AG$5:$AG$34,$C$5:$C$34,C19)</f>
        <v/>
      </c>
      <c r="U19" s="41">
        <f>AG19+AI19</f>
        <v/>
      </c>
      <c r="V19" s="27">
        <f>IF(L19&gt;0,U19/L19,0)</f>
        <v/>
      </c>
      <c r="W19" s="24">
        <f>IF(I19&gt;0,V19/I19,0)</f>
        <v/>
      </c>
      <c r="X19" s="36">
        <f>IF(E19="Slot",IF(N(G19)&gt;0,ROUNDUP(W19/G19,0)*MAX(0,F19),0),W19*H19)</f>
        <v/>
      </c>
      <c r="Y19" s="36">
        <f>IF(U19&gt;0,Assumptions!J126,0)</f>
        <v/>
      </c>
      <c r="Z19" s="36">
        <f>IF(AND(D19="Channel",OR(E19="CPC",E19="CPA"),INDEX(Funnel!$B$5:$B$8,MATCH(C19,Funnel!$A$5:$A$8,0))&gt;0),MIN(Assumptions!$D$49,J19*H19,IF(I19*L19&gt;0,INDEX(Funnel!$B$5:$B$8,MATCH(C19,Funnel!$A$5:$A$8,0))/SUMPRODUCT(($C$5:$C$34=C19)*($D$5:$D$34="Channel")*(($E$5:$E$34="CPC")+($E$5:$E$34="CPA")))/(I19*L19)*H19,0)),0)</f>
        <v/>
      </c>
      <c r="AA19" s="36">
        <f>X19+Y19</f>
        <v/>
      </c>
      <c r="AB19" s="36">
        <f>IF(U19&gt;0,(X19+Y19)/U19,"–")</f>
        <v/>
      </c>
      <c r="AC19" s="24">
        <f>SUMPRODUCT(--($Q$5:$Q$34&lt;Q19))+1</f>
        <v/>
      </c>
      <c r="AD19" s="2">
        <f>IF(AND(AH19&gt;0,AI19&gt;=AH19*0.999),"Used to capacity",IF(AI19&gt;0,"Marginal (fills the gap)",IF(Z19&gt;0,"Test only (wk 1–2)","Not used")))</f>
        <v/>
      </c>
      <c r="AE19" s="27">
        <f>IF(H19&gt;0,Z19/H19,0)</f>
        <v/>
      </c>
      <c r="AF19" s="27">
        <f>AE19*I19</f>
        <v/>
      </c>
      <c r="AG19" s="27">
        <f>AF19*L19</f>
        <v/>
      </c>
      <c r="AH19" s="27">
        <f>MAX(0,N19-AG19)</f>
        <v/>
      </c>
      <c r="AI19" s="27">
        <f>MIN(AH19,MAX(0,T19-S19))</f>
        <v/>
      </c>
    </row>
    <row r="20">
      <c r="A20" s="2">
        <f>Assumptions!A127</f>
        <v/>
      </c>
      <c r="B20" s="2">
        <f>Assumptions!B127</f>
        <v/>
      </c>
      <c r="C20" s="2">
        <f>Assumptions!C127</f>
        <v/>
      </c>
      <c r="D20" s="2" t="inlineStr">
        <is>
          <t>Channel</t>
        </is>
      </c>
      <c r="E20" s="2">
        <f>Assumptions!D127</f>
        <v/>
      </c>
      <c r="F20" s="38">
        <f>Assumptions!E127</f>
        <v/>
      </c>
      <c r="G20" s="24">
        <f>IF(E20="Free","",Assumptions!F127)</f>
        <v/>
      </c>
      <c r="H20" s="38">
        <f>MAX(0,IF(OR(E20="CPC",E20="Slot"),IF(N(G20)&gt;0,F20/G20,0),F20))</f>
        <v/>
      </c>
      <c r="I20" s="25">
        <f>Assumptions!G127</f>
        <v/>
      </c>
      <c r="J20" s="24">
        <f>IF(AND(OR(E20="CPC",E20="Slot"),NOT(N(G20)&gt;0)),0,IF(E20="Slot",Assumptions!H127*G20,Assumptions!H127))</f>
        <v/>
      </c>
      <c r="K20" s="27">
        <f>J20*I20</f>
        <v/>
      </c>
      <c r="L20" s="26">
        <f>INDEX(Funnel!$G$5:$G$8,MATCH(C20,Funnel!$A$5:$A$8,0))*M20</f>
        <v/>
      </c>
      <c r="M20" s="39">
        <f>Assumptions!I127</f>
        <v/>
      </c>
      <c r="N20" s="27">
        <f>K20*L20</f>
        <v/>
      </c>
      <c r="O20" s="36">
        <f>IF(I20&gt;0,H20/I20,0)</f>
        <v/>
      </c>
      <c r="P20" s="36">
        <f>IF(N20&gt;0,(N20/L20/I20*H20+Assumptions!J127)/N20,0)</f>
        <v/>
      </c>
      <c r="Q20" s="40">
        <f>P20+ROW()/1000000</f>
        <v/>
      </c>
      <c r="R20" s="24">
        <f>SUMPRODUCT(($C$5:$C$34=C20)*($Q$5:$Q$34&lt;Q20))+1</f>
        <v/>
      </c>
      <c r="S20" s="27">
        <f>SUMPRODUCT(($C$5:$C$34=C20)*($Q$5:$Q$34&lt;Q20)*$AH$5:$AH$34)</f>
        <v/>
      </c>
      <c r="T20" s="27">
        <f>INDEX(Funnel!$B$5:$B$8,MATCH(C20,Funnel!$A$5:$A$8,0))-SUMIFS($AG$5:$AG$34,$C$5:$C$34,C20)</f>
        <v/>
      </c>
      <c r="U20" s="41">
        <f>AG20+AI20</f>
        <v/>
      </c>
      <c r="V20" s="27">
        <f>IF(L20&gt;0,U20/L20,0)</f>
        <v/>
      </c>
      <c r="W20" s="24">
        <f>IF(I20&gt;0,V20/I20,0)</f>
        <v/>
      </c>
      <c r="X20" s="36">
        <f>IF(E20="Slot",IF(N(G20)&gt;0,ROUNDUP(W20/G20,0)*MAX(0,F20),0),W20*H20)</f>
        <v/>
      </c>
      <c r="Y20" s="36">
        <f>IF(U20&gt;0,Assumptions!J127,0)</f>
        <v/>
      </c>
      <c r="Z20" s="36">
        <f>IF(AND(D20="Channel",OR(E20="CPC",E20="CPA"),INDEX(Funnel!$B$5:$B$8,MATCH(C20,Funnel!$A$5:$A$8,0))&gt;0),MIN(Assumptions!$D$49,J20*H20,IF(I20*L20&gt;0,INDEX(Funnel!$B$5:$B$8,MATCH(C20,Funnel!$A$5:$A$8,0))/SUMPRODUCT(($C$5:$C$34=C20)*($D$5:$D$34="Channel")*(($E$5:$E$34="CPC")+($E$5:$E$34="CPA")))/(I20*L20)*H20,0)),0)</f>
        <v/>
      </c>
      <c r="AA20" s="36">
        <f>X20+Y20</f>
        <v/>
      </c>
      <c r="AB20" s="36">
        <f>IF(U20&gt;0,(X20+Y20)/U20,"–")</f>
        <v/>
      </c>
      <c r="AC20" s="24">
        <f>SUMPRODUCT(--($Q$5:$Q$34&lt;Q20))+1</f>
        <v/>
      </c>
      <c r="AD20" s="2">
        <f>IF(AND(AH20&gt;0,AI20&gt;=AH20*0.999),"Used to capacity",IF(AI20&gt;0,"Marginal (fills the gap)",IF(Z20&gt;0,"Test only (wk 1–2)","Not used")))</f>
        <v/>
      </c>
      <c r="AE20" s="27">
        <f>IF(H20&gt;0,Z20/H20,0)</f>
        <v/>
      </c>
      <c r="AF20" s="27">
        <f>AE20*I20</f>
        <v/>
      </c>
      <c r="AG20" s="27">
        <f>AF20*L20</f>
        <v/>
      </c>
      <c r="AH20" s="27">
        <f>MAX(0,N20-AG20)</f>
        <v/>
      </c>
      <c r="AI20" s="27">
        <f>MIN(AH20,MAX(0,T20-S20))</f>
        <v/>
      </c>
    </row>
    <row r="21">
      <c r="A21" s="2">
        <f>Assumptions!A128</f>
        <v/>
      </c>
      <c r="B21" s="2">
        <f>Assumptions!B128</f>
        <v/>
      </c>
      <c r="C21" s="2">
        <f>Assumptions!C128</f>
        <v/>
      </c>
      <c r="D21" s="2" t="inlineStr">
        <is>
          <t>Channel</t>
        </is>
      </c>
      <c r="E21" s="2">
        <f>Assumptions!D128</f>
        <v/>
      </c>
      <c r="F21" s="38">
        <f>Assumptions!E128</f>
        <v/>
      </c>
      <c r="G21" s="24">
        <f>IF(E21="Free","",Assumptions!F128)</f>
        <v/>
      </c>
      <c r="H21" s="38">
        <f>MAX(0,IF(OR(E21="CPC",E21="Slot"),IF(N(G21)&gt;0,F21/G21,0),F21))</f>
        <v/>
      </c>
      <c r="I21" s="25">
        <f>Assumptions!G128</f>
        <v/>
      </c>
      <c r="J21" s="24">
        <f>IF(AND(OR(E21="CPC",E21="Slot"),NOT(N(G21)&gt;0)),0,IF(E21="Slot",Assumptions!H128*G21,Assumptions!H128))</f>
        <v/>
      </c>
      <c r="K21" s="27">
        <f>J21*I21</f>
        <v/>
      </c>
      <c r="L21" s="26">
        <f>INDEX(Funnel!$G$5:$G$8,MATCH(C21,Funnel!$A$5:$A$8,0))*M21</f>
        <v/>
      </c>
      <c r="M21" s="39">
        <f>Assumptions!I128</f>
        <v/>
      </c>
      <c r="N21" s="27">
        <f>K21*L21</f>
        <v/>
      </c>
      <c r="O21" s="36">
        <f>IF(I21&gt;0,H21/I21,0)</f>
        <v/>
      </c>
      <c r="P21" s="36">
        <f>IF(N21&gt;0,(N21/L21/I21*H21+Assumptions!J128)/N21,0)</f>
        <v/>
      </c>
      <c r="Q21" s="40">
        <f>P21+ROW()/1000000</f>
        <v/>
      </c>
      <c r="R21" s="24">
        <f>SUMPRODUCT(($C$5:$C$34=C21)*($Q$5:$Q$34&lt;Q21))+1</f>
        <v/>
      </c>
      <c r="S21" s="27">
        <f>SUMPRODUCT(($C$5:$C$34=C21)*($Q$5:$Q$34&lt;Q21)*$AH$5:$AH$34)</f>
        <v/>
      </c>
      <c r="T21" s="27">
        <f>INDEX(Funnel!$B$5:$B$8,MATCH(C21,Funnel!$A$5:$A$8,0))-SUMIFS($AG$5:$AG$34,$C$5:$C$34,C21)</f>
        <v/>
      </c>
      <c r="U21" s="41">
        <f>AG21+AI21</f>
        <v/>
      </c>
      <c r="V21" s="27">
        <f>IF(L21&gt;0,U21/L21,0)</f>
        <v/>
      </c>
      <c r="W21" s="24">
        <f>IF(I21&gt;0,V21/I21,0)</f>
        <v/>
      </c>
      <c r="X21" s="36">
        <f>IF(E21="Slot",IF(N(G21)&gt;0,ROUNDUP(W21/G21,0)*MAX(0,F21),0),W21*H21)</f>
        <v/>
      </c>
      <c r="Y21" s="36">
        <f>IF(U21&gt;0,Assumptions!J128,0)</f>
        <v/>
      </c>
      <c r="Z21" s="36">
        <f>IF(AND(D21="Channel",OR(E21="CPC",E21="CPA"),INDEX(Funnel!$B$5:$B$8,MATCH(C21,Funnel!$A$5:$A$8,0))&gt;0),MIN(Assumptions!$D$49,J21*H21,IF(I21*L21&gt;0,INDEX(Funnel!$B$5:$B$8,MATCH(C21,Funnel!$A$5:$A$8,0))/SUMPRODUCT(($C$5:$C$34=C21)*($D$5:$D$34="Channel")*(($E$5:$E$34="CPC")+($E$5:$E$34="CPA")))/(I21*L21)*H21,0)),0)</f>
        <v/>
      </c>
      <c r="AA21" s="36">
        <f>X21+Y21</f>
        <v/>
      </c>
      <c r="AB21" s="36">
        <f>IF(U21&gt;0,(X21+Y21)/U21,"–")</f>
        <v/>
      </c>
      <c r="AC21" s="24">
        <f>SUMPRODUCT(--($Q$5:$Q$34&lt;Q21))+1</f>
        <v/>
      </c>
      <c r="AD21" s="2">
        <f>IF(AND(AH21&gt;0,AI21&gt;=AH21*0.999),"Used to capacity",IF(AI21&gt;0,"Marginal (fills the gap)",IF(Z21&gt;0,"Test only (wk 1–2)","Not used")))</f>
        <v/>
      </c>
      <c r="AE21" s="27">
        <f>IF(H21&gt;0,Z21/H21,0)</f>
        <v/>
      </c>
      <c r="AF21" s="27">
        <f>AE21*I21</f>
        <v/>
      </c>
      <c r="AG21" s="27">
        <f>AF21*L21</f>
        <v/>
      </c>
      <c r="AH21" s="27">
        <f>MAX(0,N21-AG21)</f>
        <v/>
      </c>
      <c r="AI21" s="27">
        <f>MIN(AH21,MAX(0,T21-S21))</f>
        <v/>
      </c>
    </row>
    <row r="22">
      <c r="A22" s="2">
        <f>Assumptions!A129</f>
        <v/>
      </c>
      <c r="B22" s="2">
        <f>Assumptions!B129</f>
        <v/>
      </c>
      <c r="C22" s="2">
        <f>Assumptions!C129</f>
        <v/>
      </c>
      <c r="D22" s="2" t="inlineStr">
        <is>
          <t>Channel</t>
        </is>
      </c>
      <c r="E22" s="2">
        <f>Assumptions!D129</f>
        <v/>
      </c>
      <c r="F22" s="38">
        <f>Assumptions!E129</f>
        <v/>
      </c>
      <c r="G22" s="24">
        <f>IF(E22="Free","",Assumptions!F129)</f>
        <v/>
      </c>
      <c r="H22" s="38">
        <f>MAX(0,IF(OR(E22="CPC",E22="Slot"),IF(N(G22)&gt;0,F22/G22,0),F22))</f>
        <v/>
      </c>
      <c r="I22" s="25">
        <f>Assumptions!G129</f>
        <v/>
      </c>
      <c r="J22" s="24">
        <f>IF(AND(OR(E22="CPC",E22="Slot"),NOT(N(G22)&gt;0)),0,IF(E22="Slot",Assumptions!H129*G22,Assumptions!H129))</f>
        <v/>
      </c>
      <c r="K22" s="27">
        <f>J22*I22</f>
        <v/>
      </c>
      <c r="L22" s="26">
        <f>INDEX(Funnel!$G$5:$G$8,MATCH(C22,Funnel!$A$5:$A$8,0))*M22</f>
        <v/>
      </c>
      <c r="M22" s="39">
        <f>Assumptions!I129</f>
        <v/>
      </c>
      <c r="N22" s="27">
        <f>K22*L22</f>
        <v/>
      </c>
      <c r="O22" s="36">
        <f>IF(I22&gt;0,H22/I22,0)</f>
        <v/>
      </c>
      <c r="P22" s="36">
        <f>IF(N22&gt;0,(N22/L22/I22*H22+Assumptions!J129)/N22,0)</f>
        <v/>
      </c>
      <c r="Q22" s="40">
        <f>P22+ROW()/1000000</f>
        <v/>
      </c>
      <c r="R22" s="24">
        <f>SUMPRODUCT(($C$5:$C$34=C22)*($Q$5:$Q$34&lt;Q22))+1</f>
        <v/>
      </c>
      <c r="S22" s="27">
        <f>SUMPRODUCT(($C$5:$C$34=C22)*($Q$5:$Q$34&lt;Q22)*$AH$5:$AH$34)</f>
        <v/>
      </c>
      <c r="T22" s="27">
        <f>INDEX(Funnel!$B$5:$B$8,MATCH(C22,Funnel!$A$5:$A$8,0))-SUMIFS($AG$5:$AG$34,$C$5:$C$34,C22)</f>
        <v/>
      </c>
      <c r="U22" s="41">
        <f>AG22+AI22</f>
        <v/>
      </c>
      <c r="V22" s="27">
        <f>IF(L22&gt;0,U22/L22,0)</f>
        <v/>
      </c>
      <c r="W22" s="24">
        <f>IF(I22&gt;0,V22/I22,0)</f>
        <v/>
      </c>
      <c r="X22" s="36">
        <f>IF(E22="Slot",IF(N(G22)&gt;0,ROUNDUP(W22/G22,0)*MAX(0,F22),0),W22*H22)</f>
        <v/>
      </c>
      <c r="Y22" s="36">
        <f>IF(U22&gt;0,Assumptions!J129,0)</f>
        <v/>
      </c>
      <c r="Z22" s="36">
        <f>IF(AND(D22="Channel",OR(E22="CPC",E22="CPA"),INDEX(Funnel!$B$5:$B$8,MATCH(C22,Funnel!$A$5:$A$8,0))&gt;0),MIN(Assumptions!$D$49,J22*H22,IF(I22*L22&gt;0,INDEX(Funnel!$B$5:$B$8,MATCH(C22,Funnel!$A$5:$A$8,0))/SUMPRODUCT(($C$5:$C$34=C22)*($D$5:$D$34="Channel")*(($E$5:$E$34="CPC")+($E$5:$E$34="CPA")))/(I22*L22)*H22,0)),0)</f>
        <v/>
      </c>
      <c r="AA22" s="36">
        <f>X22+Y22</f>
        <v/>
      </c>
      <c r="AB22" s="36">
        <f>IF(U22&gt;0,(X22+Y22)/U22,"–")</f>
        <v/>
      </c>
      <c r="AC22" s="24">
        <f>SUMPRODUCT(--($Q$5:$Q$34&lt;Q22))+1</f>
        <v/>
      </c>
      <c r="AD22" s="2">
        <f>IF(AND(AH22&gt;0,AI22&gt;=AH22*0.999),"Used to capacity",IF(AI22&gt;0,"Marginal (fills the gap)",IF(Z22&gt;0,"Test only (wk 1–2)","Not used")))</f>
        <v/>
      </c>
      <c r="AE22" s="27">
        <f>IF(H22&gt;0,Z22/H22,0)</f>
        <v/>
      </c>
      <c r="AF22" s="27">
        <f>AE22*I22</f>
        <v/>
      </c>
      <c r="AG22" s="27">
        <f>AF22*L22</f>
        <v/>
      </c>
      <c r="AH22" s="27">
        <f>MAX(0,N22-AG22)</f>
        <v/>
      </c>
      <c r="AI22" s="27">
        <f>MIN(AH22,MAX(0,T22-S22))</f>
        <v/>
      </c>
    </row>
    <row r="23">
      <c r="A23" s="2">
        <f>Assumptions!A130</f>
        <v/>
      </c>
      <c r="B23" s="2">
        <f>Assumptions!B130</f>
        <v/>
      </c>
      <c r="C23" s="2">
        <f>Assumptions!C130</f>
        <v/>
      </c>
      <c r="D23" s="2" t="inlineStr">
        <is>
          <t>Channel</t>
        </is>
      </c>
      <c r="E23" s="2">
        <f>Assumptions!D130</f>
        <v/>
      </c>
      <c r="F23" s="38">
        <f>Assumptions!E130</f>
        <v/>
      </c>
      <c r="G23" s="24">
        <f>IF(E23="Free","",Assumptions!F130)</f>
        <v/>
      </c>
      <c r="H23" s="38">
        <f>MAX(0,IF(OR(E23="CPC",E23="Slot"),IF(N(G23)&gt;0,F23/G23,0),F23))</f>
        <v/>
      </c>
      <c r="I23" s="25">
        <f>Assumptions!G130</f>
        <v/>
      </c>
      <c r="J23" s="24">
        <f>IF(AND(OR(E23="CPC",E23="Slot"),NOT(N(G23)&gt;0)),0,IF(E23="Slot",Assumptions!H130*G23,Assumptions!H130))</f>
        <v/>
      </c>
      <c r="K23" s="27">
        <f>J23*I23</f>
        <v/>
      </c>
      <c r="L23" s="26">
        <f>INDEX(Funnel!$G$5:$G$8,MATCH(C23,Funnel!$A$5:$A$8,0))*M23</f>
        <v/>
      </c>
      <c r="M23" s="39">
        <f>Assumptions!I130</f>
        <v/>
      </c>
      <c r="N23" s="27">
        <f>K23*L23</f>
        <v/>
      </c>
      <c r="O23" s="36">
        <f>IF(I23&gt;0,H23/I23,0)</f>
        <v/>
      </c>
      <c r="P23" s="36">
        <f>IF(N23&gt;0,(N23/L23/I23*H23+Assumptions!J130)/N23,0)</f>
        <v/>
      </c>
      <c r="Q23" s="40">
        <f>P23+ROW()/1000000</f>
        <v/>
      </c>
      <c r="R23" s="24">
        <f>SUMPRODUCT(($C$5:$C$34=C23)*($Q$5:$Q$34&lt;Q23))+1</f>
        <v/>
      </c>
      <c r="S23" s="27">
        <f>SUMPRODUCT(($C$5:$C$34=C23)*($Q$5:$Q$34&lt;Q23)*$AH$5:$AH$34)</f>
        <v/>
      </c>
      <c r="T23" s="27">
        <f>INDEX(Funnel!$B$5:$B$8,MATCH(C23,Funnel!$A$5:$A$8,0))-SUMIFS($AG$5:$AG$34,$C$5:$C$34,C23)</f>
        <v/>
      </c>
      <c r="U23" s="41">
        <f>AG23+AI23</f>
        <v/>
      </c>
      <c r="V23" s="27">
        <f>IF(L23&gt;0,U23/L23,0)</f>
        <v/>
      </c>
      <c r="W23" s="24">
        <f>IF(I23&gt;0,V23/I23,0)</f>
        <v/>
      </c>
      <c r="X23" s="36">
        <f>IF(E23="Slot",IF(N(G23)&gt;0,ROUNDUP(W23/G23,0)*MAX(0,F23),0),W23*H23)</f>
        <v/>
      </c>
      <c r="Y23" s="36">
        <f>IF(U23&gt;0,Assumptions!J130,0)</f>
        <v/>
      </c>
      <c r="Z23" s="36">
        <f>IF(AND(D23="Channel",OR(E23="CPC",E23="CPA"),INDEX(Funnel!$B$5:$B$8,MATCH(C23,Funnel!$A$5:$A$8,0))&gt;0),MIN(Assumptions!$D$49,J23*H23,IF(I23*L23&gt;0,INDEX(Funnel!$B$5:$B$8,MATCH(C23,Funnel!$A$5:$A$8,0))/SUMPRODUCT(($C$5:$C$34=C23)*($D$5:$D$34="Channel")*(($E$5:$E$34="CPC")+($E$5:$E$34="CPA")))/(I23*L23)*H23,0)),0)</f>
        <v/>
      </c>
      <c r="AA23" s="36">
        <f>X23+Y23</f>
        <v/>
      </c>
      <c r="AB23" s="36">
        <f>IF(U23&gt;0,(X23+Y23)/U23,"–")</f>
        <v/>
      </c>
      <c r="AC23" s="24">
        <f>SUMPRODUCT(--($Q$5:$Q$34&lt;Q23))+1</f>
        <v/>
      </c>
      <c r="AD23" s="2">
        <f>IF(AND(AH23&gt;0,AI23&gt;=AH23*0.999),"Used to capacity",IF(AI23&gt;0,"Marginal (fills the gap)",IF(Z23&gt;0,"Test only (wk 1–2)","Not used")))</f>
        <v/>
      </c>
      <c r="AE23" s="27">
        <f>IF(H23&gt;0,Z23/H23,0)</f>
        <v/>
      </c>
      <c r="AF23" s="27">
        <f>AE23*I23</f>
        <v/>
      </c>
      <c r="AG23" s="27">
        <f>AF23*L23</f>
        <v/>
      </c>
      <c r="AH23" s="27">
        <f>MAX(0,N23-AG23)</f>
        <v/>
      </c>
      <c r="AI23" s="27">
        <f>MIN(AH23,MAX(0,T23-S23))</f>
        <v/>
      </c>
    </row>
    <row r="24">
      <c r="A24" s="2">
        <f>Assumptions!A131</f>
        <v/>
      </c>
      <c r="B24" s="2">
        <f>Assumptions!B131</f>
        <v/>
      </c>
      <c r="C24" s="2">
        <f>Assumptions!C131</f>
        <v/>
      </c>
      <c r="D24" s="2" t="inlineStr">
        <is>
          <t>Channel</t>
        </is>
      </c>
      <c r="E24" s="2">
        <f>Assumptions!D131</f>
        <v/>
      </c>
      <c r="F24" s="38">
        <f>Assumptions!E131</f>
        <v/>
      </c>
      <c r="G24" s="24">
        <f>IF(E24="Free","",Assumptions!F131)</f>
        <v/>
      </c>
      <c r="H24" s="38">
        <f>MAX(0,IF(OR(E24="CPC",E24="Slot"),IF(N(G24)&gt;0,F24/G24,0),F24))</f>
        <v/>
      </c>
      <c r="I24" s="25">
        <f>Assumptions!G131</f>
        <v/>
      </c>
      <c r="J24" s="24">
        <f>IF(AND(OR(E24="CPC",E24="Slot"),NOT(N(G24)&gt;0)),0,IF(E24="Slot",Assumptions!H131*G24,Assumptions!H131))</f>
        <v/>
      </c>
      <c r="K24" s="27">
        <f>J24*I24</f>
        <v/>
      </c>
      <c r="L24" s="26">
        <f>INDEX(Funnel!$G$5:$G$8,MATCH(C24,Funnel!$A$5:$A$8,0))*M24</f>
        <v/>
      </c>
      <c r="M24" s="39">
        <f>Assumptions!I131</f>
        <v/>
      </c>
      <c r="N24" s="27">
        <f>K24*L24</f>
        <v/>
      </c>
      <c r="O24" s="36">
        <f>IF(I24&gt;0,H24/I24,0)</f>
        <v/>
      </c>
      <c r="P24" s="36">
        <f>IF(N24&gt;0,(N24/L24/I24*H24+Assumptions!J131)/N24,0)</f>
        <v/>
      </c>
      <c r="Q24" s="40">
        <f>P24+ROW()/1000000</f>
        <v/>
      </c>
      <c r="R24" s="24">
        <f>SUMPRODUCT(($C$5:$C$34=C24)*($Q$5:$Q$34&lt;Q24))+1</f>
        <v/>
      </c>
      <c r="S24" s="27">
        <f>SUMPRODUCT(($C$5:$C$34=C24)*($Q$5:$Q$34&lt;Q24)*$AH$5:$AH$34)</f>
        <v/>
      </c>
      <c r="T24" s="27">
        <f>INDEX(Funnel!$B$5:$B$8,MATCH(C24,Funnel!$A$5:$A$8,0))-SUMIFS($AG$5:$AG$34,$C$5:$C$34,C24)</f>
        <v/>
      </c>
      <c r="U24" s="41">
        <f>AG24+AI24</f>
        <v/>
      </c>
      <c r="V24" s="27">
        <f>IF(L24&gt;0,U24/L24,0)</f>
        <v/>
      </c>
      <c r="W24" s="24">
        <f>IF(I24&gt;0,V24/I24,0)</f>
        <v/>
      </c>
      <c r="X24" s="36">
        <f>IF(E24="Slot",IF(N(G24)&gt;0,ROUNDUP(W24/G24,0)*MAX(0,F24),0),W24*H24)</f>
        <v/>
      </c>
      <c r="Y24" s="36">
        <f>IF(U24&gt;0,Assumptions!J131,0)</f>
        <v/>
      </c>
      <c r="Z24" s="36">
        <f>IF(AND(D24="Channel",OR(E24="CPC",E24="CPA"),INDEX(Funnel!$B$5:$B$8,MATCH(C24,Funnel!$A$5:$A$8,0))&gt;0),MIN(Assumptions!$D$49,J24*H24,IF(I24*L24&gt;0,INDEX(Funnel!$B$5:$B$8,MATCH(C24,Funnel!$A$5:$A$8,0))/SUMPRODUCT(($C$5:$C$34=C24)*($D$5:$D$34="Channel")*(($E$5:$E$34="CPC")+($E$5:$E$34="CPA")))/(I24*L24)*H24,0)),0)</f>
        <v/>
      </c>
      <c r="AA24" s="36">
        <f>X24+Y24</f>
        <v/>
      </c>
      <c r="AB24" s="36">
        <f>IF(U24&gt;0,(X24+Y24)/U24,"–")</f>
        <v/>
      </c>
      <c r="AC24" s="24">
        <f>SUMPRODUCT(--($Q$5:$Q$34&lt;Q24))+1</f>
        <v/>
      </c>
      <c r="AD24" s="2">
        <f>IF(AND(AH24&gt;0,AI24&gt;=AH24*0.999),"Used to capacity",IF(AI24&gt;0,"Marginal (fills the gap)",IF(Z24&gt;0,"Test only (wk 1–2)","Not used")))</f>
        <v/>
      </c>
      <c r="AE24" s="27">
        <f>IF(H24&gt;0,Z24/H24,0)</f>
        <v/>
      </c>
      <c r="AF24" s="27">
        <f>AE24*I24</f>
        <v/>
      </c>
      <c r="AG24" s="27">
        <f>AF24*L24</f>
        <v/>
      </c>
      <c r="AH24" s="27">
        <f>MAX(0,N24-AG24)</f>
        <v/>
      </c>
      <c r="AI24" s="27">
        <f>MIN(AH24,MAX(0,T24-S24))</f>
        <v/>
      </c>
    </row>
    <row r="25">
      <c r="A25" s="2" t="inlineStr">
        <is>
          <t>I1a-E</t>
        </is>
      </c>
      <c r="B25" s="2" t="inlineStr">
        <is>
          <t>I1a Talent rediscovery (past applicants in ATS)</t>
        </is>
      </c>
      <c r="C25" s="2" t="inlineStr">
        <is>
          <t>Electricians</t>
        </is>
      </c>
      <c r="D25" s="2" t="inlineStr">
        <is>
          <t>Initiative</t>
        </is>
      </c>
      <c r="E25" s="2" t="inlineStr">
        <is>
          <t>CPA</t>
        </is>
      </c>
      <c r="F25" s="38">
        <f>Initiatives!B11</f>
        <v/>
      </c>
      <c r="G25" s="2" t="inlineStr"/>
      <c r="H25" s="38">
        <f>F25</f>
        <v/>
      </c>
      <c r="I25" s="25">
        <f>Initiatives!B8</f>
        <v/>
      </c>
      <c r="J25" s="24">
        <f>Initiatives!B7</f>
        <v/>
      </c>
      <c r="K25" s="27">
        <f>J25*I25</f>
        <v/>
      </c>
      <c r="L25" s="26">
        <f>INDEX(Funnel!$G$5:$G$8,MATCH(C25,Funnel!$A$5:$A$8,0))*M25</f>
        <v/>
      </c>
      <c r="M25" s="39">
        <f>Assumptions!$D$148</f>
        <v/>
      </c>
      <c r="N25" s="27">
        <f>K25*L25</f>
        <v/>
      </c>
      <c r="O25" s="36">
        <f>IF(I25&gt;0,H25/I25,0)</f>
        <v/>
      </c>
      <c r="P25" s="36">
        <f>IF(N25&gt;0,(N25/L25/I25*H25+0)/N25,0)</f>
        <v/>
      </c>
      <c r="Q25" s="40">
        <f>P25+ROW()/1000000</f>
        <v/>
      </c>
      <c r="R25" s="24">
        <f>SUMPRODUCT(($C$5:$C$34=C25)*($Q$5:$Q$34&lt;Q25))+1</f>
        <v/>
      </c>
      <c r="S25" s="27">
        <f>SUMPRODUCT(($C$5:$C$34=C25)*($Q$5:$Q$34&lt;Q25)*$AH$5:$AH$34)</f>
        <v/>
      </c>
      <c r="T25" s="27">
        <f>INDEX(Funnel!$B$5:$B$8,MATCH(C25,Funnel!$A$5:$A$8,0))-SUMIFS($AG$5:$AG$34,$C$5:$C$34,C25)</f>
        <v/>
      </c>
      <c r="U25" s="41">
        <f>AG25+AI25</f>
        <v/>
      </c>
      <c r="V25" s="27">
        <f>IF(L25&gt;0,U25/L25,0)</f>
        <v/>
      </c>
      <c r="W25" s="24">
        <f>IF(I25&gt;0,V25/I25,0)</f>
        <v/>
      </c>
      <c r="X25" s="36">
        <f>IF(E25="Slot",IF(N(G25)&gt;0,ROUNDUP(W25/G25,0)*MAX(0,F25),0),W25*H25)</f>
        <v/>
      </c>
      <c r="Y25" s="36">
        <f>IF(U25&gt;0,0,0)</f>
        <v/>
      </c>
      <c r="Z25" s="36">
        <f>IF(AND(D25="Channel",OR(E25="CPC",E25="CPA"),INDEX(Funnel!$B$5:$B$8,MATCH(C25,Funnel!$A$5:$A$8,0))&gt;0),MIN(Assumptions!$D$49,J25*H25,IF(I25*L25&gt;0,INDEX(Funnel!$B$5:$B$8,MATCH(C25,Funnel!$A$5:$A$8,0))/SUMPRODUCT(($C$5:$C$34=C25)*($D$5:$D$34="Channel")*(($E$5:$E$34="CPC")+($E$5:$E$34="CPA")))/(I25*L25)*H25,0)),0)</f>
        <v/>
      </c>
      <c r="AA25" s="36">
        <f>X25+Y25</f>
        <v/>
      </c>
      <c r="AB25" s="36">
        <f>IF(U25&gt;0,(X25+Y25)/U25,"–")</f>
        <v/>
      </c>
      <c r="AC25" s="24">
        <f>SUMPRODUCT(--($Q$5:$Q$34&lt;Q25))+1</f>
        <v/>
      </c>
      <c r="AD25" s="2">
        <f>IF(AND(AH25&gt;0,AI25&gt;=AH25*0.999),"Used to capacity",IF(AI25&gt;0,"Marginal (fills the gap)",IF(Z25&gt;0,"Test only (wk 1–2)","Not used")))</f>
        <v/>
      </c>
      <c r="AE25" s="27">
        <f>IF(H25&gt;0,Z25/H25,0)</f>
        <v/>
      </c>
      <c r="AF25" s="27">
        <f>AE25*I25</f>
        <v/>
      </c>
      <c r="AG25" s="27">
        <f>AF25*L25</f>
        <v/>
      </c>
      <c r="AH25" s="27">
        <f>MAX(0,N25-AG25)</f>
        <v/>
      </c>
      <c r="AI25" s="27">
        <f>MIN(AH25,MAX(0,T25-S25))</f>
        <v/>
      </c>
    </row>
    <row r="26">
      <c r="A26" s="2" t="inlineStr">
        <is>
          <t>I1a-M</t>
        </is>
      </c>
      <c r="B26" s="2" t="inlineStr">
        <is>
          <t>I1a Talent rediscovery (past applicants in ATS)</t>
        </is>
      </c>
      <c r="C26" s="2" t="inlineStr">
        <is>
          <t>Mechatronics</t>
        </is>
      </c>
      <c r="D26" s="2" t="inlineStr">
        <is>
          <t>Initiative</t>
        </is>
      </c>
      <c r="E26" s="2" t="inlineStr">
        <is>
          <t>CPA</t>
        </is>
      </c>
      <c r="F26" s="38">
        <f>Initiatives!C11</f>
        <v/>
      </c>
      <c r="G26" s="2" t="inlineStr"/>
      <c r="H26" s="38">
        <f>F26</f>
        <v/>
      </c>
      <c r="I26" s="25">
        <f>Initiatives!C8</f>
        <v/>
      </c>
      <c r="J26" s="24">
        <f>Initiatives!C7</f>
        <v/>
      </c>
      <c r="K26" s="27">
        <f>J26*I26</f>
        <v/>
      </c>
      <c r="L26" s="26">
        <f>INDEX(Funnel!$G$5:$G$8,MATCH(C26,Funnel!$A$5:$A$8,0))*M26</f>
        <v/>
      </c>
      <c r="M26" s="39">
        <f>Assumptions!$D$148</f>
        <v/>
      </c>
      <c r="N26" s="27">
        <f>K26*L26</f>
        <v/>
      </c>
      <c r="O26" s="36">
        <f>IF(I26&gt;0,H26/I26,0)</f>
        <v/>
      </c>
      <c r="P26" s="36">
        <f>IF(N26&gt;0,(N26/L26/I26*H26+0)/N26,0)</f>
        <v/>
      </c>
      <c r="Q26" s="40">
        <f>P26+ROW()/1000000</f>
        <v/>
      </c>
      <c r="R26" s="24">
        <f>SUMPRODUCT(($C$5:$C$34=C26)*($Q$5:$Q$34&lt;Q26))+1</f>
        <v/>
      </c>
      <c r="S26" s="27">
        <f>SUMPRODUCT(($C$5:$C$34=C26)*($Q$5:$Q$34&lt;Q26)*$AH$5:$AH$34)</f>
        <v/>
      </c>
      <c r="T26" s="27">
        <f>INDEX(Funnel!$B$5:$B$8,MATCH(C26,Funnel!$A$5:$A$8,0))-SUMIFS($AG$5:$AG$34,$C$5:$C$34,C26)</f>
        <v/>
      </c>
      <c r="U26" s="41">
        <f>AG26+AI26</f>
        <v/>
      </c>
      <c r="V26" s="27">
        <f>IF(L26&gt;0,U26/L26,0)</f>
        <v/>
      </c>
      <c r="W26" s="24">
        <f>IF(I26&gt;0,V26/I26,0)</f>
        <v/>
      </c>
      <c r="X26" s="36">
        <f>IF(E26="Slot",IF(N(G26)&gt;0,ROUNDUP(W26/G26,0)*MAX(0,F26),0),W26*H26)</f>
        <v/>
      </c>
      <c r="Y26" s="36">
        <f>IF(U26&gt;0,0,0)</f>
        <v/>
      </c>
      <c r="Z26" s="36">
        <f>IF(AND(D26="Channel",OR(E26="CPC",E26="CPA"),INDEX(Funnel!$B$5:$B$8,MATCH(C26,Funnel!$A$5:$A$8,0))&gt;0),MIN(Assumptions!$D$49,J26*H26,IF(I26*L26&gt;0,INDEX(Funnel!$B$5:$B$8,MATCH(C26,Funnel!$A$5:$A$8,0))/SUMPRODUCT(($C$5:$C$34=C26)*($D$5:$D$34="Channel")*(($E$5:$E$34="CPC")+($E$5:$E$34="CPA")))/(I26*L26)*H26,0)),0)</f>
        <v/>
      </c>
      <c r="AA26" s="36">
        <f>X26+Y26</f>
        <v/>
      </c>
      <c r="AB26" s="36">
        <f>IF(U26&gt;0,(X26+Y26)/U26,"–")</f>
        <v/>
      </c>
      <c r="AC26" s="24">
        <f>SUMPRODUCT(--($Q$5:$Q$34&lt;Q26))+1</f>
        <v/>
      </c>
      <c r="AD26" s="2">
        <f>IF(AND(AH26&gt;0,AI26&gt;=AH26*0.999),"Used to capacity",IF(AI26&gt;0,"Marginal (fills the gap)",IF(Z26&gt;0,"Test only (wk 1–2)","Not used")))</f>
        <v/>
      </c>
      <c r="AE26" s="27">
        <f>IF(H26&gt;0,Z26/H26,0)</f>
        <v/>
      </c>
      <c r="AF26" s="27">
        <f>AE26*I26</f>
        <v/>
      </c>
      <c r="AG26" s="27">
        <f>AF26*L26</f>
        <v/>
      </c>
      <c r="AH26" s="27">
        <f>MAX(0,N26-AG26)</f>
        <v/>
      </c>
      <c r="AI26" s="27">
        <f>MIN(AH26,MAX(0,T26-S26))</f>
        <v/>
      </c>
    </row>
    <row r="27">
      <c r="A27" s="2" t="inlineStr">
        <is>
          <t>I1a-A</t>
        </is>
      </c>
      <c r="B27" s="2" t="inlineStr">
        <is>
          <t>I1a Talent rediscovery (past applicants in ATS)</t>
        </is>
      </c>
      <c r="C27" s="2" t="inlineStr">
        <is>
          <t>Automation</t>
        </is>
      </c>
      <c r="D27" s="2" t="inlineStr">
        <is>
          <t>Initiative</t>
        </is>
      </c>
      <c r="E27" s="2" t="inlineStr">
        <is>
          <t>CPA</t>
        </is>
      </c>
      <c r="F27" s="38">
        <f>Initiatives!D11</f>
        <v/>
      </c>
      <c r="G27" s="2" t="inlineStr"/>
      <c r="H27" s="38">
        <f>F27</f>
        <v/>
      </c>
      <c r="I27" s="25">
        <f>Initiatives!D8</f>
        <v/>
      </c>
      <c r="J27" s="24">
        <f>Initiatives!D7</f>
        <v/>
      </c>
      <c r="K27" s="27">
        <f>J27*I27</f>
        <v/>
      </c>
      <c r="L27" s="26">
        <f>INDEX(Funnel!$G$5:$G$8,MATCH(C27,Funnel!$A$5:$A$8,0))*M27</f>
        <v/>
      </c>
      <c r="M27" s="39">
        <f>Assumptions!$D$148</f>
        <v/>
      </c>
      <c r="N27" s="27">
        <f>K27*L27</f>
        <v/>
      </c>
      <c r="O27" s="36">
        <f>IF(I27&gt;0,H27/I27,0)</f>
        <v/>
      </c>
      <c r="P27" s="36">
        <f>IF(N27&gt;0,(N27/L27/I27*H27+0)/N27,0)</f>
        <v/>
      </c>
      <c r="Q27" s="40">
        <f>P27+ROW()/1000000</f>
        <v/>
      </c>
      <c r="R27" s="24">
        <f>SUMPRODUCT(($C$5:$C$34=C27)*($Q$5:$Q$34&lt;Q27))+1</f>
        <v/>
      </c>
      <c r="S27" s="27">
        <f>SUMPRODUCT(($C$5:$C$34=C27)*($Q$5:$Q$34&lt;Q27)*$AH$5:$AH$34)</f>
        <v/>
      </c>
      <c r="T27" s="27">
        <f>INDEX(Funnel!$B$5:$B$8,MATCH(C27,Funnel!$A$5:$A$8,0))-SUMIFS($AG$5:$AG$34,$C$5:$C$34,C27)</f>
        <v/>
      </c>
      <c r="U27" s="41">
        <f>AG27+AI27</f>
        <v/>
      </c>
      <c r="V27" s="27">
        <f>IF(L27&gt;0,U27/L27,0)</f>
        <v/>
      </c>
      <c r="W27" s="24">
        <f>IF(I27&gt;0,V27/I27,0)</f>
        <v/>
      </c>
      <c r="X27" s="36">
        <f>IF(E27="Slot",IF(N(G27)&gt;0,ROUNDUP(W27/G27,0)*MAX(0,F27),0),W27*H27)</f>
        <v/>
      </c>
      <c r="Y27" s="36">
        <f>IF(U27&gt;0,0,0)</f>
        <v/>
      </c>
      <c r="Z27" s="36">
        <f>IF(AND(D27="Channel",OR(E27="CPC",E27="CPA"),INDEX(Funnel!$B$5:$B$8,MATCH(C27,Funnel!$A$5:$A$8,0))&gt;0),MIN(Assumptions!$D$49,J27*H27,IF(I27*L27&gt;0,INDEX(Funnel!$B$5:$B$8,MATCH(C27,Funnel!$A$5:$A$8,0))/SUMPRODUCT(($C$5:$C$34=C27)*($D$5:$D$34="Channel")*(($E$5:$E$34="CPC")+($E$5:$E$34="CPA")))/(I27*L27)*H27,0)),0)</f>
        <v/>
      </c>
      <c r="AA27" s="36">
        <f>X27+Y27</f>
        <v/>
      </c>
      <c r="AB27" s="36">
        <f>IF(U27&gt;0,(X27+Y27)/U27,"–")</f>
        <v/>
      </c>
      <c r="AC27" s="24">
        <f>SUMPRODUCT(--($Q$5:$Q$34&lt;Q27))+1</f>
        <v/>
      </c>
      <c r="AD27" s="2">
        <f>IF(AND(AH27&gt;0,AI27&gt;=AH27*0.999),"Used to capacity",IF(AI27&gt;0,"Marginal (fills the gap)",IF(Z27&gt;0,"Test only (wk 1–2)","Not used")))</f>
        <v/>
      </c>
      <c r="AE27" s="27">
        <f>IF(H27&gt;0,Z27/H27,0)</f>
        <v/>
      </c>
      <c r="AF27" s="27">
        <f>AE27*I27</f>
        <v/>
      </c>
      <c r="AG27" s="27">
        <f>AF27*L27</f>
        <v/>
      </c>
      <c r="AH27" s="27">
        <f>MAX(0,N27-AG27)</f>
        <v/>
      </c>
      <c r="AI27" s="27">
        <f>MIN(AH27,MAX(0,T27-S27))</f>
        <v/>
      </c>
    </row>
    <row r="28">
      <c r="A28" s="2" t="inlineStr">
        <is>
          <t>I1a-S</t>
        </is>
      </c>
      <c r="B28" s="2" t="inlineStr">
        <is>
          <t>I1a Talent rediscovery (past applicants in ATS)</t>
        </is>
      </c>
      <c r="C28" s="2" t="inlineStr">
        <is>
          <t>Supervisors</t>
        </is>
      </c>
      <c r="D28" s="2" t="inlineStr">
        <is>
          <t>Initiative</t>
        </is>
      </c>
      <c r="E28" s="2" t="inlineStr">
        <is>
          <t>CPA</t>
        </is>
      </c>
      <c r="F28" s="38">
        <f>Initiatives!E11</f>
        <v/>
      </c>
      <c r="G28" s="2" t="inlineStr"/>
      <c r="H28" s="38">
        <f>F28</f>
        <v/>
      </c>
      <c r="I28" s="25">
        <f>Initiatives!E8</f>
        <v/>
      </c>
      <c r="J28" s="24">
        <f>Initiatives!E7</f>
        <v/>
      </c>
      <c r="K28" s="27">
        <f>J28*I28</f>
        <v/>
      </c>
      <c r="L28" s="26">
        <f>INDEX(Funnel!$G$5:$G$8,MATCH(C28,Funnel!$A$5:$A$8,0))*M28</f>
        <v/>
      </c>
      <c r="M28" s="39">
        <f>Assumptions!$D$148</f>
        <v/>
      </c>
      <c r="N28" s="27">
        <f>K28*L28</f>
        <v/>
      </c>
      <c r="O28" s="36">
        <f>IF(I28&gt;0,H28/I28,0)</f>
        <v/>
      </c>
      <c r="P28" s="36">
        <f>IF(N28&gt;0,(N28/L28/I28*H28+0)/N28,0)</f>
        <v/>
      </c>
      <c r="Q28" s="40">
        <f>P28+ROW()/1000000</f>
        <v/>
      </c>
      <c r="R28" s="24">
        <f>SUMPRODUCT(($C$5:$C$34=C28)*($Q$5:$Q$34&lt;Q28))+1</f>
        <v/>
      </c>
      <c r="S28" s="27">
        <f>SUMPRODUCT(($C$5:$C$34=C28)*($Q$5:$Q$34&lt;Q28)*$AH$5:$AH$34)</f>
        <v/>
      </c>
      <c r="T28" s="27">
        <f>INDEX(Funnel!$B$5:$B$8,MATCH(C28,Funnel!$A$5:$A$8,0))-SUMIFS($AG$5:$AG$34,$C$5:$C$34,C28)</f>
        <v/>
      </c>
      <c r="U28" s="41">
        <f>AG28+AI28</f>
        <v/>
      </c>
      <c r="V28" s="27">
        <f>IF(L28&gt;0,U28/L28,0)</f>
        <v/>
      </c>
      <c r="W28" s="24">
        <f>IF(I28&gt;0,V28/I28,0)</f>
        <v/>
      </c>
      <c r="X28" s="36">
        <f>IF(E28="Slot",IF(N(G28)&gt;0,ROUNDUP(W28/G28,0)*MAX(0,F28),0),W28*H28)</f>
        <v/>
      </c>
      <c r="Y28" s="36">
        <f>IF(U28&gt;0,0,0)</f>
        <v/>
      </c>
      <c r="Z28" s="36">
        <f>IF(AND(D28="Channel",OR(E28="CPC",E28="CPA"),INDEX(Funnel!$B$5:$B$8,MATCH(C28,Funnel!$A$5:$A$8,0))&gt;0),MIN(Assumptions!$D$49,J28*H28,IF(I28*L28&gt;0,INDEX(Funnel!$B$5:$B$8,MATCH(C28,Funnel!$A$5:$A$8,0))/SUMPRODUCT(($C$5:$C$34=C28)*($D$5:$D$34="Channel")*(($E$5:$E$34="CPC")+($E$5:$E$34="CPA")))/(I28*L28)*H28,0)),0)</f>
        <v/>
      </c>
      <c r="AA28" s="36">
        <f>X28+Y28</f>
        <v/>
      </c>
      <c r="AB28" s="36">
        <f>IF(U28&gt;0,(X28+Y28)/U28,"–")</f>
        <v/>
      </c>
      <c r="AC28" s="24">
        <f>SUMPRODUCT(--($Q$5:$Q$34&lt;Q28))+1</f>
        <v/>
      </c>
      <c r="AD28" s="2">
        <f>IF(AND(AH28&gt;0,AI28&gt;=AH28*0.999),"Used to capacity",IF(AI28&gt;0,"Marginal (fills the gap)",IF(Z28&gt;0,"Test only (wk 1–2)","Not used")))</f>
        <v/>
      </c>
      <c r="AE28" s="27">
        <f>IF(H28&gt;0,Z28/H28,0)</f>
        <v/>
      </c>
      <c r="AF28" s="27">
        <f>AE28*I28</f>
        <v/>
      </c>
      <c r="AG28" s="27">
        <f>AF28*L28</f>
        <v/>
      </c>
      <c r="AH28" s="27">
        <f>MAX(0,N28-AG28)</f>
        <v/>
      </c>
      <c r="AI28" s="27">
        <f>MIN(AH28,MAX(0,T28-S28))</f>
        <v/>
      </c>
    </row>
    <row r="29">
      <c r="A29" s="2" t="inlineStr">
        <is>
          <t>I1b-E</t>
        </is>
      </c>
      <c r="B29" s="2" t="inlineStr">
        <is>
          <t>I1b Employee referral sprint (bonus on hire)</t>
        </is>
      </c>
      <c r="C29" s="2" t="inlineStr">
        <is>
          <t>Electricians</t>
        </is>
      </c>
      <c r="D29" s="2" t="inlineStr">
        <is>
          <t>Initiative</t>
        </is>
      </c>
      <c r="E29" s="2" t="inlineStr">
        <is>
          <t>CPA</t>
        </is>
      </c>
      <c r="F29" s="38">
        <f>Initiatives!B17</f>
        <v/>
      </c>
      <c r="G29" s="2" t="inlineStr"/>
      <c r="H29" s="38">
        <f>F29</f>
        <v/>
      </c>
      <c r="I29" s="25">
        <f>Initiatives!B14</f>
        <v/>
      </c>
      <c r="J29" s="24">
        <f>Initiatives!B13</f>
        <v/>
      </c>
      <c r="K29" s="27">
        <f>J29*I29</f>
        <v/>
      </c>
      <c r="L29" s="26">
        <f>INDEX(Funnel!$G$5:$G$8,MATCH(C29,Funnel!$A$5:$A$8,0))*M29</f>
        <v/>
      </c>
      <c r="M29" s="39">
        <f>Assumptions!$D$148</f>
        <v/>
      </c>
      <c r="N29" s="27">
        <f>K29*L29</f>
        <v/>
      </c>
      <c r="O29" s="36">
        <f>IF(I29&gt;0,H29/I29,0)</f>
        <v/>
      </c>
      <c r="P29" s="36">
        <f>IF(N29&gt;0,(N29/L29/I29*H29+0)/N29,0)</f>
        <v/>
      </c>
      <c r="Q29" s="40">
        <f>P29+ROW()/1000000</f>
        <v/>
      </c>
      <c r="R29" s="24">
        <f>SUMPRODUCT(($C$5:$C$34=C29)*($Q$5:$Q$34&lt;Q29))+1</f>
        <v/>
      </c>
      <c r="S29" s="27">
        <f>SUMPRODUCT(($C$5:$C$34=C29)*($Q$5:$Q$34&lt;Q29)*$AH$5:$AH$34)</f>
        <v/>
      </c>
      <c r="T29" s="27">
        <f>INDEX(Funnel!$B$5:$B$8,MATCH(C29,Funnel!$A$5:$A$8,0))-SUMIFS($AG$5:$AG$34,$C$5:$C$34,C29)</f>
        <v/>
      </c>
      <c r="U29" s="41">
        <f>AG29+AI29</f>
        <v/>
      </c>
      <c r="V29" s="27">
        <f>IF(L29&gt;0,U29/L29,0)</f>
        <v/>
      </c>
      <c r="W29" s="24">
        <f>IF(I29&gt;0,V29/I29,0)</f>
        <v/>
      </c>
      <c r="X29" s="36">
        <f>IF(E29="Slot",IF(N(G29)&gt;0,ROUNDUP(W29/G29,0)*MAX(0,F29),0),W29*H29)</f>
        <v/>
      </c>
      <c r="Y29" s="36">
        <f>IF(U29&gt;0,0,0)</f>
        <v/>
      </c>
      <c r="Z29" s="36">
        <f>IF(AND(D29="Channel",OR(E29="CPC",E29="CPA"),INDEX(Funnel!$B$5:$B$8,MATCH(C29,Funnel!$A$5:$A$8,0))&gt;0),MIN(Assumptions!$D$49,J29*H29,IF(I29*L29&gt;0,INDEX(Funnel!$B$5:$B$8,MATCH(C29,Funnel!$A$5:$A$8,0))/SUMPRODUCT(($C$5:$C$34=C29)*($D$5:$D$34="Channel")*(($E$5:$E$34="CPC")+($E$5:$E$34="CPA")))/(I29*L29)*H29,0)),0)</f>
        <v/>
      </c>
      <c r="AA29" s="36">
        <f>X29+Y29</f>
        <v/>
      </c>
      <c r="AB29" s="36">
        <f>IF(U29&gt;0,(X29+Y29)/U29,"–")</f>
        <v/>
      </c>
      <c r="AC29" s="24">
        <f>SUMPRODUCT(--($Q$5:$Q$34&lt;Q29))+1</f>
        <v/>
      </c>
      <c r="AD29" s="2">
        <f>IF(AND(AH29&gt;0,AI29&gt;=AH29*0.999),"Used to capacity",IF(AI29&gt;0,"Marginal (fills the gap)",IF(Z29&gt;0,"Test only (wk 1–2)","Not used")))</f>
        <v/>
      </c>
      <c r="AE29" s="27">
        <f>IF(H29&gt;0,Z29/H29,0)</f>
        <v/>
      </c>
      <c r="AF29" s="27">
        <f>AE29*I29</f>
        <v/>
      </c>
      <c r="AG29" s="27">
        <f>AF29*L29</f>
        <v/>
      </c>
      <c r="AH29" s="27">
        <f>MAX(0,N29-AG29)</f>
        <v/>
      </c>
      <c r="AI29" s="27">
        <f>MIN(AH29,MAX(0,T29-S29))</f>
        <v/>
      </c>
    </row>
    <row r="30">
      <c r="A30" s="2" t="inlineStr">
        <is>
          <t>I1b-M</t>
        </is>
      </c>
      <c r="B30" s="2" t="inlineStr">
        <is>
          <t>I1b Employee referral sprint (bonus on hire)</t>
        </is>
      </c>
      <c r="C30" s="2" t="inlineStr">
        <is>
          <t>Mechatronics</t>
        </is>
      </c>
      <c r="D30" s="2" t="inlineStr">
        <is>
          <t>Initiative</t>
        </is>
      </c>
      <c r="E30" s="2" t="inlineStr">
        <is>
          <t>CPA</t>
        </is>
      </c>
      <c r="F30" s="38">
        <f>Initiatives!C17</f>
        <v/>
      </c>
      <c r="G30" s="2" t="inlineStr"/>
      <c r="H30" s="38">
        <f>F30</f>
        <v/>
      </c>
      <c r="I30" s="25">
        <f>Initiatives!C14</f>
        <v/>
      </c>
      <c r="J30" s="24">
        <f>Initiatives!C13</f>
        <v/>
      </c>
      <c r="K30" s="27">
        <f>J30*I30</f>
        <v/>
      </c>
      <c r="L30" s="26">
        <f>INDEX(Funnel!$G$5:$G$8,MATCH(C30,Funnel!$A$5:$A$8,0))*M30</f>
        <v/>
      </c>
      <c r="M30" s="39">
        <f>Assumptions!$D$148</f>
        <v/>
      </c>
      <c r="N30" s="27">
        <f>K30*L30</f>
        <v/>
      </c>
      <c r="O30" s="36">
        <f>IF(I30&gt;0,H30/I30,0)</f>
        <v/>
      </c>
      <c r="P30" s="36">
        <f>IF(N30&gt;0,(N30/L30/I30*H30+0)/N30,0)</f>
        <v/>
      </c>
      <c r="Q30" s="40">
        <f>P30+ROW()/1000000</f>
        <v/>
      </c>
      <c r="R30" s="24">
        <f>SUMPRODUCT(($C$5:$C$34=C30)*($Q$5:$Q$34&lt;Q30))+1</f>
        <v/>
      </c>
      <c r="S30" s="27">
        <f>SUMPRODUCT(($C$5:$C$34=C30)*($Q$5:$Q$34&lt;Q30)*$AH$5:$AH$34)</f>
        <v/>
      </c>
      <c r="T30" s="27">
        <f>INDEX(Funnel!$B$5:$B$8,MATCH(C30,Funnel!$A$5:$A$8,0))-SUMIFS($AG$5:$AG$34,$C$5:$C$34,C30)</f>
        <v/>
      </c>
      <c r="U30" s="41">
        <f>AG30+AI30</f>
        <v/>
      </c>
      <c r="V30" s="27">
        <f>IF(L30&gt;0,U30/L30,0)</f>
        <v/>
      </c>
      <c r="W30" s="24">
        <f>IF(I30&gt;0,V30/I30,0)</f>
        <v/>
      </c>
      <c r="X30" s="36">
        <f>IF(E30="Slot",IF(N(G30)&gt;0,ROUNDUP(W30/G30,0)*MAX(0,F30),0),W30*H30)</f>
        <v/>
      </c>
      <c r="Y30" s="36">
        <f>IF(U30&gt;0,0,0)</f>
        <v/>
      </c>
      <c r="Z30" s="36">
        <f>IF(AND(D30="Channel",OR(E30="CPC",E30="CPA"),INDEX(Funnel!$B$5:$B$8,MATCH(C30,Funnel!$A$5:$A$8,0))&gt;0),MIN(Assumptions!$D$49,J30*H30,IF(I30*L30&gt;0,INDEX(Funnel!$B$5:$B$8,MATCH(C30,Funnel!$A$5:$A$8,0))/SUMPRODUCT(($C$5:$C$34=C30)*($D$5:$D$34="Channel")*(($E$5:$E$34="CPC")+($E$5:$E$34="CPA")))/(I30*L30)*H30,0)),0)</f>
        <v/>
      </c>
      <c r="AA30" s="36">
        <f>X30+Y30</f>
        <v/>
      </c>
      <c r="AB30" s="36">
        <f>IF(U30&gt;0,(X30+Y30)/U30,"–")</f>
        <v/>
      </c>
      <c r="AC30" s="24">
        <f>SUMPRODUCT(--($Q$5:$Q$34&lt;Q30))+1</f>
        <v/>
      </c>
      <c r="AD30" s="2">
        <f>IF(AND(AH30&gt;0,AI30&gt;=AH30*0.999),"Used to capacity",IF(AI30&gt;0,"Marginal (fills the gap)",IF(Z30&gt;0,"Test only (wk 1–2)","Not used")))</f>
        <v/>
      </c>
      <c r="AE30" s="27">
        <f>IF(H30&gt;0,Z30/H30,0)</f>
        <v/>
      </c>
      <c r="AF30" s="27">
        <f>AE30*I30</f>
        <v/>
      </c>
      <c r="AG30" s="27">
        <f>AF30*L30</f>
        <v/>
      </c>
      <c r="AH30" s="27">
        <f>MAX(0,N30-AG30)</f>
        <v/>
      </c>
      <c r="AI30" s="27">
        <f>MIN(AH30,MAX(0,T30-S30))</f>
        <v/>
      </c>
    </row>
    <row r="31">
      <c r="A31" s="2" t="inlineStr">
        <is>
          <t>I1b-A</t>
        </is>
      </c>
      <c r="B31" s="2" t="inlineStr">
        <is>
          <t>I1b Employee referral sprint (bonus on hire)</t>
        </is>
      </c>
      <c r="C31" s="2" t="inlineStr">
        <is>
          <t>Automation</t>
        </is>
      </c>
      <c r="D31" s="2" t="inlineStr">
        <is>
          <t>Initiative</t>
        </is>
      </c>
      <c r="E31" s="2" t="inlineStr">
        <is>
          <t>CPA</t>
        </is>
      </c>
      <c r="F31" s="38">
        <f>Initiatives!D17</f>
        <v/>
      </c>
      <c r="G31" s="2" t="inlineStr"/>
      <c r="H31" s="38">
        <f>F31</f>
        <v/>
      </c>
      <c r="I31" s="25">
        <f>Initiatives!D14</f>
        <v/>
      </c>
      <c r="J31" s="24">
        <f>Initiatives!D13</f>
        <v/>
      </c>
      <c r="K31" s="27">
        <f>J31*I31</f>
        <v/>
      </c>
      <c r="L31" s="26">
        <f>INDEX(Funnel!$G$5:$G$8,MATCH(C31,Funnel!$A$5:$A$8,0))*M31</f>
        <v/>
      </c>
      <c r="M31" s="39">
        <f>Assumptions!$D$148</f>
        <v/>
      </c>
      <c r="N31" s="27">
        <f>K31*L31</f>
        <v/>
      </c>
      <c r="O31" s="36">
        <f>IF(I31&gt;0,H31/I31,0)</f>
        <v/>
      </c>
      <c r="P31" s="36">
        <f>IF(N31&gt;0,(N31/L31/I31*H31+0)/N31,0)</f>
        <v/>
      </c>
      <c r="Q31" s="40">
        <f>P31+ROW()/1000000</f>
        <v/>
      </c>
      <c r="R31" s="24">
        <f>SUMPRODUCT(($C$5:$C$34=C31)*($Q$5:$Q$34&lt;Q31))+1</f>
        <v/>
      </c>
      <c r="S31" s="27">
        <f>SUMPRODUCT(($C$5:$C$34=C31)*($Q$5:$Q$34&lt;Q31)*$AH$5:$AH$34)</f>
        <v/>
      </c>
      <c r="T31" s="27">
        <f>INDEX(Funnel!$B$5:$B$8,MATCH(C31,Funnel!$A$5:$A$8,0))-SUMIFS($AG$5:$AG$34,$C$5:$C$34,C31)</f>
        <v/>
      </c>
      <c r="U31" s="41">
        <f>AG31+AI31</f>
        <v/>
      </c>
      <c r="V31" s="27">
        <f>IF(L31&gt;0,U31/L31,0)</f>
        <v/>
      </c>
      <c r="W31" s="24">
        <f>IF(I31&gt;0,V31/I31,0)</f>
        <v/>
      </c>
      <c r="X31" s="36">
        <f>IF(E31="Slot",IF(N(G31)&gt;0,ROUNDUP(W31/G31,0)*MAX(0,F31),0),W31*H31)</f>
        <v/>
      </c>
      <c r="Y31" s="36">
        <f>IF(U31&gt;0,0,0)</f>
        <v/>
      </c>
      <c r="Z31" s="36">
        <f>IF(AND(D31="Channel",OR(E31="CPC",E31="CPA"),INDEX(Funnel!$B$5:$B$8,MATCH(C31,Funnel!$A$5:$A$8,0))&gt;0),MIN(Assumptions!$D$49,J31*H31,IF(I31*L31&gt;0,INDEX(Funnel!$B$5:$B$8,MATCH(C31,Funnel!$A$5:$A$8,0))/SUMPRODUCT(($C$5:$C$34=C31)*($D$5:$D$34="Channel")*(($E$5:$E$34="CPC")+($E$5:$E$34="CPA")))/(I31*L31)*H31,0)),0)</f>
        <v/>
      </c>
      <c r="AA31" s="36">
        <f>X31+Y31</f>
        <v/>
      </c>
      <c r="AB31" s="36">
        <f>IF(U31&gt;0,(X31+Y31)/U31,"–")</f>
        <v/>
      </c>
      <c r="AC31" s="24">
        <f>SUMPRODUCT(--($Q$5:$Q$34&lt;Q31))+1</f>
        <v/>
      </c>
      <c r="AD31" s="2">
        <f>IF(AND(AH31&gt;0,AI31&gt;=AH31*0.999),"Used to capacity",IF(AI31&gt;0,"Marginal (fills the gap)",IF(Z31&gt;0,"Test only (wk 1–2)","Not used")))</f>
        <v/>
      </c>
      <c r="AE31" s="27">
        <f>IF(H31&gt;0,Z31/H31,0)</f>
        <v/>
      </c>
      <c r="AF31" s="27">
        <f>AE31*I31</f>
        <v/>
      </c>
      <c r="AG31" s="27">
        <f>AF31*L31</f>
        <v/>
      </c>
      <c r="AH31" s="27">
        <f>MAX(0,N31-AG31)</f>
        <v/>
      </c>
      <c r="AI31" s="27">
        <f>MIN(AH31,MAX(0,T31-S31))</f>
        <v/>
      </c>
    </row>
    <row r="32">
      <c r="A32" s="2" t="inlineStr">
        <is>
          <t>I1b-S</t>
        </is>
      </c>
      <c r="B32" s="2" t="inlineStr">
        <is>
          <t>I1b Employee referral sprint (bonus on hire)</t>
        </is>
      </c>
      <c r="C32" s="2" t="inlineStr">
        <is>
          <t>Supervisors</t>
        </is>
      </c>
      <c r="D32" s="2" t="inlineStr">
        <is>
          <t>Initiative</t>
        </is>
      </c>
      <c r="E32" s="2" t="inlineStr">
        <is>
          <t>CPA</t>
        </is>
      </c>
      <c r="F32" s="38">
        <f>Initiatives!E17</f>
        <v/>
      </c>
      <c r="G32" s="2" t="inlineStr"/>
      <c r="H32" s="38">
        <f>F32</f>
        <v/>
      </c>
      <c r="I32" s="25">
        <f>Initiatives!E14</f>
        <v/>
      </c>
      <c r="J32" s="24">
        <f>Initiatives!E13</f>
        <v/>
      </c>
      <c r="K32" s="27">
        <f>J32*I32</f>
        <v/>
      </c>
      <c r="L32" s="26">
        <f>INDEX(Funnel!$G$5:$G$8,MATCH(C32,Funnel!$A$5:$A$8,0))*M32</f>
        <v/>
      </c>
      <c r="M32" s="39">
        <f>Assumptions!$D$148</f>
        <v/>
      </c>
      <c r="N32" s="27">
        <f>K32*L32</f>
        <v/>
      </c>
      <c r="O32" s="36">
        <f>IF(I32&gt;0,H32/I32,0)</f>
        <v/>
      </c>
      <c r="P32" s="36">
        <f>IF(N32&gt;0,(N32/L32/I32*H32+0)/N32,0)</f>
        <v/>
      </c>
      <c r="Q32" s="40">
        <f>P32+ROW()/1000000</f>
        <v/>
      </c>
      <c r="R32" s="24">
        <f>SUMPRODUCT(($C$5:$C$34=C32)*($Q$5:$Q$34&lt;Q32))+1</f>
        <v/>
      </c>
      <c r="S32" s="27">
        <f>SUMPRODUCT(($C$5:$C$34=C32)*($Q$5:$Q$34&lt;Q32)*$AH$5:$AH$34)</f>
        <v/>
      </c>
      <c r="T32" s="27">
        <f>INDEX(Funnel!$B$5:$B$8,MATCH(C32,Funnel!$A$5:$A$8,0))-SUMIFS($AG$5:$AG$34,$C$5:$C$34,C32)</f>
        <v/>
      </c>
      <c r="U32" s="41">
        <f>AG32+AI32</f>
        <v/>
      </c>
      <c r="V32" s="27">
        <f>IF(L32&gt;0,U32/L32,0)</f>
        <v/>
      </c>
      <c r="W32" s="24">
        <f>IF(I32&gt;0,V32/I32,0)</f>
        <v/>
      </c>
      <c r="X32" s="36">
        <f>IF(E32="Slot",IF(N(G32)&gt;0,ROUNDUP(W32/G32,0)*MAX(0,F32),0),W32*H32)</f>
        <v/>
      </c>
      <c r="Y32" s="36">
        <f>IF(U32&gt;0,0,0)</f>
        <v/>
      </c>
      <c r="Z32" s="36">
        <f>IF(AND(D32="Channel",OR(E32="CPC",E32="CPA"),INDEX(Funnel!$B$5:$B$8,MATCH(C32,Funnel!$A$5:$A$8,0))&gt;0),MIN(Assumptions!$D$49,J32*H32,IF(I32*L32&gt;0,INDEX(Funnel!$B$5:$B$8,MATCH(C32,Funnel!$A$5:$A$8,0))/SUMPRODUCT(($C$5:$C$34=C32)*($D$5:$D$34="Channel")*(($E$5:$E$34="CPC")+($E$5:$E$34="CPA")))/(I32*L32)*H32,0)),0)</f>
        <v/>
      </c>
      <c r="AA32" s="36">
        <f>X32+Y32</f>
        <v/>
      </c>
      <c r="AB32" s="36">
        <f>IF(U32&gt;0,(X32+Y32)/U32,"–")</f>
        <v/>
      </c>
      <c r="AC32" s="24">
        <f>SUMPRODUCT(--($Q$5:$Q$34&lt;Q32))+1</f>
        <v/>
      </c>
      <c r="AD32" s="2">
        <f>IF(AND(AH32&gt;0,AI32&gt;=AH32*0.999),"Used to capacity",IF(AI32&gt;0,"Marginal (fills the gap)",IF(Z32&gt;0,"Test only (wk 1–2)","Not used")))</f>
        <v/>
      </c>
      <c r="AE32" s="27">
        <f>IF(H32&gt;0,Z32/H32,0)</f>
        <v/>
      </c>
      <c r="AF32" s="27">
        <f>AE32*I32</f>
        <v/>
      </c>
      <c r="AG32" s="27">
        <f>AF32*L32</f>
        <v/>
      </c>
      <c r="AH32" s="27">
        <f>MAX(0,N32-AG32)</f>
        <v/>
      </c>
      <c r="AI32" s="27">
        <f>MIN(AH32,MAX(0,T32-S32))</f>
        <v/>
      </c>
    </row>
    <row r="33">
      <c r="A33" s="2" t="inlineStr">
        <is>
          <t>I2-E</t>
        </is>
      </c>
      <c r="B33" s="2" t="inlineStr">
        <is>
          <t>I2 Handwerk → Industrie (construction electricians)</t>
        </is>
      </c>
      <c r="C33" s="2" t="inlineStr">
        <is>
          <t>Electricians</t>
        </is>
      </c>
      <c r="D33" s="2" t="inlineStr">
        <is>
          <t>Initiative</t>
        </is>
      </c>
      <c r="E33" s="2" t="inlineStr">
        <is>
          <t>CPA</t>
        </is>
      </c>
      <c r="F33" s="38">
        <f>Initiatives!B27</f>
        <v/>
      </c>
      <c r="G33" s="2" t="inlineStr"/>
      <c r="H33" s="38">
        <f>F33</f>
        <v/>
      </c>
      <c r="I33" s="25">
        <f>Initiatives!B28</f>
        <v/>
      </c>
      <c r="J33" s="24">
        <f>Initiatives!B26</f>
        <v/>
      </c>
      <c r="K33" s="27">
        <f>J33*I33</f>
        <v/>
      </c>
      <c r="L33" s="26">
        <f>INDEX(Funnel!$G$5:$G$8,MATCH(C33,Funnel!$A$5:$A$8,0))*M33</f>
        <v/>
      </c>
      <c r="M33" s="39">
        <f>Assumptions!$D$153</f>
        <v/>
      </c>
      <c r="N33" s="27">
        <f>K33*L33</f>
        <v/>
      </c>
      <c r="O33" s="36">
        <f>IF(I33&gt;0,H33/I33,0)</f>
        <v/>
      </c>
      <c r="P33" s="36">
        <f>IF(N33&gt;0,(N33/L33/I33*H33+Initiatives!B33)/N33,0)</f>
        <v/>
      </c>
      <c r="Q33" s="40">
        <f>P33+ROW()/1000000</f>
        <v/>
      </c>
      <c r="R33" s="24">
        <f>SUMPRODUCT(($C$5:$C$34=C33)*($Q$5:$Q$34&lt;Q33))+1</f>
        <v/>
      </c>
      <c r="S33" s="27">
        <f>SUMPRODUCT(($C$5:$C$34=C33)*($Q$5:$Q$34&lt;Q33)*$AH$5:$AH$34)</f>
        <v/>
      </c>
      <c r="T33" s="27">
        <f>INDEX(Funnel!$B$5:$B$8,MATCH(C33,Funnel!$A$5:$A$8,0))-SUMIFS($AG$5:$AG$34,$C$5:$C$34,C33)</f>
        <v/>
      </c>
      <c r="U33" s="41">
        <f>AG33+AI33</f>
        <v/>
      </c>
      <c r="V33" s="27">
        <f>IF(L33&gt;0,U33/L33,0)</f>
        <v/>
      </c>
      <c r="W33" s="24">
        <f>IF(I33&gt;0,V33/I33,0)</f>
        <v/>
      </c>
      <c r="X33" s="36">
        <f>IF(E33="Slot",IF(N(G33)&gt;0,ROUNDUP(W33/G33,0)*MAX(0,F33),0),W33*H33)</f>
        <v/>
      </c>
      <c r="Y33" s="36">
        <f>IF(U33&gt;0,Initiatives!B33,0)</f>
        <v/>
      </c>
      <c r="Z33" s="36">
        <f>IF(AND(D33="Channel",OR(E33="CPC",E33="CPA"),INDEX(Funnel!$B$5:$B$8,MATCH(C33,Funnel!$A$5:$A$8,0))&gt;0),MIN(Assumptions!$D$49,J33*H33,IF(I33*L33&gt;0,INDEX(Funnel!$B$5:$B$8,MATCH(C33,Funnel!$A$5:$A$8,0))/SUMPRODUCT(($C$5:$C$34=C33)*($D$5:$D$34="Channel")*(($E$5:$E$34="CPC")+($E$5:$E$34="CPA")))/(I33*L33)*H33,0)),0)</f>
        <v/>
      </c>
      <c r="AA33" s="36">
        <f>X33+Y33</f>
        <v/>
      </c>
      <c r="AB33" s="36">
        <f>IF(U33&gt;0,(X33+Y33)/U33,"–")</f>
        <v/>
      </c>
      <c r="AC33" s="24">
        <f>SUMPRODUCT(--($Q$5:$Q$34&lt;Q33))+1</f>
        <v/>
      </c>
      <c r="AD33" s="2">
        <f>IF(AND(AH33&gt;0,AI33&gt;=AH33*0.999),"Used to capacity",IF(AI33&gt;0,"Marginal (fills the gap)",IF(Z33&gt;0,"Test only (wk 1–2)","Not used")))</f>
        <v/>
      </c>
      <c r="AE33" s="27">
        <f>IF(H33&gt;0,Z33/H33,0)</f>
        <v/>
      </c>
      <c r="AF33" s="27">
        <f>AE33*I33</f>
        <v/>
      </c>
      <c r="AG33" s="27">
        <f>AF33*L33</f>
        <v/>
      </c>
      <c r="AH33" s="27">
        <f>MAX(0,N33-AG33)</f>
        <v/>
      </c>
      <c r="AI33" s="27">
        <f>MIN(AH33,MAX(0,T33-S33))</f>
        <v/>
      </c>
    </row>
    <row r="34">
      <c r="A34" s="2" t="inlineStr">
        <is>
          <t>I3-M</t>
        </is>
      </c>
      <c r="B34" s="2" t="inlineStr">
        <is>
          <t>I3 Polish border corridor + PL pre-screener</t>
        </is>
      </c>
      <c r="C34" s="2" t="inlineStr">
        <is>
          <t>Mechatronics</t>
        </is>
      </c>
      <c r="D34" s="2" t="inlineStr">
        <is>
          <t>Initiative</t>
        </is>
      </c>
      <c r="E34" s="2" t="inlineStr">
        <is>
          <t>CPA</t>
        </is>
      </c>
      <c r="F34" s="38">
        <f>Initiatives!B38</f>
        <v/>
      </c>
      <c r="G34" s="2" t="inlineStr"/>
      <c r="H34" s="38">
        <f>F34</f>
        <v/>
      </c>
      <c r="I34" s="25">
        <f>Initiatives!B39</f>
        <v/>
      </c>
      <c r="J34" s="24">
        <f>Initiatives!B40</f>
        <v/>
      </c>
      <c r="K34" s="27">
        <f>J34*I34</f>
        <v/>
      </c>
      <c r="L34" s="26">
        <f>INDEX(Funnel!$G$5:$G$8,MATCH(C34,Funnel!$A$5:$A$8,0))*M34</f>
        <v/>
      </c>
      <c r="M34" s="39">
        <f>Assumptions!$D$158</f>
        <v/>
      </c>
      <c r="N34" s="27">
        <f>MIN(K34*L34,Initiatives!B42)</f>
        <v/>
      </c>
      <c r="O34" s="36">
        <f>IF(I34&gt;0,H34/I34,0)</f>
        <v/>
      </c>
      <c r="P34" s="36">
        <f>IF(N34&gt;0,(N34/L34/I34*H34+Initiatives!B46)/N34,0)</f>
        <v/>
      </c>
      <c r="Q34" s="40">
        <f>P34+ROW()/1000000</f>
        <v/>
      </c>
      <c r="R34" s="24">
        <f>SUMPRODUCT(($C$5:$C$34=C34)*($Q$5:$Q$34&lt;Q34))+1</f>
        <v/>
      </c>
      <c r="S34" s="27">
        <f>SUMPRODUCT(($C$5:$C$34=C34)*($Q$5:$Q$34&lt;Q34)*$AH$5:$AH$34)</f>
        <v/>
      </c>
      <c r="T34" s="27">
        <f>INDEX(Funnel!$B$5:$B$8,MATCH(C34,Funnel!$A$5:$A$8,0))-SUMIFS($AG$5:$AG$34,$C$5:$C$34,C34)</f>
        <v/>
      </c>
      <c r="U34" s="41">
        <f>AG34+AI34</f>
        <v/>
      </c>
      <c r="V34" s="27">
        <f>IF(L34&gt;0,U34/L34,0)</f>
        <v/>
      </c>
      <c r="W34" s="24">
        <f>IF(I34&gt;0,V34/I34,0)</f>
        <v/>
      </c>
      <c r="X34" s="36">
        <f>IF(E34="Slot",IF(N(G34)&gt;0,ROUNDUP(W34/G34,0)*MAX(0,F34),0),W34*H34)</f>
        <v/>
      </c>
      <c r="Y34" s="36">
        <f>IF(U34&gt;0,Initiatives!B46,0)</f>
        <v/>
      </c>
      <c r="Z34" s="36">
        <f>IF(AND(D34="Channel",OR(E34="CPC",E34="CPA"),INDEX(Funnel!$B$5:$B$8,MATCH(C34,Funnel!$A$5:$A$8,0))&gt;0),MIN(Assumptions!$D$49,J34*H34,IF(I34*L34&gt;0,INDEX(Funnel!$B$5:$B$8,MATCH(C34,Funnel!$A$5:$A$8,0))/SUMPRODUCT(($C$5:$C$34=C34)*($D$5:$D$34="Channel")*(($E$5:$E$34="CPC")+($E$5:$E$34="CPA")))/(I34*L34)*H34,0)),0)</f>
        <v/>
      </c>
      <c r="AA34" s="36">
        <f>X34+Y34</f>
        <v/>
      </c>
      <c r="AB34" s="36">
        <f>IF(U34&gt;0,(X34+Y34)/U34,"–")</f>
        <v/>
      </c>
      <c r="AC34" s="24">
        <f>SUMPRODUCT(--($Q$5:$Q$34&lt;Q34))+1</f>
        <v/>
      </c>
      <c r="AD34" s="2">
        <f>IF(AND(AH34&gt;0,AI34&gt;=AH34*0.999),"Used to capacity",IF(AI34&gt;0,"Marginal (fills the gap)",IF(Z34&gt;0,"Test only (wk 1–2)","Not used")))</f>
        <v/>
      </c>
      <c r="AE34" s="27">
        <f>IF(H34&gt;0,Z34/H34,0)</f>
        <v/>
      </c>
      <c r="AF34" s="27">
        <f>AE34*I34</f>
        <v/>
      </c>
      <c r="AG34" s="27">
        <f>AF34*L34</f>
        <v/>
      </c>
      <c r="AH34" s="27">
        <f>MAX(0,N34-AG34)</f>
        <v/>
      </c>
      <c r="AI34" s="27">
        <f>MIN(AH34,MAX(0,T34-S34))</f>
        <v/>
      </c>
    </row>
    <row r="35">
      <c r="A35" s="23" t="inlineStr">
        <is>
          <t>Total</t>
        </is>
      </c>
      <c r="J35" s="28">
        <f>SUM(J5:J34)</f>
        <v/>
      </c>
      <c r="K35" s="30">
        <f>SUM(K5:K34)</f>
        <v/>
      </c>
      <c r="N35" s="30">
        <f>SUM(N5:N34)</f>
        <v/>
      </c>
      <c r="U35" s="30">
        <f>SUM(U5:U34)</f>
        <v/>
      </c>
      <c r="V35" s="30">
        <f>SUM(V5:V34)</f>
        <v/>
      </c>
      <c r="W35" s="28">
        <f>SUM(W5:W34)</f>
        <v/>
      </c>
      <c r="X35" s="37">
        <f>SUM(X5:X34)</f>
        <v/>
      </c>
      <c r="Y35" s="37">
        <f>SUM(Y5:Y34)</f>
        <v/>
      </c>
      <c r="Z35" s="37">
        <f>SUM(Z5:Z34)</f>
        <v/>
      </c>
      <c r="AA35" s="37">
        <f>SUM(AA5:AA34)</f>
        <v/>
      </c>
      <c r="AB35" s="37">
        <f>IF(U35&gt;0,(X35+Y35)/U35,0)</f>
        <v/>
      </c>
      <c r="AE35" s="28">
        <f>SUM(AE5:AE34)</f>
        <v/>
      </c>
      <c r="AF35" s="30">
        <f>SUM(AF5:AF34)</f>
        <v/>
      </c>
      <c r="AG35" s="30">
        <f>SUM(AG5:AG34)</f>
        <v/>
      </c>
      <c r="AI35" s="30">
        <f>SUM(AI5:AI34)</f>
        <v/>
      </c>
    </row>
    <row r="36"/>
    <row r="37">
      <c r="A37" s="23" t="inlineStr">
        <is>
          <t>Role coverage check</t>
        </is>
      </c>
    </row>
    <row r="38">
      <c r="A38" s="12" t="inlineStr"/>
      <c r="B38" s="12" t="inlineStr">
        <is>
          <t>Role</t>
        </is>
      </c>
      <c r="C38" s="12" t="inlineStr">
        <is>
          <t>Openings</t>
        </is>
      </c>
      <c r="D38" s="12" t="inlineStr">
        <is>
          <t>Hires planned (test + allocated)</t>
        </is>
      </c>
      <c r="E38" s="12" t="inlineStr">
        <is>
          <t>Shortfall</t>
        </is>
      </c>
    </row>
    <row r="39">
      <c r="B39" s="2" t="inlineStr">
        <is>
          <t>Electricians</t>
        </is>
      </c>
      <c r="C39" s="24">
        <f>Funnel!B5</f>
        <v/>
      </c>
      <c r="D39" s="27">
        <f>SUMIFS($U$5:$U$34,$C$5:$C$34,B39)</f>
        <v/>
      </c>
      <c r="E39" s="27">
        <f>IF(C39-D39&gt;0.05,C39-D39,0)</f>
        <v/>
      </c>
    </row>
    <row r="40">
      <c r="B40" s="2" t="inlineStr">
        <is>
          <t>Mechatronics</t>
        </is>
      </c>
      <c r="C40" s="24">
        <f>Funnel!B6</f>
        <v/>
      </c>
      <c r="D40" s="27">
        <f>SUMIFS($U$5:$U$34,$C$5:$C$34,B40)</f>
        <v/>
      </c>
      <c r="E40" s="27">
        <f>IF(C40-D40&gt;0.05,C40-D40,0)</f>
        <v/>
      </c>
    </row>
    <row r="41">
      <c r="B41" s="2" t="inlineStr">
        <is>
          <t>Automation</t>
        </is>
      </c>
      <c r="C41" s="24">
        <f>Funnel!B7</f>
        <v/>
      </c>
      <c r="D41" s="27">
        <f>SUMIFS($U$5:$U$34,$C$5:$C$34,B41)</f>
        <v/>
      </c>
      <c r="E41" s="27">
        <f>IF(C41-D41&gt;0.05,C41-D41,0)</f>
        <v/>
      </c>
    </row>
    <row r="42">
      <c r="B42" s="2" t="inlineStr">
        <is>
          <t>Supervisors</t>
        </is>
      </c>
      <c r="C42" s="24">
        <f>Funnel!B8</f>
        <v/>
      </c>
      <c r="D42" s="27">
        <f>SUMIFS($U$5:$U$34,$C$5:$C$34,B42)</f>
        <v/>
      </c>
      <c r="E42" s="27">
        <f>IF(C42-D42&gt;0.05,C42-D42,0)</f>
        <v/>
      </c>
    </row>
  </sheetData>
  <pageMargins left="0.75" right="0.75" top="1" bottom="1" header="0.5" footer="0.5"/>
</worksheet>
</file>

<file path=xl/worksheets/sheet6.xml><?xml version="1.0" encoding="utf-8"?>
<worksheet xmlns="http://schemas.openxmlformats.org/spreadsheetml/2006/main">
  <sheetPr>
    <tabColor rgb="008EA9DB"/>
    <outlinePr summaryBelow="0" summaryRight="1"/>
    <pageSetUpPr/>
  </sheetPr>
  <dimension ref="A1:R102"/>
  <sheetViews>
    <sheetView showGridLines="0" workbookViewId="0">
      <selection activeCell="A1" sqref="A1"/>
    </sheetView>
  </sheetViews>
  <sheetFormatPr baseColWidth="8" defaultRowHeight="15"/>
  <cols>
    <col width="8" customWidth="1" min="1" max="1"/>
    <col width="5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s>
  <sheetData>
    <row r="1">
      <c r="B1" s="1" t="inlineStr">
        <is>
          <t>Part 2.4 — Recommended budget and allocation</t>
        </is>
      </c>
    </row>
    <row r="2"/>
    <row r="3"/>
    <row r="4">
      <c r="B4" s="2" t="inlineStr">
        <is>
          <t>Paid channels: media (incl. test tranches)</t>
        </is>
      </c>
      <c r="C4" s="36">
        <f>SUMIFS(Channels!X5:X34,Channels!D5:D34,"Channel")</f>
        <v/>
      </c>
    </row>
    <row r="5">
      <c r="B5" s="2" t="inlineStr">
        <is>
          <t>New initiatives: media + referral bonuses</t>
        </is>
      </c>
      <c r="C5" s="36">
        <f>SUMIFS(Channels!X5:X34,Channels!D5:D34,"Initiative")</f>
        <v/>
      </c>
    </row>
    <row r="6">
      <c r="B6" s="2" t="inlineStr">
        <is>
          <t>New initiatives: fixed set-up costs (Polish translation, German creative + quiz tool)</t>
        </is>
      </c>
      <c r="C6" s="36">
        <f>Channels!Y35</f>
        <v/>
      </c>
    </row>
    <row r="7">
      <c r="B7" s="2" t="inlineStr">
        <is>
          <t>Media + initiatives to hit plan</t>
        </is>
      </c>
      <c r="C7" s="36">
        <f>C4+C5+C6</f>
        <v/>
      </c>
    </row>
    <row r="8">
      <c r="B8" s="2" t="inlineStr">
        <is>
          <t>…of which test tranches in weeks 1–2 (info)</t>
        </is>
      </c>
      <c r="C8" s="36">
        <f>Channels!Z35</f>
        <v/>
      </c>
    </row>
    <row r="9">
      <c r="B9" s="2" t="inlineStr">
        <is>
          <t>Planned spend (allocated to channels × weeks)</t>
        </is>
      </c>
      <c r="C9" s="36">
        <f>C7</f>
        <v/>
      </c>
    </row>
    <row r="10">
      <c r="B10" s="2" t="inlineStr">
        <is>
          <t>Reserve (unallocated; released from wk 3 by Tracker rules)</t>
        </is>
      </c>
      <c r="C10" s="36">
        <f>IF(Assumptions!$D$48&lt;1,C9/(1-Assumptions!$D$48)*Assumptions!$D$48,0)</f>
        <v/>
      </c>
    </row>
    <row r="11">
      <c r="B11" s="2" t="inlineStr">
        <is>
          <t>Total budget (calculated)</t>
        </is>
      </c>
      <c r="C11" s="36">
        <f>C9+C10</f>
        <v/>
      </c>
    </row>
    <row r="12">
      <c r="B12" s="23" t="inlineStr">
        <is>
          <t>RECOMMENDED BUDGET (rounded up, step B5)</t>
        </is>
      </c>
      <c r="C12" s="4">
        <f>IF(Assumptions!$D$51&gt;0,ROUNDUP(C11/Assumptions!$D$51,0)*Assumptions!$D$51,C11)</f>
        <v/>
      </c>
    </row>
    <row r="13">
      <c r="B13" s="2" t="inlineStr">
        <is>
          <t>Expected signed hires (capped by assessment slots, Funnel B26)</t>
        </is>
      </c>
      <c r="C13" s="41">
        <f>MIN(Channels!U35,Funnel!B26)</f>
        <v/>
      </c>
    </row>
    <row r="14">
      <c r="B14" s="2" t="inlineStr">
        <is>
          <t>Media cost per hire (planned spend ÷ hires)</t>
        </is>
      </c>
      <c r="C14" s="42">
        <f>IF(C13&gt;0,C9/C13,0)</f>
        <v/>
      </c>
    </row>
    <row r="15">
      <c r="B15" s="2" t="inlineStr">
        <is>
          <t>All-in cost per hire if reserve is spent</t>
        </is>
      </c>
      <c r="C15" s="36">
        <f>IF(C13&gt;0,C12/C13,0)</f>
        <v/>
      </c>
    </row>
    <row r="16">
      <c r="B16" s="2" t="inlineStr">
        <is>
          <t>Share of recommended budget spent in weeks 1–2</t>
        </is>
      </c>
      <c r="C16" s="25">
        <f>IF(C12&gt;0,Weekly!N5/C12,0)</f>
        <v/>
      </c>
    </row>
    <row r="17"/>
    <row r="18"/>
    <row r="19">
      <c r="B19" s="23" t="inlineStr">
        <is>
          <t>By role</t>
        </is>
      </c>
    </row>
    <row r="20">
      <c r="A20" s="12" t="inlineStr"/>
      <c r="B20" s="12" t="inlineStr">
        <is>
          <t>Role</t>
        </is>
      </c>
      <c r="C20" s="12" t="inlineStr">
        <is>
          <t>Media €</t>
        </is>
      </c>
      <c r="D20" s="12" t="inlineStr">
        <is>
          <t>Fixed €</t>
        </is>
      </c>
      <c r="E20" s="12" t="inlineStr">
        <is>
          <t>…of which tests €</t>
        </is>
      </c>
      <c r="F20" s="12" t="inlineStr">
        <is>
          <t>Total €</t>
        </is>
      </c>
      <c r="G20" s="12" t="inlineStr">
        <is>
          <t>Hires</t>
        </is>
      </c>
      <c r="H20" s="12" t="inlineStr">
        <is>
          <t>Cost per hire</t>
        </is>
      </c>
      <c r="I20" s="12" t="inlineStr">
        <is>
          <t>Qualified applicants</t>
        </is>
      </c>
    </row>
    <row r="21">
      <c r="B21" s="2" t="inlineStr">
        <is>
          <t>Electricians</t>
        </is>
      </c>
      <c r="C21" s="36">
        <f>SUMIFS(Channels!$X$5:$X$34,Channels!$C$5:$C$34,B21)</f>
        <v/>
      </c>
      <c r="D21" s="36">
        <f>SUMIFS(Channels!$Y$5:$Y$34,Channels!$C$5:$C$34,B21)</f>
        <v/>
      </c>
      <c r="E21" s="36">
        <f>SUMIFS(Channels!$Z$5:$Z$34,Channels!$C$5:$C$34,B21)</f>
        <v/>
      </c>
      <c r="F21" s="36">
        <f>C21+D21</f>
        <v/>
      </c>
      <c r="G21" s="27">
        <f>SUMIFS(Channels!$U$5:$U$34,Channels!$C$5:$C$34,B21)</f>
        <v/>
      </c>
      <c r="H21" s="36">
        <f>IF(G21&gt;0,F21/G21,0)</f>
        <v/>
      </c>
      <c r="I21" s="27">
        <f>SUMIFS(Channels!$V$5:$V$34,Channels!$C$5:$C$34,B21)</f>
        <v/>
      </c>
    </row>
    <row r="22">
      <c r="B22" s="2" t="inlineStr">
        <is>
          <t>Mechatronics</t>
        </is>
      </c>
      <c r="C22" s="36">
        <f>SUMIFS(Channels!$X$5:$X$34,Channels!$C$5:$C$34,B22)</f>
        <v/>
      </c>
      <c r="D22" s="36">
        <f>SUMIFS(Channels!$Y$5:$Y$34,Channels!$C$5:$C$34,B22)</f>
        <v/>
      </c>
      <c r="E22" s="36">
        <f>SUMIFS(Channels!$Z$5:$Z$34,Channels!$C$5:$C$34,B22)</f>
        <v/>
      </c>
      <c r="F22" s="36">
        <f>C22+D22</f>
        <v/>
      </c>
      <c r="G22" s="27">
        <f>SUMIFS(Channels!$U$5:$U$34,Channels!$C$5:$C$34,B22)</f>
        <v/>
      </c>
      <c r="H22" s="36">
        <f>IF(G22&gt;0,F22/G22,0)</f>
        <v/>
      </c>
      <c r="I22" s="27">
        <f>SUMIFS(Channels!$V$5:$V$34,Channels!$C$5:$C$34,B22)</f>
        <v/>
      </c>
    </row>
    <row r="23">
      <c r="B23" s="2" t="inlineStr">
        <is>
          <t>Automation</t>
        </is>
      </c>
      <c r="C23" s="36">
        <f>SUMIFS(Channels!$X$5:$X$34,Channels!$C$5:$C$34,B23)</f>
        <v/>
      </c>
      <c r="D23" s="36">
        <f>SUMIFS(Channels!$Y$5:$Y$34,Channels!$C$5:$C$34,B23)</f>
        <v/>
      </c>
      <c r="E23" s="36">
        <f>SUMIFS(Channels!$Z$5:$Z$34,Channels!$C$5:$C$34,B23)</f>
        <v/>
      </c>
      <c r="F23" s="36">
        <f>C23+D23</f>
        <v/>
      </c>
      <c r="G23" s="27">
        <f>SUMIFS(Channels!$U$5:$U$34,Channels!$C$5:$C$34,B23)</f>
        <v/>
      </c>
      <c r="H23" s="36">
        <f>IF(G23&gt;0,F23/G23,0)</f>
        <v/>
      </c>
      <c r="I23" s="27">
        <f>SUMIFS(Channels!$V$5:$V$34,Channels!$C$5:$C$34,B23)</f>
        <v/>
      </c>
    </row>
    <row r="24">
      <c r="B24" s="2" t="inlineStr">
        <is>
          <t>Supervisors</t>
        </is>
      </c>
      <c r="C24" s="36">
        <f>SUMIFS(Channels!$X$5:$X$34,Channels!$C$5:$C$34,B24)</f>
        <v/>
      </c>
      <c r="D24" s="36">
        <f>SUMIFS(Channels!$Y$5:$Y$34,Channels!$C$5:$C$34,B24)</f>
        <v/>
      </c>
      <c r="E24" s="36">
        <f>SUMIFS(Channels!$Z$5:$Z$34,Channels!$C$5:$C$34,B24)</f>
        <v/>
      </c>
      <c r="F24" s="36">
        <f>C24+D24</f>
        <v/>
      </c>
      <c r="G24" s="27">
        <f>SUMIFS(Channels!$U$5:$U$34,Channels!$C$5:$C$34,B24)</f>
        <v/>
      </c>
      <c r="H24" s="36">
        <f>IF(G24&gt;0,F24/G24,0)</f>
        <v/>
      </c>
      <c r="I24" s="27">
        <f>SUMIFS(Channels!$V$5:$V$34,Channels!$C$5:$C$34,B24)</f>
        <v/>
      </c>
    </row>
    <row r="25">
      <c r="B25" s="23" t="inlineStr">
        <is>
          <t>Total</t>
        </is>
      </c>
      <c r="C25" s="37">
        <f>SUM(C21:C24)</f>
        <v/>
      </c>
      <c r="D25" s="37">
        <f>SUM(D21:D24)</f>
        <v/>
      </c>
      <c r="E25" s="37">
        <f>SUM(E21:E24)</f>
        <v/>
      </c>
      <c r="F25" s="37">
        <f>SUM(F21:F24)</f>
        <v/>
      </c>
      <c r="G25" s="30">
        <f>SUM(G21:G24)</f>
        <v/>
      </c>
      <c r="H25" s="37">
        <f>IF(G25&gt;0,F25/G25,0)</f>
        <v/>
      </c>
      <c r="I25" s="30">
        <f>SUM(I21:I24)</f>
        <v/>
      </c>
    </row>
    <row r="26"/>
    <row r="27">
      <c r="B27" s="23" t="inlineStr">
        <is>
          <t>By channel</t>
        </is>
      </c>
    </row>
    <row r="28">
      <c r="A28" s="12" t="inlineStr"/>
      <c r="B28" s="12" t="inlineStr">
        <is>
          <t>Channel</t>
        </is>
      </c>
      <c r="C28" s="12" t="inlineStr">
        <is>
          <t>Total €</t>
        </is>
      </c>
      <c r="D28" s="12" t="inlineStr">
        <is>
          <t>Hires</t>
        </is>
      </c>
      <c r="E28" s="12" t="inlineStr">
        <is>
          <t>Cost per hire</t>
        </is>
      </c>
      <c r="F28" s="12" t="inlineStr">
        <is>
          <t>Share of planned spend</t>
        </is>
      </c>
    </row>
    <row r="29">
      <c r="B29" s="2" t="inlineStr">
        <is>
          <t>Organic (Tesla careers, BA Jobbörse, Google for Jobs)</t>
        </is>
      </c>
      <c r="C29" s="36">
        <f>SUMIFS(Channels!$AA$5:$AA$34,Channels!$B$5:$B$34,B29)</f>
        <v/>
      </c>
      <c r="D29" s="27">
        <f>SUMIFS(Channels!$U$5:$U$34,Channels!$B$5:$B$34,B29)</f>
        <v/>
      </c>
      <c r="E29" s="36">
        <f>IF(D29&gt;0,C29/D29,"–")</f>
        <v/>
      </c>
      <c r="F29" s="25">
        <f>IF($C$9&gt;0,C29/$C$9,0)</f>
        <v/>
      </c>
    </row>
    <row r="30">
      <c r="B30" s="2" t="inlineStr">
        <is>
          <t>Programmatic job ads (Joveo: Indeed, Jooble, Talent.com, Kimeta, meinestadt…)</t>
        </is>
      </c>
      <c r="C30" s="36">
        <f>SUMIFS(Channels!$AA$5:$AA$34,Channels!$B$5:$B$34,B30)</f>
        <v/>
      </c>
      <c r="D30" s="27">
        <f>SUMIFS(Channels!$U$5:$U$34,Channels!$B$5:$B$34,B30)</f>
        <v/>
      </c>
      <c r="E30" s="36">
        <f>IF(D30&gt;0,C30/D30,"–")</f>
        <v/>
      </c>
      <c r="F30" s="25">
        <f>IF($C$9&gt;0,C30/$C$9,0)</f>
        <v/>
      </c>
    </row>
    <row r="31">
      <c r="B31" s="2" t="inlineStr">
        <is>
          <t>StepStone (30-day single ad)</t>
        </is>
      </c>
      <c r="C31" s="36">
        <f>SUMIFS(Channels!$AA$5:$AA$34,Channels!$B$5:$B$34,B31)</f>
        <v/>
      </c>
      <c r="D31" s="27">
        <f>SUMIFS(Channels!$U$5:$U$34,Channels!$B$5:$B$34,B31)</f>
        <v/>
      </c>
      <c r="E31" s="36">
        <f>IF(D31&gt;0,C31/D31,"–")</f>
        <v/>
      </c>
      <c r="F31" s="25">
        <f>IF($C$9&gt;0,C31/$C$9,0)</f>
        <v/>
      </c>
    </row>
    <row r="32">
      <c r="B32" s="2" t="inlineStr">
        <is>
          <t>LinkedIn (promoted jobs + InMail)</t>
        </is>
      </c>
      <c r="C32" s="36">
        <f>SUMIFS(Channels!$AA$5:$AA$34,Channels!$B$5:$B$34,B32)</f>
        <v/>
      </c>
      <c r="D32" s="27">
        <f>SUMIFS(Channels!$U$5:$U$34,Channels!$B$5:$B$34,B32)</f>
        <v/>
      </c>
      <c r="E32" s="36">
        <f>IF(D32&gt;0,C32/D32,"–")</f>
        <v/>
      </c>
      <c r="F32" s="25">
        <f>IF($C$9&gt;0,C32/$C$9,0)</f>
        <v/>
      </c>
    </row>
    <row r="33">
      <c r="B33" s="2" t="inlineStr">
        <is>
          <t>Meta social (FB/IG lead ads, 75 km geo)</t>
        </is>
      </c>
      <c r="C33" s="36">
        <f>SUMIFS(Channels!$AA$5:$AA$34,Channels!$B$5:$B$34,B33)</f>
        <v/>
      </c>
      <c r="D33" s="27">
        <f>SUMIFS(Channels!$U$5:$U$34,Channels!$B$5:$B$34,B33)</f>
        <v/>
      </c>
      <c r="E33" s="36">
        <f>IF(D33&gt;0,C33/D33,"–")</f>
        <v/>
      </c>
      <c r="F33" s="25">
        <f>IF($C$9&gt;0,C33/$C$9,0)</f>
        <v/>
      </c>
    </row>
    <row r="34">
      <c r="B34" s="2" t="inlineStr">
        <is>
          <t>Google Search ads (job-intent keywords)</t>
        </is>
      </c>
      <c r="C34" s="36">
        <f>SUMIFS(Channels!$AA$5:$AA$34,Channels!$B$5:$B$34,B34)</f>
        <v/>
      </c>
      <c r="D34" s="27">
        <f>SUMIFS(Channels!$U$5:$U$34,Channels!$B$5:$B$34,B34)</f>
        <v/>
      </c>
      <c r="E34" s="36">
        <f>IF(D34&gt;0,C34/D34,"–")</f>
        <v/>
      </c>
      <c r="F34" s="25">
        <f>IF($C$9&gt;0,C34/$C$9,0)</f>
        <v/>
      </c>
    </row>
    <row r="35">
      <c r="B35" s="2" t="inlineStr">
        <is>
          <t>I1a Talent rediscovery (past applicants in ATS)</t>
        </is>
      </c>
      <c r="C35" s="36">
        <f>SUMIFS(Channels!$AA$5:$AA$34,Channels!$B$5:$B$34,B35)</f>
        <v/>
      </c>
      <c r="D35" s="27">
        <f>SUMIFS(Channels!$U$5:$U$34,Channels!$B$5:$B$34,B35)</f>
        <v/>
      </c>
      <c r="E35" s="36">
        <f>IF(D35&gt;0,C35/D35,"–")</f>
        <v/>
      </c>
      <c r="F35" s="25">
        <f>IF($C$9&gt;0,C35/$C$9,0)</f>
        <v/>
      </c>
    </row>
    <row r="36">
      <c r="B36" s="2" t="inlineStr">
        <is>
          <t>I1b Employee referral sprint (bonus on hire)</t>
        </is>
      </c>
      <c r="C36" s="36">
        <f>SUMIFS(Channels!$AA$5:$AA$34,Channels!$B$5:$B$34,B36)</f>
        <v/>
      </c>
      <c r="D36" s="27">
        <f>SUMIFS(Channels!$U$5:$U$34,Channels!$B$5:$B$34,B36)</f>
        <v/>
      </c>
      <c r="E36" s="36">
        <f>IF(D36&gt;0,C36/D36,"–")</f>
        <v/>
      </c>
      <c r="F36" s="25">
        <f>IF($C$9&gt;0,C36/$C$9,0)</f>
        <v/>
      </c>
    </row>
    <row r="37">
      <c r="B37" s="2" t="inlineStr">
        <is>
          <t>I2 Handwerk → Industrie (construction electricians)</t>
        </is>
      </c>
      <c r="C37" s="36">
        <f>SUMIFS(Channels!$AA$5:$AA$34,Channels!$B$5:$B$34,B37)</f>
        <v/>
      </c>
      <c r="D37" s="27">
        <f>SUMIFS(Channels!$U$5:$U$34,Channels!$B$5:$B$34,B37)</f>
        <v/>
      </c>
      <c r="E37" s="36">
        <f>IF(D37&gt;0,C37/D37,"–")</f>
        <v/>
      </c>
      <c r="F37" s="25">
        <f>IF($C$9&gt;0,C37/$C$9,0)</f>
        <v/>
      </c>
    </row>
    <row r="38">
      <c r="B38" s="2" t="inlineStr">
        <is>
          <t>I3 Polish border corridor + PL pre-screener</t>
        </is>
      </c>
      <c r="C38" s="36">
        <f>SUMIFS(Channels!$AA$5:$AA$34,Channels!$B$5:$B$34,B38)</f>
        <v/>
      </c>
      <c r="D38" s="27">
        <f>SUMIFS(Channels!$U$5:$U$34,Channels!$B$5:$B$34,B38)</f>
        <v/>
      </c>
      <c r="E38" s="36">
        <f>IF(D38&gt;0,C38/D38,"–")</f>
        <v/>
      </c>
      <c r="F38" s="25">
        <f>IF($C$9&gt;0,C38/$C$9,0)</f>
        <v/>
      </c>
    </row>
    <row r="39">
      <c r="B39" s="23" t="inlineStr">
        <is>
          <t>Total</t>
        </is>
      </c>
      <c r="C39" s="37">
        <f>SUM(C29:C38)</f>
        <v/>
      </c>
      <c r="D39" s="30">
        <f>SUM(D29:D38)</f>
        <v/>
      </c>
    </row>
    <row r="40">
      <c r="B40" s="2">
        <f>IF(LEFT(Summary!$C$19,1)&lt;&gt;"✓",Summary!$C$19,IF(Assumptions!$D$48&gt;=1,"✗ reserve share must be below 100%",IF(ABS(C39-C9)&lt;1,"✓ ties to planned spend","✗ check: channel totals ≠ planned spend")))</f>
        <v/>
      </c>
    </row>
    <row r="41"/>
    <row r="42">
      <c r="B42" s="23" t="inlineStr">
        <is>
          <t>Part 2.5 — What a smaller (or bigger) budget buys</t>
        </is>
      </c>
    </row>
    <row r="43">
      <c r="B43" s="2" t="inlineStr">
        <is>
          <t>Rule when money is cut: drop the most expensive cost-per-hire cells first (across roles), including their test tranches and set-up costs; keep the reserve at the same %. If assessment slots bind (Funnel B24 &gt; 100%), hires are capped by slots, and a cut can even raise hires because it removes low-conversion sources: then re-optimise for hires per assessment slot. Detail in the scenario calculation below.</t>
        </is>
      </c>
    </row>
    <row r="44">
      <c r="A44" s="12" t="inlineStr"/>
      <c r="B44" s="12" t="inlineStr">
        <is>
          <t>Budget level</t>
        </is>
      </c>
      <c r="C44" s="12" t="inlineStr">
        <is>
          <t>Total budget €</t>
        </is>
      </c>
      <c r="D44" s="12" t="inlineStr">
        <is>
          <t>Electricians</t>
        </is>
      </c>
      <c r="E44" s="12" t="inlineStr">
        <is>
          <t>Mechatronics</t>
        </is>
      </c>
      <c r="F44" s="12" t="inlineStr">
        <is>
          <t>Automation</t>
        </is>
      </c>
      <c r="G44" s="12" t="inlineStr">
        <is>
          <t>Supervisors</t>
        </is>
      </c>
      <c r="H44" s="12" t="inlineStr">
        <is>
          <t>Total hires</t>
        </is>
      </c>
      <c r="I44" s="12" t="inlineStr">
        <is>
          <t>Cost per hire</t>
        </is>
      </c>
    </row>
    <row r="45">
      <c r="B45" s="25">
        <f>Budget!F56</f>
        <v/>
      </c>
      <c r="C45" s="36">
        <f>Budget!F57</f>
        <v/>
      </c>
      <c r="D45" s="27">
        <f>Budget!F92</f>
        <v/>
      </c>
      <c r="E45" s="27">
        <f>Budget!F93</f>
        <v/>
      </c>
      <c r="F45" s="27">
        <f>Budget!F94</f>
        <v/>
      </c>
      <c r="G45" s="27">
        <f>Budget!F95</f>
        <v/>
      </c>
      <c r="H45" s="30">
        <f>SUM(D45:G45)</f>
        <v/>
      </c>
      <c r="I45" s="36">
        <f>IF(H45&gt;0,C45/H45,0)</f>
        <v/>
      </c>
    </row>
    <row r="46">
      <c r="B46" s="25">
        <f>Budget!G56</f>
        <v/>
      </c>
      <c r="C46" s="36">
        <f>Budget!G57</f>
        <v/>
      </c>
      <c r="D46" s="27">
        <f>Budget!G92</f>
        <v/>
      </c>
      <c r="E46" s="27">
        <f>Budget!G93</f>
        <v/>
      </c>
      <c r="F46" s="27">
        <f>Budget!G94</f>
        <v/>
      </c>
      <c r="G46" s="27">
        <f>Budget!G95</f>
        <v/>
      </c>
      <c r="H46" s="30">
        <f>SUM(D46:G46)</f>
        <v/>
      </c>
      <c r="I46" s="36">
        <f>IF(H46&gt;0,C46/H46,0)</f>
        <v/>
      </c>
    </row>
    <row r="47">
      <c r="B47" s="25">
        <f>Budget!H56</f>
        <v/>
      </c>
      <c r="C47" s="36">
        <f>Budget!H57</f>
        <v/>
      </c>
      <c r="D47" s="27">
        <f>Budget!H92</f>
        <v/>
      </c>
      <c r="E47" s="27">
        <f>Budget!H93</f>
        <v/>
      </c>
      <c r="F47" s="27">
        <f>Budget!H94</f>
        <v/>
      </c>
      <c r="G47" s="27">
        <f>Budget!H95</f>
        <v/>
      </c>
      <c r="H47" s="30">
        <f>SUM(D47:G47)</f>
        <v/>
      </c>
      <c r="I47" s="36">
        <f>IF(H47&gt;0,C47/H47,0)</f>
        <v/>
      </c>
    </row>
    <row r="48">
      <c r="B48" s="25">
        <f>Budget!I56</f>
        <v/>
      </c>
      <c r="C48" s="36">
        <f>Budget!I57</f>
        <v/>
      </c>
      <c r="D48" s="27">
        <f>Budget!I92</f>
        <v/>
      </c>
      <c r="E48" s="27">
        <f>Budget!I93</f>
        <v/>
      </c>
      <c r="F48" s="27">
        <f>Budget!I94</f>
        <v/>
      </c>
      <c r="G48" s="27">
        <f>Budget!I95</f>
        <v/>
      </c>
      <c r="H48" s="30">
        <f>SUM(D48:G48)</f>
        <v/>
      </c>
      <c r="I48" s="36">
        <f>IF(H48&gt;0,C48/H48,0)</f>
        <v/>
      </c>
    </row>
    <row r="49"/>
    <row r="50">
      <c r="B50" s="9">
        <f>"Above the recommended budget, extra money can buy at most ~"&amp;TEXT(MAX(0,Funnel!B26-Funnel!B9),"0")&amp;" more hires before 31 Dec (the "&amp;TEXT(MAX(0,Funnel!B22-Funnel!B23),"0")&amp;" spare assessment slots at plan conversion); after that the "&amp;Assumptions!$D$9&amp;"/week limit binds."</f>
        <v/>
      </c>
    </row>
    <row r="51"/>
    <row r="52"/>
    <row r="53"/>
    <row r="54">
      <c r="A54" s="1" t="inlineStr">
        <is>
          <t>Budget scenarios: cut the most expensive cost-per-hire cells first</t>
        </is>
      </c>
    </row>
    <row r="55">
      <c r="A55" s="2" t="inlineStr">
        <is>
          <t>Cells are cut in order of planned cost per hire (most expensive first). A cut removes media first; a cell's set-up cost is only saved once its media is fully cut, so partially cut cells keep their set-up.</t>
        </is>
      </c>
    </row>
    <row r="56">
      <c r="E56" s="23" t="inlineStr">
        <is>
          <t>Budget level →</t>
        </is>
      </c>
      <c r="F56" s="43">
        <f>1</f>
        <v/>
      </c>
      <c r="G56" s="43">
        <f>1-Assumptions!$D$52</f>
        <v/>
      </c>
      <c r="H56" s="43">
        <f>1-Assumptions!$D$54</f>
        <v/>
      </c>
      <c r="I56" s="43">
        <f>1-Assumptions!$D$53</f>
        <v/>
      </c>
    </row>
    <row r="57">
      <c r="E57" s="2" t="inlineStr">
        <is>
          <t>Total budget €</t>
        </is>
      </c>
      <c r="F57" s="36">
        <f>Budget!$C$12*F56</f>
        <v/>
      </c>
      <c r="G57" s="36">
        <f>Budget!$C$12*G56</f>
        <v/>
      </c>
      <c r="H57" s="36">
        <f>Budget!$C$12*H56</f>
        <v/>
      </c>
      <c r="I57" s="36">
        <f>Budget!$C$12*I56</f>
        <v/>
      </c>
    </row>
    <row r="58">
      <c r="E58" s="2" t="inlineStr">
        <is>
          <t>Spend available (after reserve) €</t>
        </is>
      </c>
      <c r="F58" s="36">
        <f>F57*(1-Assumptions!$D$48)</f>
        <v/>
      </c>
      <c r="G58" s="36">
        <f>G57*(1-Assumptions!$D$48)</f>
        <v/>
      </c>
      <c r="H58" s="36">
        <f>H57*(1-Assumptions!$D$48)</f>
        <v/>
      </c>
      <c r="I58" s="36">
        <f>I57*(1-Assumptions!$D$48)</f>
        <v/>
      </c>
    </row>
    <row r="59">
      <c r="E59" s="2" t="inlineStr">
        <is>
          <t>Savings needed €</t>
        </is>
      </c>
      <c r="F59" s="36">
        <f>MAX(0,Budget!$C$9-F58)</f>
        <v/>
      </c>
      <c r="G59" s="36">
        <f>MAX(0,Budget!$C$9-G58)</f>
        <v/>
      </c>
      <c r="H59" s="36">
        <f>MAX(0,Budget!$C$9-H58)</f>
        <v/>
      </c>
      <c r="I59" s="36">
        <f>MAX(0,Budget!$C$9-I58)</f>
        <v/>
      </c>
    </row>
    <row r="60">
      <c r="A60" s="12" t="inlineStr">
        <is>
          <t>ID (+ to expand)</t>
        </is>
      </c>
      <c r="B60" s="12" t="inlineStr">
        <is>
          <t>Role</t>
        </is>
      </c>
      <c r="C60" s="12" t="inlineStr">
        <is>
          <t>Total € (media + fixed)</t>
        </is>
      </c>
      <c r="D60" s="12" t="inlineStr">
        <is>
          <t>Sort key (planned cost per hire)</t>
        </is>
      </c>
      <c r="E60" s="12" t="inlineStr">
        <is>
          <t>Hires</t>
        </is>
      </c>
      <c r="F60" s="12" t="inlineStr">
        <is>
          <t>Hires @L1</t>
        </is>
      </c>
      <c r="G60" s="12" t="inlineStr">
        <is>
          <t>Hires @L2</t>
        </is>
      </c>
      <c r="H60" s="12" t="inlineStr">
        <is>
          <t>Hires @L3</t>
        </is>
      </c>
      <c r="I60" s="12" t="inlineStr">
        <is>
          <t>Hires @L4</t>
        </is>
      </c>
      <c r="J60" s="12" t="inlineStr">
        <is>
          <t>Cut @L1</t>
        </is>
      </c>
      <c r="K60" s="12" t="inlineStr">
        <is>
          <t>Cut @L2</t>
        </is>
      </c>
      <c r="L60" s="12" t="inlineStr">
        <is>
          <t>Cut @L3</t>
        </is>
      </c>
      <c r="M60" s="12" t="inlineStr">
        <is>
          <t>Cut @L4</t>
        </is>
      </c>
      <c r="N60" s="12" t="inlineStr">
        <is>
          <t>Media €</t>
        </is>
      </c>
      <c r="O60" s="12" t="inlineStr">
        <is>
          <t>Qualified @L1</t>
        </is>
      </c>
      <c r="P60" s="12" t="inlineStr">
        <is>
          <t>Qualified @L2</t>
        </is>
      </c>
      <c r="Q60" s="12" t="inlineStr">
        <is>
          <t>Qualified @L3</t>
        </is>
      </c>
      <c r="R60" s="12" t="inlineStr">
        <is>
          <t>Qualified @L4</t>
        </is>
      </c>
    </row>
    <row r="61" hidden="1" outlineLevel="1">
      <c r="A61" s="2">
        <f>Channels!A5</f>
        <v/>
      </c>
      <c r="B61" s="2">
        <f>Channels!C5</f>
        <v/>
      </c>
      <c r="C61" s="36">
        <f>Channels!AA5</f>
        <v/>
      </c>
      <c r="D61" s="40">
        <f>IF(ISNUMBER(Channels!AB5),Channels!AB5,0)+ROW()/1000000</f>
        <v/>
      </c>
      <c r="E61" s="27">
        <f>Channels!U5</f>
        <v/>
      </c>
      <c r="F61" s="27">
        <f>IF(N61&gt;0,E61*MAX(0,N61-MIN(J61,N61))/N61,IF(C61&gt;0,E61*(1-J61/C61),E61))</f>
        <v/>
      </c>
      <c r="G61" s="27">
        <f>IF(N61&gt;0,E61*MAX(0,N61-MIN(K61,N61))/N61,IF(C61&gt;0,E61*(1-K61/C61),E61))</f>
        <v/>
      </c>
      <c r="H61" s="27">
        <f>IF(N61&gt;0,E61*MAX(0,N61-MIN(L61,N61))/N61,IF(C61&gt;0,E61*(1-L61/C61),E61))</f>
        <v/>
      </c>
      <c r="I61" s="27">
        <f>IF(N61&gt;0,E61*MAX(0,N61-MIN(M61,N61))/N61,IF(C61&gt;0,E61*(1-M61/C61),E61))</f>
        <v/>
      </c>
      <c r="J61" s="36">
        <f>MIN(C61,MAX(0,F$59-SUMPRODUCT(($D$61:$D$90&gt;D61)*$C$61:$C$90)))</f>
        <v/>
      </c>
      <c r="K61" s="36">
        <f>MIN(C61,MAX(0,G$59-SUMPRODUCT(($D$61:$D$90&gt;D61)*$C$61:$C$90)))</f>
        <v/>
      </c>
      <c r="L61" s="36">
        <f>MIN(C61,MAX(0,H$59-SUMPRODUCT(($D$61:$D$90&gt;D61)*$C$61:$C$90)))</f>
        <v/>
      </c>
      <c r="M61" s="36">
        <f>MIN(C61,MAX(0,I$59-SUMPRODUCT(($D$61:$D$90&gt;D61)*$C$61:$C$90)))</f>
        <v/>
      </c>
      <c r="N61" s="36">
        <f>Channels!X5</f>
        <v/>
      </c>
      <c r="O61" s="27">
        <f>IF(E61&gt;0,F61*Channels!V5/E61,0)</f>
        <v/>
      </c>
      <c r="P61" s="27">
        <f>IF(E61&gt;0,G61*Channels!V5/E61,0)</f>
        <v/>
      </c>
      <c r="Q61" s="27">
        <f>IF(E61&gt;0,H61*Channels!V5/E61,0)</f>
        <v/>
      </c>
      <c r="R61" s="27">
        <f>IF(E61&gt;0,I61*Channels!V5/E61,0)</f>
        <v/>
      </c>
    </row>
    <row r="62" hidden="1" outlineLevel="1">
      <c r="A62" s="2">
        <f>Channels!A6</f>
        <v/>
      </c>
      <c r="B62" s="2">
        <f>Channels!C6</f>
        <v/>
      </c>
      <c r="C62" s="36">
        <f>Channels!AA6</f>
        <v/>
      </c>
      <c r="D62" s="40">
        <f>IF(ISNUMBER(Channels!AB6),Channels!AB6,0)+ROW()/1000000</f>
        <v/>
      </c>
      <c r="E62" s="27">
        <f>Channels!U6</f>
        <v/>
      </c>
      <c r="F62" s="27">
        <f>IF(N62&gt;0,E62*MAX(0,N62-MIN(J62,N62))/N62,IF(C62&gt;0,E62*(1-J62/C62),E62))</f>
        <v/>
      </c>
      <c r="G62" s="27">
        <f>IF(N62&gt;0,E62*MAX(0,N62-MIN(K62,N62))/N62,IF(C62&gt;0,E62*(1-K62/C62),E62))</f>
        <v/>
      </c>
      <c r="H62" s="27">
        <f>IF(N62&gt;0,E62*MAX(0,N62-MIN(L62,N62))/N62,IF(C62&gt;0,E62*(1-L62/C62),E62))</f>
        <v/>
      </c>
      <c r="I62" s="27">
        <f>IF(N62&gt;0,E62*MAX(0,N62-MIN(M62,N62))/N62,IF(C62&gt;0,E62*(1-M62/C62),E62))</f>
        <v/>
      </c>
      <c r="J62" s="36">
        <f>MIN(C62,MAX(0,F$59-SUMPRODUCT(($D$61:$D$90&gt;D62)*$C$61:$C$90)))</f>
        <v/>
      </c>
      <c r="K62" s="36">
        <f>MIN(C62,MAX(0,G$59-SUMPRODUCT(($D$61:$D$90&gt;D62)*$C$61:$C$90)))</f>
        <v/>
      </c>
      <c r="L62" s="36">
        <f>MIN(C62,MAX(0,H$59-SUMPRODUCT(($D$61:$D$90&gt;D62)*$C$61:$C$90)))</f>
        <v/>
      </c>
      <c r="M62" s="36">
        <f>MIN(C62,MAX(0,I$59-SUMPRODUCT(($D$61:$D$90&gt;D62)*$C$61:$C$90)))</f>
        <v/>
      </c>
      <c r="N62" s="36">
        <f>Channels!X6</f>
        <v/>
      </c>
      <c r="O62" s="27">
        <f>IF(E62&gt;0,F62*Channels!V6/E62,0)</f>
        <v/>
      </c>
      <c r="P62" s="27">
        <f>IF(E62&gt;0,G62*Channels!V6/E62,0)</f>
        <v/>
      </c>
      <c r="Q62" s="27">
        <f>IF(E62&gt;0,H62*Channels!V6/E62,0)</f>
        <v/>
      </c>
      <c r="R62" s="27">
        <f>IF(E62&gt;0,I62*Channels!V6/E62,0)</f>
        <v/>
      </c>
    </row>
    <row r="63" hidden="1" outlineLevel="1">
      <c r="A63" s="2">
        <f>Channels!A7</f>
        <v/>
      </c>
      <c r="B63" s="2">
        <f>Channels!C7</f>
        <v/>
      </c>
      <c r="C63" s="36">
        <f>Channels!AA7</f>
        <v/>
      </c>
      <c r="D63" s="40">
        <f>IF(ISNUMBER(Channels!AB7),Channels!AB7,0)+ROW()/1000000</f>
        <v/>
      </c>
      <c r="E63" s="27">
        <f>Channels!U7</f>
        <v/>
      </c>
      <c r="F63" s="27">
        <f>IF(N63&gt;0,E63*MAX(0,N63-MIN(J63,N63))/N63,IF(C63&gt;0,E63*(1-J63/C63),E63))</f>
        <v/>
      </c>
      <c r="G63" s="27">
        <f>IF(N63&gt;0,E63*MAX(0,N63-MIN(K63,N63))/N63,IF(C63&gt;0,E63*(1-K63/C63),E63))</f>
        <v/>
      </c>
      <c r="H63" s="27">
        <f>IF(N63&gt;0,E63*MAX(0,N63-MIN(L63,N63))/N63,IF(C63&gt;0,E63*(1-L63/C63),E63))</f>
        <v/>
      </c>
      <c r="I63" s="27">
        <f>IF(N63&gt;0,E63*MAX(0,N63-MIN(M63,N63))/N63,IF(C63&gt;0,E63*(1-M63/C63),E63))</f>
        <v/>
      </c>
      <c r="J63" s="36">
        <f>MIN(C63,MAX(0,F$59-SUMPRODUCT(($D$61:$D$90&gt;D63)*$C$61:$C$90)))</f>
        <v/>
      </c>
      <c r="K63" s="36">
        <f>MIN(C63,MAX(0,G$59-SUMPRODUCT(($D$61:$D$90&gt;D63)*$C$61:$C$90)))</f>
        <v/>
      </c>
      <c r="L63" s="36">
        <f>MIN(C63,MAX(0,H$59-SUMPRODUCT(($D$61:$D$90&gt;D63)*$C$61:$C$90)))</f>
        <v/>
      </c>
      <c r="M63" s="36">
        <f>MIN(C63,MAX(0,I$59-SUMPRODUCT(($D$61:$D$90&gt;D63)*$C$61:$C$90)))</f>
        <v/>
      </c>
      <c r="N63" s="36">
        <f>Channels!X7</f>
        <v/>
      </c>
      <c r="O63" s="27">
        <f>IF(E63&gt;0,F63*Channels!V7/E63,0)</f>
        <v/>
      </c>
      <c r="P63" s="27">
        <f>IF(E63&gt;0,G63*Channels!V7/E63,0)</f>
        <v/>
      </c>
      <c r="Q63" s="27">
        <f>IF(E63&gt;0,H63*Channels!V7/E63,0)</f>
        <v/>
      </c>
      <c r="R63" s="27">
        <f>IF(E63&gt;0,I63*Channels!V7/E63,0)</f>
        <v/>
      </c>
    </row>
    <row r="64" hidden="1" outlineLevel="1">
      <c r="A64" s="2">
        <f>Channels!A8</f>
        <v/>
      </c>
      <c r="B64" s="2">
        <f>Channels!C8</f>
        <v/>
      </c>
      <c r="C64" s="36">
        <f>Channels!AA8</f>
        <v/>
      </c>
      <c r="D64" s="40">
        <f>IF(ISNUMBER(Channels!AB8),Channels!AB8,0)+ROW()/1000000</f>
        <v/>
      </c>
      <c r="E64" s="27">
        <f>Channels!U8</f>
        <v/>
      </c>
      <c r="F64" s="27">
        <f>IF(N64&gt;0,E64*MAX(0,N64-MIN(J64,N64))/N64,IF(C64&gt;0,E64*(1-J64/C64),E64))</f>
        <v/>
      </c>
      <c r="G64" s="27">
        <f>IF(N64&gt;0,E64*MAX(0,N64-MIN(K64,N64))/N64,IF(C64&gt;0,E64*(1-K64/C64),E64))</f>
        <v/>
      </c>
      <c r="H64" s="27">
        <f>IF(N64&gt;0,E64*MAX(0,N64-MIN(L64,N64))/N64,IF(C64&gt;0,E64*(1-L64/C64),E64))</f>
        <v/>
      </c>
      <c r="I64" s="27">
        <f>IF(N64&gt;0,E64*MAX(0,N64-MIN(M64,N64))/N64,IF(C64&gt;0,E64*(1-M64/C64),E64))</f>
        <v/>
      </c>
      <c r="J64" s="36">
        <f>MIN(C64,MAX(0,F$59-SUMPRODUCT(($D$61:$D$90&gt;D64)*$C$61:$C$90)))</f>
        <v/>
      </c>
      <c r="K64" s="36">
        <f>MIN(C64,MAX(0,G$59-SUMPRODUCT(($D$61:$D$90&gt;D64)*$C$61:$C$90)))</f>
        <v/>
      </c>
      <c r="L64" s="36">
        <f>MIN(C64,MAX(0,H$59-SUMPRODUCT(($D$61:$D$90&gt;D64)*$C$61:$C$90)))</f>
        <v/>
      </c>
      <c r="M64" s="36">
        <f>MIN(C64,MAX(0,I$59-SUMPRODUCT(($D$61:$D$90&gt;D64)*$C$61:$C$90)))</f>
        <v/>
      </c>
      <c r="N64" s="36">
        <f>Channels!X8</f>
        <v/>
      </c>
      <c r="O64" s="27">
        <f>IF(E64&gt;0,F64*Channels!V8/E64,0)</f>
        <v/>
      </c>
      <c r="P64" s="27">
        <f>IF(E64&gt;0,G64*Channels!V8/E64,0)</f>
        <v/>
      </c>
      <c r="Q64" s="27">
        <f>IF(E64&gt;0,H64*Channels!V8/E64,0)</f>
        <v/>
      </c>
      <c r="R64" s="27">
        <f>IF(E64&gt;0,I64*Channels!V8/E64,0)</f>
        <v/>
      </c>
    </row>
    <row r="65" hidden="1" outlineLevel="1">
      <c r="A65" s="2">
        <f>Channels!A9</f>
        <v/>
      </c>
      <c r="B65" s="2">
        <f>Channels!C9</f>
        <v/>
      </c>
      <c r="C65" s="36">
        <f>Channels!AA9</f>
        <v/>
      </c>
      <c r="D65" s="40">
        <f>IF(ISNUMBER(Channels!AB9),Channels!AB9,0)+ROW()/1000000</f>
        <v/>
      </c>
      <c r="E65" s="27">
        <f>Channels!U9</f>
        <v/>
      </c>
      <c r="F65" s="27">
        <f>IF(N65&gt;0,E65*MAX(0,N65-MIN(J65,N65))/N65,IF(C65&gt;0,E65*(1-J65/C65),E65))</f>
        <v/>
      </c>
      <c r="G65" s="27">
        <f>IF(N65&gt;0,E65*MAX(0,N65-MIN(K65,N65))/N65,IF(C65&gt;0,E65*(1-K65/C65),E65))</f>
        <v/>
      </c>
      <c r="H65" s="27">
        <f>IF(N65&gt;0,E65*MAX(0,N65-MIN(L65,N65))/N65,IF(C65&gt;0,E65*(1-L65/C65),E65))</f>
        <v/>
      </c>
      <c r="I65" s="27">
        <f>IF(N65&gt;0,E65*MAX(0,N65-MIN(M65,N65))/N65,IF(C65&gt;0,E65*(1-M65/C65),E65))</f>
        <v/>
      </c>
      <c r="J65" s="36">
        <f>MIN(C65,MAX(0,F$59-SUMPRODUCT(($D$61:$D$90&gt;D65)*$C$61:$C$90)))</f>
        <v/>
      </c>
      <c r="K65" s="36">
        <f>MIN(C65,MAX(0,G$59-SUMPRODUCT(($D$61:$D$90&gt;D65)*$C$61:$C$90)))</f>
        <v/>
      </c>
      <c r="L65" s="36">
        <f>MIN(C65,MAX(0,H$59-SUMPRODUCT(($D$61:$D$90&gt;D65)*$C$61:$C$90)))</f>
        <v/>
      </c>
      <c r="M65" s="36">
        <f>MIN(C65,MAX(0,I$59-SUMPRODUCT(($D$61:$D$90&gt;D65)*$C$61:$C$90)))</f>
        <v/>
      </c>
      <c r="N65" s="36">
        <f>Channels!X9</f>
        <v/>
      </c>
      <c r="O65" s="27">
        <f>IF(E65&gt;0,F65*Channels!V9/E65,0)</f>
        <v/>
      </c>
      <c r="P65" s="27">
        <f>IF(E65&gt;0,G65*Channels!V9/E65,0)</f>
        <v/>
      </c>
      <c r="Q65" s="27">
        <f>IF(E65&gt;0,H65*Channels!V9/E65,0)</f>
        <v/>
      </c>
      <c r="R65" s="27">
        <f>IF(E65&gt;0,I65*Channels!V9/E65,0)</f>
        <v/>
      </c>
    </row>
    <row r="66" hidden="1" outlineLevel="1">
      <c r="A66" s="2">
        <f>Channels!A10</f>
        <v/>
      </c>
      <c r="B66" s="2">
        <f>Channels!C10</f>
        <v/>
      </c>
      <c r="C66" s="36">
        <f>Channels!AA10</f>
        <v/>
      </c>
      <c r="D66" s="40">
        <f>IF(ISNUMBER(Channels!AB10),Channels!AB10,0)+ROW()/1000000</f>
        <v/>
      </c>
      <c r="E66" s="27">
        <f>Channels!U10</f>
        <v/>
      </c>
      <c r="F66" s="27">
        <f>IF(N66&gt;0,E66*MAX(0,N66-MIN(J66,N66))/N66,IF(C66&gt;0,E66*(1-J66/C66),E66))</f>
        <v/>
      </c>
      <c r="G66" s="27">
        <f>IF(N66&gt;0,E66*MAX(0,N66-MIN(K66,N66))/N66,IF(C66&gt;0,E66*(1-K66/C66),E66))</f>
        <v/>
      </c>
      <c r="H66" s="27">
        <f>IF(N66&gt;0,E66*MAX(0,N66-MIN(L66,N66))/N66,IF(C66&gt;0,E66*(1-L66/C66),E66))</f>
        <v/>
      </c>
      <c r="I66" s="27">
        <f>IF(N66&gt;0,E66*MAX(0,N66-MIN(M66,N66))/N66,IF(C66&gt;0,E66*(1-M66/C66),E66))</f>
        <v/>
      </c>
      <c r="J66" s="36">
        <f>MIN(C66,MAX(0,F$59-SUMPRODUCT(($D$61:$D$90&gt;D66)*$C$61:$C$90)))</f>
        <v/>
      </c>
      <c r="K66" s="36">
        <f>MIN(C66,MAX(0,G$59-SUMPRODUCT(($D$61:$D$90&gt;D66)*$C$61:$C$90)))</f>
        <v/>
      </c>
      <c r="L66" s="36">
        <f>MIN(C66,MAX(0,H$59-SUMPRODUCT(($D$61:$D$90&gt;D66)*$C$61:$C$90)))</f>
        <v/>
      </c>
      <c r="M66" s="36">
        <f>MIN(C66,MAX(0,I$59-SUMPRODUCT(($D$61:$D$90&gt;D66)*$C$61:$C$90)))</f>
        <v/>
      </c>
      <c r="N66" s="36">
        <f>Channels!X10</f>
        <v/>
      </c>
      <c r="O66" s="27">
        <f>IF(E66&gt;0,F66*Channels!V10/E66,0)</f>
        <v/>
      </c>
      <c r="P66" s="27">
        <f>IF(E66&gt;0,G66*Channels!V10/E66,0)</f>
        <v/>
      </c>
      <c r="Q66" s="27">
        <f>IF(E66&gt;0,H66*Channels!V10/E66,0)</f>
        <v/>
      </c>
      <c r="R66" s="27">
        <f>IF(E66&gt;0,I66*Channels!V10/E66,0)</f>
        <v/>
      </c>
    </row>
    <row r="67" hidden="1" outlineLevel="1">
      <c r="A67" s="2">
        <f>Channels!A11</f>
        <v/>
      </c>
      <c r="B67" s="2">
        <f>Channels!C11</f>
        <v/>
      </c>
      <c r="C67" s="36">
        <f>Channels!AA11</f>
        <v/>
      </c>
      <c r="D67" s="40">
        <f>IF(ISNUMBER(Channels!AB11),Channels!AB11,0)+ROW()/1000000</f>
        <v/>
      </c>
      <c r="E67" s="27">
        <f>Channels!U11</f>
        <v/>
      </c>
      <c r="F67" s="27">
        <f>IF(N67&gt;0,E67*MAX(0,N67-MIN(J67,N67))/N67,IF(C67&gt;0,E67*(1-J67/C67),E67))</f>
        <v/>
      </c>
      <c r="G67" s="27">
        <f>IF(N67&gt;0,E67*MAX(0,N67-MIN(K67,N67))/N67,IF(C67&gt;0,E67*(1-K67/C67),E67))</f>
        <v/>
      </c>
      <c r="H67" s="27">
        <f>IF(N67&gt;0,E67*MAX(0,N67-MIN(L67,N67))/N67,IF(C67&gt;0,E67*(1-L67/C67),E67))</f>
        <v/>
      </c>
      <c r="I67" s="27">
        <f>IF(N67&gt;0,E67*MAX(0,N67-MIN(M67,N67))/N67,IF(C67&gt;0,E67*(1-M67/C67),E67))</f>
        <v/>
      </c>
      <c r="J67" s="36">
        <f>MIN(C67,MAX(0,F$59-SUMPRODUCT(($D$61:$D$90&gt;D67)*$C$61:$C$90)))</f>
        <v/>
      </c>
      <c r="K67" s="36">
        <f>MIN(C67,MAX(0,G$59-SUMPRODUCT(($D$61:$D$90&gt;D67)*$C$61:$C$90)))</f>
        <v/>
      </c>
      <c r="L67" s="36">
        <f>MIN(C67,MAX(0,H$59-SUMPRODUCT(($D$61:$D$90&gt;D67)*$C$61:$C$90)))</f>
        <v/>
      </c>
      <c r="M67" s="36">
        <f>MIN(C67,MAX(0,I$59-SUMPRODUCT(($D$61:$D$90&gt;D67)*$C$61:$C$90)))</f>
        <v/>
      </c>
      <c r="N67" s="36">
        <f>Channels!X11</f>
        <v/>
      </c>
      <c r="O67" s="27">
        <f>IF(E67&gt;0,F67*Channels!V11/E67,0)</f>
        <v/>
      </c>
      <c r="P67" s="27">
        <f>IF(E67&gt;0,G67*Channels!V11/E67,0)</f>
        <v/>
      </c>
      <c r="Q67" s="27">
        <f>IF(E67&gt;0,H67*Channels!V11/E67,0)</f>
        <v/>
      </c>
      <c r="R67" s="27">
        <f>IF(E67&gt;0,I67*Channels!V11/E67,0)</f>
        <v/>
      </c>
    </row>
    <row r="68" hidden="1" outlineLevel="1">
      <c r="A68" s="2">
        <f>Channels!A12</f>
        <v/>
      </c>
      <c r="B68" s="2">
        <f>Channels!C12</f>
        <v/>
      </c>
      <c r="C68" s="36">
        <f>Channels!AA12</f>
        <v/>
      </c>
      <c r="D68" s="40">
        <f>IF(ISNUMBER(Channels!AB12),Channels!AB12,0)+ROW()/1000000</f>
        <v/>
      </c>
      <c r="E68" s="27">
        <f>Channels!U12</f>
        <v/>
      </c>
      <c r="F68" s="27">
        <f>IF(N68&gt;0,E68*MAX(0,N68-MIN(J68,N68))/N68,IF(C68&gt;0,E68*(1-J68/C68),E68))</f>
        <v/>
      </c>
      <c r="G68" s="27">
        <f>IF(N68&gt;0,E68*MAX(0,N68-MIN(K68,N68))/N68,IF(C68&gt;0,E68*(1-K68/C68),E68))</f>
        <v/>
      </c>
      <c r="H68" s="27">
        <f>IF(N68&gt;0,E68*MAX(0,N68-MIN(L68,N68))/N68,IF(C68&gt;0,E68*(1-L68/C68),E68))</f>
        <v/>
      </c>
      <c r="I68" s="27">
        <f>IF(N68&gt;0,E68*MAX(0,N68-MIN(M68,N68))/N68,IF(C68&gt;0,E68*(1-M68/C68),E68))</f>
        <v/>
      </c>
      <c r="J68" s="36">
        <f>MIN(C68,MAX(0,F$59-SUMPRODUCT(($D$61:$D$90&gt;D68)*$C$61:$C$90)))</f>
        <v/>
      </c>
      <c r="K68" s="36">
        <f>MIN(C68,MAX(0,G$59-SUMPRODUCT(($D$61:$D$90&gt;D68)*$C$61:$C$90)))</f>
        <v/>
      </c>
      <c r="L68" s="36">
        <f>MIN(C68,MAX(0,H$59-SUMPRODUCT(($D$61:$D$90&gt;D68)*$C$61:$C$90)))</f>
        <v/>
      </c>
      <c r="M68" s="36">
        <f>MIN(C68,MAX(0,I$59-SUMPRODUCT(($D$61:$D$90&gt;D68)*$C$61:$C$90)))</f>
        <v/>
      </c>
      <c r="N68" s="36">
        <f>Channels!X12</f>
        <v/>
      </c>
      <c r="O68" s="27">
        <f>IF(E68&gt;0,F68*Channels!V12/E68,0)</f>
        <v/>
      </c>
      <c r="P68" s="27">
        <f>IF(E68&gt;0,G68*Channels!V12/E68,0)</f>
        <v/>
      </c>
      <c r="Q68" s="27">
        <f>IF(E68&gt;0,H68*Channels!V12/E68,0)</f>
        <v/>
      </c>
      <c r="R68" s="27">
        <f>IF(E68&gt;0,I68*Channels!V12/E68,0)</f>
        <v/>
      </c>
    </row>
    <row r="69" hidden="1" outlineLevel="1">
      <c r="A69" s="2">
        <f>Channels!A13</f>
        <v/>
      </c>
      <c r="B69" s="2">
        <f>Channels!C13</f>
        <v/>
      </c>
      <c r="C69" s="36">
        <f>Channels!AA13</f>
        <v/>
      </c>
      <c r="D69" s="40">
        <f>IF(ISNUMBER(Channels!AB13),Channels!AB13,0)+ROW()/1000000</f>
        <v/>
      </c>
      <c r="E69" s="27">
        <f>Channels!U13</f>
        <v/>
      </c>
      <c r="F69" s="27">
        <f>IF(N69&gt;0,E69*MAX(0,N69-MIN(J69,N69))/N69,IF(C69&gt;0,E69*(1-J69/C69),E69))</f>
        <v/>
      </c>
      <c r="G69" s="27">
        <f>IF(N69&gt;0,E69*MAX(0,N69-MIN(K69,N69))/N69,IF(C69&gt;0,E69*(1-K69/C69),E69))</f>
        <v/>
      </c>
      <c r="H69" s="27">
        <f>IF(N69&gt;0,E69*MAX(0,N69-MIN(L69,N69))/N69,IF(C69&gt;0,E69*(1-L69/C69),E69))</f>
        <v/>
      </c>
      <c r="I69" s="27">
        <f>IF(N69&gt;0,E69*MAX(0,N69-MIN(M69,N69))/N69,IF(C69&gt;0,E69*(1-M69/C69),E69))</f>
        <v/>
      </c>
      <c r="J69" s="36">
        <f>MIN(C69,MAX(0,F$59-SUMPRODUCT(($D$61:$D$90&gt;D69)*$C$61:$C$90)))</f>
        <v/>
      </c>
      <c r="K69" s="36">
        <f>MIN(C69,MAX(0,G$59-SUMPRODUCT(($D$61:$D$90&gt;D69)*$C$61:$C$90)))</f>
        <v/>
      </c>
      <c r="L69" s="36">
        <f>MIN(C69,MAX(0,H$59-SUMPRODUCT(($D$61:$D$90&gt;D69)*$C$61:$C$90)))</f>
        <v/>
      </c>
      <c r="M69" s="36">
        <f>MIN(C69,MAX(0,I$59-SUMPRODUCT(($D$61:$D$90&gt;D69)*$C$61:$C$90)))</f>
        <v/>
      </c>
      <c r="N69" s="36">
        <f>Channels!X13</f>
        <v/>
      </c>
      <c r="O69" s="27">
        <f>IF(E69&gt;0,F69*Channels!V13/E69,0)</f>
        <v/>
      </c>
      <c r="P69" s="27">
        <f>IF(E69&gt;0,G69*Channels!V13/E69,0)</f>
        <v/>
      </c>
      <c r="Q69" s="27">
        <f>IF(E69&gt;0,H69*Channels!V13/E69,0)</f>
        <v/>
      </c>
      <c r="R69" s="27">
        <f>IF(E69&gt;0,I69*Channels!V13/E69,0)</f>
        <v/>
      </c>
    </row>
    <row r="70" hidden="1" outlineLevel="1">
      <c r="A70" s="2">
        <f>Channels!A14</f>
        <v/>
      </c>
      <c r="B70" s="2">
        <f>Channels!C14</f>
        <v/>
      </c>
      <c r="C70" s="36">
        <f>Channels!AA14</f>
        <v/>
      </c>
      <c r="D70" s="40">
        <f>IF(ISNUMBER(Channels!AB14),Channels!AB14,0)+ROW()/1000000</f>
        <v/>
      </c>
      <c r="E70" s="27">
        <f>Channels!U14</f>
        <v/>
      </c>
      <c r="F70" s="27">
        <f>IF(N70&gt;0,E70*MAX(0,N70-MIN(J70,N70))/N70,IF(C70&gt;0,E70*(1-J70/C70),E70))</f>
        <v/>
      </c>
      <c r="G70" s="27">
        <f>IF(N70&gt;0,E70*MAX(0,N70-MIN(K70,N70))/N70,IF(C70&gt;0,E70*(1-K70/C70),E70))</f>
        <v/>
      </c>
      <c r="H70" s="27">
        <f>IF(N70&gt;0,E70*MAX(0,N70-MIN(L70,N70))/N70,IF(C70&gt;0,E70*(1-L70/C70),E70))</f>
        <v/>
      </c>
      <c r="I70" s="27">
        <f>IF(N70&gt;0,E70*MAX(0,N70-MIN(M70,N70))/N70,IF(C70&gt;0,E70*(1-M70/C70),E70))</f>
        <v/>
      </c>
      <c r="J70" s="36">
        <f>MIN(C70,MAX(0,F$59-SUMPRODUCT(($D$61:$D$90&gt;D70)*$C$61:$C$90)))</f>
        <v/>
      </c>
      <c r="K70" s="36">
        <f>MIN(C70,MAX(0,G$59-SUMPRODUCT(($D$61:$D$90&gt;D70)*$C$61:$C$90)))</f>
        <v/>
      </c>
      <c r="L70" s="36">
        <f>MIN(C70,MAX(0,H$59-SUMPRODUCT(($D$61:$D$90&gt;D70)*$C$61:$C$90)))</f>
        <v/>
      </c>
      <c r="M70" s="36">
        <f>MIN(C70,MAX(0,I$59-SUMPRODUCT(($D$61:$D$90&gt;D70)*$C$61:$C$90)))</f>
        <v/>
      </c>
      <c r="N70" s="36">
        <f>Channels!X14</f>
        <v/>
      </c>
      <c r="O70" s="27">
        <f>IF(E70&gt;0,F70*Channels!V14/E70,0)</f>
        <v/>
      </c>
      <c r="P70" s="27">
        <f>IF(E70&gt;0,G70*Channels!V14/E70,0)</f>
        <v/>
      </c>
      <c r="Q70" s="27">
        <f>IF(E70&gt;0,H70*Channels!V14/E70,0)</f>
        <v/>
      </c>
      <c r="R70" s="27">
        <f>IF(E70&gt;0,I70*Channels!V14/E70,0)</f>
        <v/>
      </c>
    </row>
    <row r="71" hidden="1" outlineLevel="1">
      <c r="A71" s="2">
        <f>Channels!A15</f>
        <v/>
      </c>
      <c r="B71" s="2">
        <f>Channels!C15</f>
        <v/>
      </c>
      <c r="C71" s="36">
        <f>Channels!AA15</f>
        <v/>
      </c>
      <c r="D71" s="40">
        <f>IF(ISNUMBER(Channels!AB15),Channels!AB15,0)+ROW()/1000000</f>
        <v/>
      </c>
      <c r="E71" s="27">
        <f>Channels!U15</f>
        <v/>
      </c>
      <c r="F71" s="27">
        <f>IF(N71&gt;0,E71*MAX(0,N71-MIN(J71,N71))/N71,IF(C71&gt;0,E71*(1-J71/C71),E71))</f>
        <v/>
      </c>
      <c r="G71" s="27">
        <f>IF(N71&gt;0,E71*MAX(0,N71-MIN(K71,N71))/N71,IF(C71&gt;0,E71*(1-K71/C71),E71))</f>
        <v/>
      </c>
      <c r="H71" s="27">
        <f>IF(N71&gt;0,E71*MAX(0,N71-MIN(L71,N71))/N71,IF(C71&gt;0,E71*(1-L71/C71),E71))</f>
        <v/>
      </c>
      <c r="I71" s="27">
        <f>IF(N71&gt;0,E71*MAX(0,N71-MIN(M71,N71))/N71,IF(C71&gt;0,E71*(1-M71/C71),E71))</f>
        <v/>
      </c>
      <c r="J71" s="36">
        <f>MIN(C71,MAX(0,F$59-SUMPRODUCT(($D$61:$D$90&gt;D71)*$C$61:$C$90)))</f>
        <v/>
      </c>
      <c r="K71" s="36">
        <f>MIN(C71,MAX(0,G$59-SUMPRODUCT(($D$61:$D$90&gt;D71)*$C$61:$C$90)))</f>
        <v/>
      </c>
      <c r="L71" s="36">
        <f>MIN(C71,MAX(0,H$59-SUMPRODUCT(($D$61:$D$90&gt;D71)*$C$61:$C$90)))</f>
        <v/>
      </c>
      <c r="M71" s="36">
        <f>MIN(C71,MAX(0,I$59-SUMPRODUCT(($D$61:$D$90&gt;D71)*$C$61:$C$90)))</f>
        <v/>
      </c>
      <c r="N71" s="36">
        <f>Channels!X15</f>
        <v/>
      </c>
      <c r="O71" s="27">
        <f>IF(E71&gt;0,F71*Channels!V15/E71,0)</f>
        <v/>
      </c>
      <c r="P71" s="27">
        <f>IF(E71&gt;0,G71*Channels!V15/E71,0)</f>
        <v/>
      </c>
      <c r="Q71" s="27">
        <f>IF(E71&gt;0,H71*Channels!V15/E71,0)</f>
        <v/>
      </c>
      <c r="R71" s="27">
        <f>IF(E71&gt;0,I71*Channels!V15/E71,0)</f>
        <v/>
      </c>
    </row>
    <row r="72" hidden="1" outlineLevel="1">
      <c r="A72" s="2">
        <f>Channels!A16</f>
        <v/>
      </c>
      <c r="B72" s="2">
        <f>Channels!C16</f>
        <v/>
      </c>
      <c r="C72" s="36">
        <f>Channels!AA16</f>
        <v/>
      </c>
      <c r="D72" s="40">
        <f>IF(ISNUMBER(Channels!AB16),Channels!AB16,0)+ROW()/1000000</f>
        <v/>
      </c>
      <c r="E72" s="27">
        <f>Channels!U16</f>
        <v/>
      </c>
      <c r="F72" s="27">
        <f>IF(N72&gt;0,E72*MAX(0,N72-MIN(J72,N72))/N72,IF(C72&gt;0,E72*(1-J72/C72),E72))</f>
        <v/>
      </c>
      <c r="G72" s="27">
        <f>IF(N72&gt;0,E72*MAX(0,N72-MIN(K72,N72))/N72,IF(C72&gt;0,E72*(1-K72/C72),E72))</f>
        <v/>
      </c>
      <c r="H72" s="27">
        <f>IF(N72&gt;0,E72*MAX(0,N72-MIN(L72,N72))/N72,IF(C72&gt;0,E72*(1-L72/C72),E72))</f>
        <v/>
      </c>
      <c r="I72" s="27">
        <f>IF(N72&gt;0,E72*MAX(0,N72-MIN(M72,N72))/N72,IF(C72&gt;0,E72*(1-M72/C72),E72))</f>
        <v/>
      </c>
      <c r="J72" s="36">
        <f>MIN(C72,MAX(0,F$59-SUMPRODUCT(($D$61:$D$90&gt;D72)*$C$61:$C$90)))</f>
        <v/>
      </c>
      <c r="K72" s="36">
        <f>MIN(C72,MAX(0,G$59-SUMPRODUCT(($D$61:$D$90&gt;D72)*$C$61:$C$90)))</f>
        <v/>
      </c>
      <c r="L72" s="36">
        <f>MIN(C72,MAX(0,H$59-SUMPRODUCT(($D$61:$D$90&gt;D72)*$C$61:$C$90)))</f>
        <v/>
      </c>
      <c r="M72" s="36">
        <f>MIN(C72,MAX(0,I$59-SUMPRODUCT(($D$61:$D$90&gt;D72)*$C$61:$C$90)))</f>
        <v/>
      </c>
      <c r="N72" s="36">
        <f>Channels!X16</f>
        <v/>
      </c>
      <c r="O72" s="27">
        <f>IF(E72&gt;0,F72*Channels!V16/E72,0)</f>
        <v/>
      </c>
      <c r="P72" s="27">
        <f>IF(E72&gt;0,G72*Channels!V16/E72,0)</f>
        <v/>
      </c>
      <c r="Q72" s="27">
        <f>IF(E72&gt;0,H72*Channels!V16/E72,0)</f>
        <v/>
      </c>
      <c r="R72" s="27">
        <f>IF(E72&gt;0,I72*Channels!V16/E72,0)</f>
        <v/>
      </c>
    </row>
    <row r="73" hidden="1" outlineLevel="1">
      <c r="A73" s="2">
        <f>Channels!A17</f>
        <v/>
      </c>
      <c r="B73" s="2">
        <f>Channels!C17</f>
        <v/>
      </c>
      <c r="C73" s="36">
        <f>Channels!AA17</f>
        <v/>
      </c>
      <c r="D73" s="40">
        <f>IF(ISNUMBER(Channels!AB17),Channels!AB17,0)+ROW()/1000000</f>
        <v/>
      </c>
      <c r="E73" s="27">
        <f>Channels!U17</f>
        <v/>
      </c>
      <c r="F73" s="27">
        <f>IF(N73&gt;0,E73*MAX(0,N73-MIN(J73,N73))/N73,IF(C73&gt;0,E73*(1-J73/C73),E73))</f>
        <v/>
      </c>
      <c r="G73" s="27">
        <f>IF(N73&gt;0,E73*MAX(0,N73-MIN(K73,N73))/N73,IF(C73&gt;0,E73*(1-K73/C73),E73))</f>
        <v/>
      </c>
      <c r="H73" s="27">
        <f>IF(N73&gt;0,E73*MAX(0,N73-MIN(L73,N73))/N73,IF(C73&gt;0,E73*(1-L73/C73),E73))</f>
        <v/>
      </c>
      <c r="I73" s="27">
        <f>IF(N73&gt;0,E73*MAX(0,N73-MIN(M73,N73))/N73,IF(C73&gt;0,E73*(1-M73/C73),E73))</f>
        <v/>
      </c>
      <c r="J73" s="36">
        <f>MIN(C73,MAX(0,F$59-SUMPRODUCT(($D$61:$D$90&gt;D73)*$C$61:$C$90)))</f>
        <v/>
      </c>
      <c r="K73" s="36">
        <f>MIN(C73,MAX(0,G$59-SUMPRODUCT(($D$61:$D$90&gt;D73)*$C$61:$C$90)))</f>
        <v/>
      </c>
      <c r="L73" s="36">
        <f>MIN(C73,MAX(0,H$59-SUMPRODUCT(($D$61:$D$90&gt;D73)*$C$61:$C$90)))</f>
        <v/>
      </c>
      <c r="M73" s="36">
        <f>MIN(C73,MAX(0,I$59-SUMPRODUCT(($D$61:$D$90&gt;D73)*$C$61:$C$90)))</f>
        <v/>
      </c>
      <c r="N73" s="36">
        <f>Channels!X17</f>
        <v/>
      </c>
      <c r="O73" s="27">
        <f>IF(E73&gt;0,F73*Channels!V17/E73,0)</f>
        <v/>
      </c>
      <c r="P73" s="27">
        <f>IF(E73&gt;0,G73*Channels!V17/E73,0)</f>
        <v/>
      </c>
      <c r="Q73" s="27">
        <f>IF(E73&gt;0,H73*Channels!V17/E73,0)</f>
        <v/>
      </c>
      <c r="R73" s="27">
        <f>IF(E73&gt;0,I73*Channels!V17/E73,0)</f>
        <v/>
      </c>
    </row>
    <row r="74" hidden="1" outlineLevel="1">
      <c r="A74" s="2">
        <f>Channels!A18</f>
        <v/>
      </c>
      <c r="B74" s="2">
        <f>Channels!C18</f>
        <v/>
      </c>
      <c r="C74" s="36">
        <f>Channels!AA18</f>
        <v/>
      </c>
      <c r="D74" s="40">
        <f>IF(ISNUMBER(Channels!AB18),Channels!AB18,0)+ROW()/1000000</f>
        <v/>
      </c>
      <c r="E74" s="27">
        <f>Channels!U18</f>
        <v/>
      </c>
      <c r="F74" s="27">
        <f>IF(N74&gt;0,E74*MAX(0,N74-MIN(J74,N74))/N74,IF(C74&gt;0,E74*(1-J74/C74),E74))</f>
        <v/>
      </c>
      <c r="G74" s="27">
        <f>IF(N74&gt;0,E74*MAX(0,N74-MIN(K74,N74))/N74,IF(C74&gt;0,E74*(1-K74/C74),E74))</f>
        <v/>
      </c>
      <c r="H74" s="27">
        <f>IF(N74&gt;0,E74*MAX(0,N74-MIN(L74,N74))/N74,IF(C74&gt;0,E74*(1-L74/C74),E74))</f>
        <v/>
      </c>
      <c r="I74" s="27">
        <f>IF(N74&gt;0,E74*MAX(0,N74-MIN(M74,N74))/N74,IF(C74&gt;0,E74*(1-M74/C74),E74))</f>
        <v/>
      </c>
      <c r="J74" s="36">
        <f>MIN(C74,MAX(0,F$59-SUMPRODUCT(($D$61:$D$90&gt;D74)*$C$61:$C$90)))</f>
        <v/>
      </c>
      <c r="K74" s="36">
        <f>MIN(C74,MAX(0,G$59-SUMPRODUCT(($D$61:$D$90&gt;D74)*$C$61:$C$90)))</f>
        <v/>
      </c>
      <c r="L74" s="36">
        <f>MIN(C74,MAX(0,H$59-SUMPRODUCT(($D$61:$D$90&gt;D74)*$C$61:$C$90)))</f>
        <v/>
      </c>
      <c r="M74" s="36">
        <f>MIN(C74,MAX(0,I$59-SUMPRODUCT(($D$61:$D$90&gt;D74)*$C$61:$C$90)))</f>
        <v/>
      </c>
      <c r="N74" s="36">
        <f>Channels!X18</f>
        <v/>
      </c>
      <c r="O74" s="27">
        <f>IF(E74&gt;0,F74*Channels!V18/E74,0)</f>
        <v/>
      </c>
      <c r="P74" s="27">
        <f>IF(E74&gt;0,G74*Channels!V18/E74,0)</f>
        <v/>
      </c>
      <c r="Q74" s="27">
        <f>IF(E74&gt;0,H74*Channels!V18/E74,0)</f>
        <v/>
      </c>
      <c r="R74" s="27">
        <f>IF(E74&gt;0,I74*Channels!V18/E74,0)</f>
        <v/>
      </c>
    </row>
    <row r="75" hidden="1" outlineLevel="1">
      <c r="A75" s="2">
        <f>Channels!A19</f>
        <v/>
      </c>
      <c r="B75" s="2">
        <f>Channels!C19</f>
        <v/>
      </c>
      <c r="C75" s="36">
        <f>Channels!AA19</f>
        <v/>
      </c>
      <c r="D75" s="40">
        <f>IF(ISNUMBER(Channels!AB19),Channels!AB19,0)+ROW()/1000000</f>
        <v/>
      </c>
      <c r="E75" s="27">
        <f>Channels!U19</f>
        <v/>
      </c>
      <c r="F75" s="27">
        <f>IF(N75&gt;0,E75*MAX(0,N75-MIN(J75,N75))/N75,IF(C75&gt;0,E75*(1-J75/C75),E75))</f>
        <v/>
      </c>
      <c r="G75" s="27">
        <f>IF(N75&gt;0,E75*MAX(0,N75-MIN(K75,N75))/N75,IF(C75&gt;0,E75*(1-K75/C75),E75))</f>
        <v/>
      </c>
      <c r="H75" s="27">
        <f>IF(N75&gt;0,E75*MAX(0,N75-MIN(L75,N75))/N75,IF(C75&gt;0,E75*(1-L75/C75),E75))</f>
        <v/>
      </c>
      <c r="I75" s="27">
        <f>IF(N75&gt;0,E75*MAX(0,N75-MIN(M75,N75))/N75,IF(C75&gt;0,E75*(1-M75/C75),E75))</f>
        <v/>
      </c>
      <c r="J75" s="36">
        <f>MIN(C75,MAX(0,F$59-SUMPRODUCT(($D$61:$D$90&gt;D75)*$C$61:$C$90)))</f>
        <v/>
      </c>
      <c r="K75" s="36">
        <f>MIN(C75,MAX(0,G$59-SUMPRODUCT(($D$61:$D$90&gt;D75)*$C$61:$C$90)))</f>
        <v/>
      </c>
      <c r="L75" s="36">
        <f>MIN(C75,MAX(0,H$59-SUMPRODUCT(($D$61:$D$90&gt;D75)*$C$61:$C$90)))</f>
        <v/>
      </c>
      <c r="M75" s="36">
        <f>MIN(C75,MAX(0,I$59-SUMPRODUCT(($D$61:$D$90&gt;D75)*$C$61:$C$90)))</f>
        <v/>
      </c>
      <c r="N75" s="36">
        <f>Channels!X19</f>
        <v/>
      </c>
      <c r="O75" s="27">
        <f>IF(E75&gt;0,F75*Channels!V19/E75,0)</f>
        <v/>
      </c>
      <c r="P75" s="27">
        <f>IF(E75&gt;0,G75*Channels!V19/E75,0)</f>
        <v/>
      </c>
      <c r="Q75" s="27">
        <f>IF(E75&gt;0,H75*Channels!V19/E75,0)</f>
        <v/>
      </c>
      <c r="R75" s="27">
        <f>IF(E75&gt;0,I75*Channels!V19/E75,0)</f>
        <v/>
      </c>
    </row>
    <row r="76" hidden="1" outlineLevel="1">
      <c r="A76" s="2">
        <f>Channels!A20</f>
        <v/>
      </c>
      <c r="B76" s="2">
        <f>Channels!C20</f>
        <v/>
      </c>
      <c r="C76" s="36">
        <f>Channels!AA20</f>
        <v/>
      </c>
      <c r="D76" s="40">
        <f>IF(ISNUMBER(Channels!AB20),Channels!AB20,0)+ROW()/1000000</f>
        <v/>
      </c>
      <c r="E76" s="27">
        <f>Channels!U20</f>
        <v/>
      </c>
      <c r="F76" s="27">
        <f>IF(N76&gt;0,E76*MAX(0,N76-MIN(J76,N76))/N76,IF(C76&gt;0,E76*(1-J76/C76),E76))</f>
        <v/>
      </c>
      <c r="G76" s="27">
        <f>IF(N76&gt;0,E76*MAX(0,N76-MIN(K76,N76))/N76,IF(C76&gt;0,E76*(1-K76/C76),E76))</f>
        <v/>
      </c>
      <c r="H76" s="27">
        <f>IF(N76&gt;0,E76*MAX(0,N76-MIN(L76,N76))/N76,IF(C76&gt;0,E76*(1-L76/C76),E76))</f>
        <v/>
      </c>
      <c r="I76" s="27">
        <f>IF(N76&gt;0,E76*MAX(0,N76-MIN(M76,N76))/N76,IF(C76&gt;0,E76*(1-M76/C76),E76))</f>
        <v/>
      </c>
      <c r="J76" s="36">
        <f>MIN(C76,MAX(0,F$59-SUMPRODUCT(($D$61:$D$90&gt;D76)*$C$61:$C$90)))</f>
        <v/>
      </c>
      <c r="K76" s="36">
        <f>MIN(C76,MAX(0,G$59-SUMPRODUCT(($D$61:$D$90&gt;D76)*$C$61:$C$90)))</f>
        <v/>
      </c>
      <c r="L76" s="36">
        <f>MIN(C76,MAX(0,H$59-SUMPRODUCT(($D$61:$D$90&gt;D76)*$C$61:$C$90)))</f>
        <v/>
      </c>
      <c r="M76" s="36">
        <f>MIN(C76,MAX(0,I$59-SUMPRODUCT(($D$61:$D$90&gt;D76)*$C$61:$C$90)))</f>
        <v/>
      </c>
      <c r="N76" s="36">
        <f>Channels!X20</f>
        <v/>
      </c>
      <c r="O76" s="27">
        <f>IF(E76&gt;0,F76*Channels!V20/E76,0)</f>
        <v/>
      </c>
      <c r="P76" s="27">
        <f>IF(E76&gt;0,G76*Channels!V20/E76,0)</f>
        <v/>
      </c>
      <c r="Q76" s="27">
        <f>IF(E76&gt;0,H76*Channels!V20/E76,0)</f>
        <v/>
      </c>
      <c r="R76" s="27">
        <f>IF(E76&gt;0,I76*Channels!V20/E76,0)</f>
        <v/>
      </c>
    </row>
    <row r="77" hidden="1" outlineLevel="1">
      <c r="A77" s="2">
        <f>Channels!A21</f>
        <v/>
      </c>
      <c r="B77" s="2">
        <f>Channels!C21</f>
        <v/>
      </c>
      <c r="C77" s="36">
        <f>Channels!AA21</f>
        <v/>
      </c>
      <c r="D77" s="40">
        <f>IF(ISNUMBER(Channels!AB21),Channels!AB21,0)+ROW()/1000000</f>
        <v/>
      </c>
      <c r="E77" s="27">
        <f>Channels!U21</f>
        <v/>
      </c>
      <c r="F77" s="27">
        <f>IF(N77&gt;0,E77*MAX(0,N77-MIN(J77,N77))/N77,IF(C77&gt;0,E77*(1-J77/C77),E77))</f>
        <v/>
      </c>
      <c r="G77" s="27">
        <f>IF(N77&gt;0,E77*MAX(0,N77-MIN(K77,N77))/N77,IF(C77&gt;0,E77*(1-K77/C77),E77))</f>
        <v/>
      </c>
      <c r="H77" s="27">
        <f>IF(N77&gt;0,E77*MAX(0,N77-MIN(L77,N77))/N77,IF(C77&gt;0,E77*(1-L77/C77),E77))</f>
        <v/>
      </c>
      <c r="I77" s="27">
        <f>IF(N77&gt;0,E77*MAX(0,N77-MIN(M77,N77))/N77,IF(C77&gt;0,E77*(1-M77/C77),E77))</f>
        <v/>
      </c>
      <c r="J77" s="36">
        <f>MIN(C77,MAX(0,F$59-SUMPRODUCT(($D$61:$D$90&gt;D77)*$C$61:$C$90)))</f>
        <v/>
      </c>
      <c r="K77" s="36">
        <f>MIN(C77,MAX(0,G$59-SUMPRODUCT(($D$61:$D$90&gt;D77)*$C$61:$C$90)))</f>
        <v/>
      </c>
      <c r="L77" s="36">
        <f>MIN(C77,MAX(0,H$59-SUMPRODUCT(($D$61:$D$90&gt;D77)*$C$61:$C$90)))</f>
        <v/>
      </c>
      <c r="M77" s="36">
        <f>MIN(C77,MAX(0,I$59-SUMPRODUCT(($D$61:$D$90&gt;D77)*$C$61:$C$90)))</f>
        <v/>
      </c>
      <c r="N77" s="36">
        <f>Channels!X21</f>
        <v/>
      </c>
      <c r="O77" s="27">
        <f>IF(E77&gt;0,F77*Channels!V21/E77,0)</f>
        <v/>
      </c>
      <c r="P77" s="27">
        <f>IF(E77&gt;0,G77*Channels!V21/E77,0)</f>
        <v/>
      </c>
      <c r="Q77" s="27">
        <f>IF(E77&gt;0,H77*Channels!V21/E77,0)</f>
        <v/>
      </c>
      <c r="R77" s="27">
        <f>IF(E77&gt;0,I77*Channels!V21/E77,0)</f>
        <v/>
      </c>
    </row>
    <row r="78" hidden="1" outlineLevel="1">
      <c r="A78" s="2">
        <f>Channels!A22</f>
        <v/>
      </c>
      <c r="B78" s="2">
        <f>Channels!C22</f>
        <v/>
      </c>
      <c r="C78" s="36">
        <f>Channels!AA22</f>
        <v/>
      </c>
      <c r="D78" s="40">
        <f>IF(ISNUMBER(Channels!AB22),Channels!AB22,0)+ROW()/1000000</f>
        <v/>
      </c>
      <c r="E78" s="27">
        <f>Channels!U22</f>
        <v/>
      </c>
      <c r="F78" s="27">
        <f>IF(N78&gt;0,E78*MAX(0,N78-MIN(J78,N78))/N78,IF(C78&gt;0,E78*(1-J78/C78),E78))</f>
        <v/>
      </c>
      <c r="G78" s="27">
        <f>IF(N78&gt;0,E78*MAX(0,N78-MIN(K78,N78))/N78,IF(C78&gt;0,E78*(1-K78/C78),E78))</f>
        <v/>
      </c>
      <c r="H78" s="27">
        <f>IF(N78&gt;0,E78*MAX(0,N78-MIN(L78,N78))/N78,IF(C78&gt;0,E78*(1-L78/C78),E78))</f>
        <v/>
      </c>
      <c r="I78" s="27">
        <f>IF(N78&gt;0,E78*MAX(0,N78-MIN(M78,N78))/N78,IF(C78&gt;0,E78*(1-M78/C78),E78))</f>
        <v/>
      </c>
      <c r="J78" s="36">
        <f>MIN(C78,MAX(0,F$59-SUMPRODUCT(($D$61:$D$90&gt;D78)*$C$61:$C$90)))</f>
        <v/>
      </c>
      <c r="K78" s="36">
        <f>MIN(C78,MAX(0,G$59-SUMPRODUCT(($D$61:$D$90&gt;D78)*$C$61:$C$90)))</f>
        <v/>
      </c>
      <c r="L78" s="36">
        <f>MIN(C78,MAX(0,H$59-SUMPRODUCT(($D$61:$D$90&gt;D78)*$C$61:$C$90)))</f>
        <v/>
      </c>
      <c r="M78" s="36">
        <f>MIN(C78,MAX(0,I$59-SUMPRODUCT(($D$61:$D$90&gt;D78)*$C$61:$C$90)))</f>
        <v/>
      </c>
      <c r="N78" s="36">
        <f>Channels!X22</f>
        <v/>
      </c>
      <c r="O78" s="27">
        <f>IF(E78&gt;0,F78*Channels!V22/E78,0)</f>
        <v/>
      </c>
      <c r="P78" s="27">
        <f>IF(E78&gt;0,G78*Channels!V22/E78,0)</f>
        <v/>
      </c>
      <c r="Q78" s="27">
        <f>IF(E78&gt;0,H78*Channels!V22/E78,0)</f>
        <v/>
      </c>
      <c r="R78" s="27">
        <f>IF(E78&gt;0,I78*Channels!V22/E78,0)</f>
        <v/>
      </c>
    </row>
    <row r="79" hidden="1" outlineLevel="1">
      <c r="A79" s="2">
        <f>Channels!A23</f>
        <v/>
      </c>
      <c r="B79" s="2">
        <f>Channels!C23</f>
        <v/>
      </c>
      <c r="C79" s="36">
        <f>Channels!AA23</f>
        <v/>
      </c>
      <c r="D79" s="40">
        <f>IF(ISNUMBER(Channels!AB23),Channels!AB23,0)+ROW()/1000000</f>
        <v/>
      </c>
      <c r="E79" s="27">
        <f>Channels!U23</f>
        <v/>
      </c>
      <c r="F79" s="27">
        <f>IF(N79&gt;0,E79*MAX(0,N79-MIN(J79,N79))/N79,IF(C79&gt;0,E79*(1-J79/C79),E79))</f>
        <v/>
      </c>
      <c r="G79" s="27">
        <f>IF(N79&gt;0,E79*MAX(0,N79-MIN(K79,N79))/N79,IF(C79&gt;0,E79*(1-K79/C79),E79))</f>
        <v/>
      </c>
      <c r="H79" s="27">
        <f>IF(N79&gt;0,E79*MAX(0,N79-MIN(L79,N79))/N79,IF(C79&gt;0,E79*(1-L79/C79),E79))</f>
        <v/>
      </c>
      <c r="I79" s="27">
        <f>IF(N79&gt;0,E79*MAX(0,N79-MIN(M79,N79))/N79,IF(C79&gt;0,E79*(1-M79/C79),E79))</f>
        <v/>
      </c>
      <c r="J79" s="36">
        <f>MIN(C79,MAX(0,F$59-SUMPRODUCT(($D$61:$D$90&gt;D79)*$C$61:$C$90)))</f>
        <v/>
      </c>
      <c r="K79" s="36">
        <f>MIN(C79,MAX(0,G$59-SUMPRODUCT(($D$61:$D$90&gt;D79)*$C$61:$C$90)))</f>
        <v/>
      </c>
      <c r="L79" s="36">
        <f>MIN(C79,MAX(0,H$59-SUMPRODUCT(($D$61:$D$90&gt;D79)*$C$61:$C$90)))</f>
        <v/>
      </c>
      <c r="M79" s="36">
        <f>MIN(C79,MAX(0,I$59-SUMPRODUCT(($D$61:$D$90&gt;D79)*$C$61:$C$90)))</f>
        <v/>
      </c>
      <c r="N79" s="36">
        <f>Channels!X23</f>
        <v/>
      </c>
      <c r="O79" s="27">
        <f>IF(E79&gt;0,F79*Channels!V23/E79,0)</f>
        <v/>
      </c>
      <c r="P79" s="27">
        <f>IF(E79&gt;0,G79*Channels!V23/E79,0)</f>
        <v/>
      </c>
      <c r="Q79" s="27">
        <f>IF(E79&gt;0,H79*Channels!V23/E79,0)</f>
        <v/>
      </c>
      <c r="R79" s="27">
        <f>IF(E79&gt;0,I79*Channels!V23/E79,0)</f>
        <v/>
      </c>
    </row>
    <row r="80" hidden="1" outlineLevel="1">
      <c r="A80" s="2">
        <f>Channels!A24</f>
        <v/>
      </c>
      <c r="B80" s="2">
        <f>Channels!C24</f>
        <v/>
      </c>
      <c r="C80" s="36">
        <f>Channels!AA24</f>
        <v/>
      </c>
      <c r="D80" s="40">
        <f>IF(ISNUMBER(Channels!AB24),Channels!AB24,0)+ROW()/1000000</f>
        <v/>
      </c>
      <c r="E80" s="27">
        <f>Channels!U24</f>
        <v/>
      </c>
      <c r="F80" s="27">
        <f>IF(N80&gt;0,E80*MAX(0,N80-MIN(J80,N80))/N80,IF(C80&gt;0,E80*(1-J80/C80),E80))</f>
        <v/>
      </c>
      <c r="G80" s="27">
        <f>IF(N80&gt;0,E80*MAX(0,N80-MIN(K80,N80))/N80,IF(C80&gt;0,E80*(1-K80/C80),E80))</f>
        <v/>
      </c>
      <c r="H80" s="27">
        <f>IF(N80&gt;0,E80*MAX(0,N80-MIN(L80,N80))/N80,IF(C80&gt;0,E80*(1-L80/C80),E80))</f>
        <v/>
      </c>
      <c r="I80" s="27">
        <f>IF(N80&gt;0,E80*MAX(0,N80-MIN(M80,N80))/N80,IF(C80&gt;0,E80*(1-M80/C80),E80))</f>
        <v/>
      </c>
      <c r="J80" s="36">
        <f>MIN(C80,MAX(0,F$59-SUMPRODUCT(($D$61:$D$90&gt;D80)*$C$61:$C$90)))</f>
        <v/>
      </c>
      <c r="K80" s="36">
        <f>MIN(C80,MAX(0,G$59-SUMPRODUCT(($D$61:$D$90&gt;D80)*$C$61:$C$90)))</f>
        <v/>
      </c>
      <c r="L80" s="36">
        <f>MIN(C80,MAX(0,H$59-SUMPRODUCT(($D$61:$D$90&gt;D80)*$C$61:$C$90)))</f>
        <v/>
      </c>
      <c r="M80" s="36">
        <f>MIN(C80,MAX(0,I$59-SUMPRODUCT(($D$61:$D$90&gt;D80)*$C$61:$C$90)))</f>
        <v/>
      </c>
      <c r="N80" s="36">
        <f>Channels!X24</f>
        <v/>
      </c>
      <c r="O80" s="27">
        <f>IF(E80&gt;0,F80*Channels!V24/E80,0)</f>
        <v/>
      </c>
      <c r="P80" s="27">
        <f>IF(E80&gt;0,G80*Channels!V24/E80,0)</f>
        <v/>
      </c>
      <c r="Q80" s="27">
        <f>IF(E80&gt;0,H80*Channels!V24/E80,0)</f>
        <v/>
      </c>
      <c r="R80" s="27">
        <f>IF(E80&gt;0,I80*Channels!V24/E80,0)</f>
        <v/>
      </c>
    </row>
    <row r="81" hidden="1" outlineLevel="1">
      <c r="A81" s="2">
        <f>Channels!A25</f>
        <v/>
      </c>
      <c r="B81" s="2">
        <f>Channels!C25</f>
        <v/>
      </c>
      <c r="C81" s="36">
        <f>Channels!AA25</f>
        <v/>
      </c>
      <c r="D81" s="40">
        <f>IF(ISNUMBER(Channels!AB25),Channels!AB25,0)+ROW()/1000000</f>
        <v/>
      </c>
      <c r="E81" s="27">
        <f>Channels!U25</f>
        <v/>
      </c>
      <c r="F81" s="27">
        <f>IF(N81&gt;0,E81*MAX(0,N81-MIN(J81,N81))/N81,IF(C81&gt;0,E81*(1-J81/C81),E81))</f>
        <v/>
      </c>
      <c r="G81" s="27">
        <f>IF(N81&gt;0,E81*MAX(0,N81-MIN(K81,N81))/N81,IF(C81&gt;0,E81*(1-K81/C81),E81))</f>
        <v/>
      </c>
      <c r="H81" s="27">
        <f>IF(N81&gt;0,E81*MAX(0,N81-MIN(L81,N81))/N81,IF(C81&gt;0,E81*(1-L81/C81),E81))</f>
        <v/>
      </c>
      <c r="I81" s="27">
        <f>IF(N81&gt;0,E81*MAX(0,N81-MIN(M81,N81))/N81,IF(C81&gt;0,E81*(1-M81/C81),E81))</f>
        <v/>
      </c>
      <c r="J81" s="36">
        <f>MIN(C81,MAX(0,F$59-SUMPRODUCT(($D$61:$D$90&gt;D81)*$C$61:$C$90)))</f>
        <v/>
      </c>
      <c r="K81" s="36">
        <f>MIN(C81,MAX(0,G$59-SUMPRODUCT(($D$61:$D$90&gt;D81)*$C$61:$C$90)))</f>
        <v/>
      </c>
      <c r="L81" s="36">
        <f>MIN(C81,MAX(0,H$59-SUMPRODUCT(($D$61:$D$90&gt;D81)*$C$61:$C$90)))</f>
        <v/>
      </c>
      <c r="M81" s="36">
        <f>MIN(C81,MAX(0,I$59-SUMPRODUCT(($D$61:$D$90&gt;D81)*$C$61:$C$90)))</f>
        <v/>
      </c>
      <c r="N81" s="36">
        <f>Channels!X25</f>
        <v/>
      </c>
      <c r="O81" s="27">
        <f>IF(E81&gt;0,F81*Channels!V25/E81,0)</f>
        <v/>
      </c>
      <c r="P81" s="27">
        <f>IF(E81&gt;0,G81*Channels!V25/E81,0)</f>
        <v/>
      </c>
      <c r="Q81" s="27">
        <f>IF(E81&gt;0,H81*Channels!V25/E81,0)</f>
        <v/>
      </c>
      <c r="R81" s="27">
        <f>IF(E81&gt;0,I81*Channels!V25/E81,0)</f>
        <v/>
      </c>
    </row>
    <row r="82" hidden="1" outlineLevel="1">
      <c r="A82" s="2">
        <f>Channels!A26</f>
        <v/>
      </c>
      <c r="B82" s="2">
        <f>Channels!C26</f>
        <v/>
      </c>
      <c r="C82" s="36">
        <f>Channels!AA26</f>
        <v/>
      </c>
      <c r="D82" s="40">
        <f>IF(ISNUMBER(Channels!AB26),Channels!AB26,0)+ROW()/1000000</f>
        <v/>
      </c>
      <c r="E82" s="27">
        <f>Channels!U26</f>
        <v/>
      </c>
      <c r="F82" s="27">
        <f>IF(N82&gt;0,E82*MAX(0,N82-MIN(J82,N82))/N82,IF(C82&gt;0,E82*(1-J82/C82),E82))</f>
        <v/>
      </c>
      <c r="G82" s="27">
        <f>IF(N82&gt;0,E82*MAX(0,N82-MIN(K82,N82))/N82,IF(C82&gt;0,E82*(1-K82/C82),E82))</f>
        <v/>
      </c>
      <c r="H82" s="27">
        <f>IF(N82&gt;0,E82*MAX(0,N82-MIN(L82,N82))/N82,IF(C82&gt;0,E82*(1-L82/C82),E82))</f>
        <v/>
      </c>
      <c r="I82" s="27">
        <f>IF(N82&gt;0,E82*MAX(0,N82-MIN(M82,N82))/N82,IF(C82&gt;0,E82*(1-M82/C82),E82))</f>
        <v/>
      </c>
      <c r="J82" s="36">
        <f>MIN(C82,MAX(0,F$59-SUMPRODUCT(($D$61:$D$90&gt;D82)*$C$61:$C$90)))</f>
        <v/>
      </c>
      <c r="K82" s="36">
        <f>MIN(C82,MAX(0,G$59-SUMPRODUCT(($D$61:$D$90&gt;D82)*$C$61:$C$90)))</f>
        <v/>
      </c>
      <c r="L82" s="36">
        <f>MIN(C82,MAX(0,H$59-SUMPRODUCT(($D$61:$D$90&gt;D82)*$C$61:$C$90)))</f>
        <v/>
      </c>
      <c r="M82" s="36">
        <f>MIN(C82,MAX(0,I$59-SUMPRODUCT(($D$61:$D$90&gt;D82)*$C$61:$C$90)))</f>
        <v/>
      </c>
      <c r="N82" s="36">
        <f>Channels!X26</f>
        <v/>
      </c>
      <c r="O82" s="27">
        <f>IF(E82&gt;0,F82*Channels!V26/E82,0)</f>
        <v/>
      </c>
      <c r="P82" s="27">
        <f>IF(E82&gt;0,G82*Channels!V26/E82,0)</f>
        <v/>
      </c>
      <c r="Q82" s="27">
        <f>IF(E82&gt;0,H82*Channels!V26/E82,0)</f>
        <v/>
      </c>
      <c r="R82" s="27">
        <f>IF(E82&gt;0,I82*Channels!V26/E82,0)</f>
        <v/>
      </c>
    </row>
    <row r="83" hidden="1" outlineLevel="1">
      <c r="A83" s="2">
        <f>Channels!A27</f>
        <v/>
      </c>
      <c r="B83" s="2">
        <f>Channels!C27</f>
        <v/>
      </c>
      <c r="C83" s="36">
        <f>Channels!AA27</f>
        <v/>
      </c>
      <c r="D83" s="40">
        <f>IF(ISNUMBER(Channels!AB27),Channels!AB27,0)+ROW()/1000000</f>
        <v/>
      </c>
      <c r="E83" s="27">
        <f>Channels!U27</f>
        <v/>
      </c>
      <c r="F83" s="27">
        <f>IF(N83&gt;0,E83*MAX(0,N83-MIN(J83,N83))/N83,IF(C83&gt;0,E83*(1-J83/C83),E83))</f>
        <v/>
      </c>
      <c r="G83" s="27">
        <f>IF(N83&gt;0,E83*MAX(0,N83-MIN(K83,N83))/N83,IF(C83&gt;0,E83*(1-K83/C83),E83))</f>
        <v/>
      </c>
      <c r="H83" s="27">
        <f>IF(N83&gt;0,E83*MAX(0,N83-MIN(L83,N83))/N83,IF(C83&gt;0,E83*(1-L83/C83),E83))</f>
        <v/>
      </c>
      <c r="I83" s="27">
        <f>IF(N83&gt;0,E83*MAX(0,N83-MIN(M83,N83))/N83,IF(C83&gt;0,E83*(1-M83/C83),E83))</f>
        <v/>
      </c>
      <c r="J83" s="36">
        <f>MIN(C83,MAX(0,F$59-SUMPRODUCT(($D$61:$D$90&gt;D83)*$C$61:$C$90)))</f>
        <v/>
      </c>
      <c r="K83" s="36">
        <f>MIN(C83,MAX(0,G$59-SUMPRODUCT(($D$61:$D$90&gt;D83)*$C$61:$C$90)))</f>
        <v/>
      </c>
      <c r="L83" s="36">
        <f>MIN(C83,MAX(0,H$59-SUMPRODUCT(($D$61:$D$90&gt;D83)*$C$61:$C$90)))</f>
        <v/>
      </c>
      <c r="M83" s="36">
        <f>MIN(C83,MAX(0,I$59-SUMPRODUCT(($D$61:$D$90&gt;D83)*$C$61:$C$90)))</f>
        <v/>
      </c>
      <c r="N83" s="36">
        <f>Channels!X27</f>
        <v/>
      </c>
      <c r="O83" s="27">
        <f>IF(E83&gt;0,F83*Channels!V27/E83,0)</f>
        <v/>
      </c>
      <c r="P83" s="27">
        <f>IF(E83&gt;0,G83*Channels!V27/E83,0)</f>
        <v/>
      </c>
      <c r="Q83" s="27">
        <f>IF(E83&gt;0,H83*Channels!V27/E83,0)</f>
        <v/>
      </c>
      <c r="R83" s="27">
        <f>IF(E83&gt;0,I83*Channels!V27/E83,0)</f>
        <v/>
      </c>
    </row>
    <row r="84" hidden="1" outlineLevel="1">
      <c r="A84" s="2">
        <f>Channels!A28</f>
        <v/>
      </c>
      <c r="B84" s="2">
        <f>Channels!C28</f>
        <v/>
      </c>
      <c r="C84" s="36">
        <f>Channels!AA28</f>
        <v/>
      </c>
      <c r="D84" s="40">
        <f>IF(ISNUMBER(Channels!AB28),Channels!AB28,0)+ROW()/1000000</f>
        <v/>
      </c>
      <c r="E84" s="27">
        <f>Channels!U28</f>
        <v/>
      </c>
      <c r="F84" s="27">
        <f>IF(N84&gt;0,E84*MAX(0,N84-MIN(J84,N84))/N84,IF(C84&gt;0,E84*(1-J84/C84),E84))</f>
        <v/>
      </c>
      <c r="G84" s="27">
        <f>IF(N84&gt;0,E84*MAX(0,N84-MIN(K84,N84))/N84,IF(C84&gt;0,E84*(1-K84/C84),E84))</f>
        <v/>
      </c>
      <c r="H84" s="27">
        <f>IF(N84&gt;0,E84*MAX(0,N84-MIN(L84,N84))/N84,IF(C84&gt;0,E84*(1-L84/C84),E84))</f>
        <v/>
      </c>
      <c r="I84" s="27">
        <f>IF(N84&gt;0,E84*MAX(0,N84-MIN(M84,N84))/N84,IF(C84&gt;0,E84*(1-M84/C84),E84))</f>
        <v/>
      </c>
      <c r="J84" s="36">
        <f>MIN(C84,MAX(0,F$59-SUMPRODUCT(($D$61:$D$90&gt;D84)*$C$61:$C$90)))</f>
        <v/>
      </c>
      <c r="K84" s="36">
        <f>MIN(C84,MAX(0,G$59-SUMPRODUCT(($D$61:$D$90&gt;D84)*$C$61:$C$90)))</f>
        <v/>
      </c>
      <c r="L84" s="36">
        <f>MIN(C84,MAX(0,H$59-SUMPRODUCT(($D$61:$D$90&gt;D84)*$C$61:$C$90)))</f>
        <v/>
      </c>
      <c r="M84" s="36">
        <f>MIN(C84,MAX(0,I$59-SUMPRODUCT(($D$61:$D$90&gt;D84)*$C$61:$C$90)))</f>
        <v/>
      </c>
      <c r="N84" s="36">
        <f>Channels!X28</f>
        <v/>
      </c>
      <c r="O84" s="27">
        <f>IF(E84&gt;0,F84*Channels!V28/E84,0)</f>
        <v/>
      </c>
      <c r="P84" s="27">
        <f>IF(E84&gt;0,G84*Channels!V28/E84,0)</f>
        <v/>
      </c>
      <c r="Q84" s="27">
        <f>IF(E84&gt;0,H84*Channels!V28/E84,0)</f>
        <v/>
      </c>
      <c r="R84" s="27">
        <f>IF(E84&gt;0,I84*Channels!V28/E84,0)</f>
        <v/>
      </c>
    </row>
    <row r="85" hidden="1" outlineLevel="1">
      <c r="A85" s="2">
        <f>Channels!A29</f>
        <v/>
      </c>
      <c r="B85" s="2">
        <f>Channels!C29</f>
        <v/>
      </c>
      <c r="C85" s="36">
        <f>Channels!AA29</f>
        <v/>
      </c>
      <c r="D85" s="40">
        <f>IF(ISNUMBER(Channels!AB29),Channels!AB29,0)+ROW()/1000000</f>
        <v/>
      </c>
      <c r="E85" s="27">
        <f>Channels!U29</f>
        <v/>
      </c>
      <c r="F85" s="27">
        <f>IF(N85&gt;0,E85*MAX(0,N85-MIN(J85,N85))/N85,IF(C85&gt;0,E85*(1-J85/C85),E85))</f>
        <v/>
      </c>
      <c r="G85" s="27">
        <f>IF(N85&gt;0,E85*MAX(0,N85-MIN(K85,N85))/N85,IF(C85&gt;0,E85*(1-K85/C85),E85))</f>
        <v/>
      </c>
      <c r="H85" s="27">
        <f>IF(N85&gt;0,E85*MAX(0,N85-MIN(L85,N85))/N85,IF(C85&gt;0,E85*(1-L85/C85),E85))</f>
        <v/>
      </c>
      <c r="I85" s="27">
        <f>IF(N85&gt;0,E85*MAX(0,N85-MIN(M85,N85))/N85,IF(C85&gt;0,E85*(1-M85/C85),E85))</f>
        <v/>
      </c>
      <c r="J85" s="36">
        <f>MIN(C85,MAX(0,F$59-SUMPRODUCT(($D$61:$D$90&gt;D85)*$C$61:$C$90)))</f>
        <v/>
      </c>
      <c r="K85" s="36">
        <f>MIN(C85,MAX(0,G$59-SUMPRODUCT(($D$61:$D$90&gt;D85)*$C$61:$C$90)))</f>
        <v/>
      </c>
      <c r="L85" s="36">
        <f>MIN(C85,MAX(0,H$59-SUMPRODUCT(($D$61:$D$90&gt;D85)*$C$61:$C$90)))</f>
        <v/>
      </c>
      <c r="M85" s="36">
        <f>MIN(C85,MAX(0,I$59-SUMPRODUCT(($D$61:$D$90&gt;D85)*$C$61:$C$90)))</f>
        <v/>
      </c>
      <c r="N85" s="36">
        <f>Channels!X29</f>
        <v/>
      </c>
      <c r="O85" s="27">
        <f>IF(E85&gt;0,F85*Channels!V29/E85,0)</f>
        <v/>
      </c>
      <c r="P85" s="27">
        <f>IF(E85&gt;0,G85*Channels!V29/E85,0)</f>
        <v/>
      </c>
      <c r="Q85" s="27">
        <f>IF(E85&gt;0,H85*Channels!V29/E85,0)</f>
        <v/>
      </c>
      <c r="R85" s="27">
        <f>IF(E85&gt;0,I85*Channels!V29/E85,0)</f>
        <v/>
      </c>
    </row>
    <row r="86" hidden="1" outlineLevel="1">
      <c r="A86" s="2">
        <f>Channels!A30</f>
        <v/>
      </c>
      <c r="B86" s="2">
        <f>Channels!C30</f>
        <v/>
      </c>
      <c r="C86" s="36">
        <f>Channels!AA30</f>
        <v/>
      </c>
      <c r="D86" s="40">
        <f>IF(ISNUMBER(Channels!AB30),Channels!AB30,0)+ROW()/1000000</f>
        <v/>
      </c>
      <c r="E86" s="27">
        <f>Channels!U30</f>
        <v/>
      </c>
      <c r="F86" s="27">
        <f>IF(N86&gt;0,E86*MAX(0,N86-MIN(J86,N86))/N86,IF(C86&gt;0,E86*(1-J86/C86),E86))</f>
        <v/>
      </c>
      <c r="G86" s="27">
        <f>IF(N86&gt;0,E86*MAX(0,N86-MIN(K86,N86))/N86,IF(C86&gt;0,E86*(1-K86/C86),E86))</f>
        <v/>
      </c>
      <c r="H86" s="27">
        <f>IF(N86&gt;0,E86*MAX(0,N86-MIN(L86,N86))/N86,IF(C86&gt;0,E86*(1-L86/C86),E86))</f>
        <v/>
      </c>
      <c r="I86" s="27">
        <f>IF(N86&gt;0,E86*MAX(0,N86-MIN(M86,N86))/N86,IF(C86&gt;0,E86*(1-M86/C86),E86))</f>
        <v/>
      </c>
      <c r="J86" s="36">
        <f>MIN(C86,MAX(0,F$59-SUMPRODUCT(($D$61:$D$90&gt;D86)*$C$61:$C$90)))</f>
        <v/>
      </c>
      <c r="K86" s="36">
        <f>MIN(C86,MAX(0,G$59-SUMPRODUCT(($D$61:$D$90&gt;D86)*$C$61:$C$90)))</f>
        <v/>
      </c>
      <c r="L86" s="36">
        <f>MIN(C86,MAX(0,H$59-SUMPRODUCT(($D$61:$D$90&gt;D86)*$C$61:$C$90)))</f>
        <v/>
      </c>
      <c r="M86" s="36">
        <f>MIN(C86,MAX(0,I$59-SUMPRODUCT(($D$61:$D$90&gt;D86)*$C$61:$C$90)))</f>
        <v/>
      </c>
      <c r="N86" s="36">
        <f>Channels!X30</f>
        <v/>
      </c>
      <c r="O86" s="27">
        <f>IF(E86&gt;0,F86*Channels!V30/E86,0)</f>
        <v/>
      </c>
      <c r="P86" s="27">
        <f>IF(E86&gt;0,G86*Channels!V30/E86,0)</f>
        <v/>
      </c>
      <c r="Q86" s="27">
        <f>IF(E86&gt;0,H86*Channels!V30/E86,0)</f>
        <v/>
      </c>
      <c r="R86" s="27">
        <f>IF(E86&gt;0,I86*Channels!V30/E86,0)</f>
        <v/>
      </c>
    </row>
    <row r="87" hidden="1" outlineLevel="1">
      <c r="A87" s="2">
        <f>Channels!A31</f>
        <v/>
      </c>
      <c r="B87" s="2">
        <f>Channels!C31</f>
        <v/>
      </c>
      <c r="C87" s="36">
        <f>Channels!AA31</f>
        <v/>
      </c>
      <c r="D87" s="40">
        <f>IF(ISNUMBER(Channels!AB31),Channels!AB31,0)+ROW()/1000000</f>
        <v/>
      </c>
      <c r="E87" s="27">
        <f>Channels!U31</f>
        <v/>
      </c>
      <c r="F87" s="27">
        <f>IF(N87&gt;0,E87*MAX(0,N87-MIN(J87,N87))/N87,IF(C87&gt;0,E87*(1-J87/C87),E87))</f>
        <v/>
      </c>
      <c r="G87" s="27">
        <f>IF(N87&gt;0,E87*MAX(0,N87-MIN(K87,N87))/N87,IF(C87&gt;0,E87*(1-K87/C87),E87))</f>
        <v/>
      </c>
      <c r="H87" s="27">
        <f>IF(N87&gt;0,E87*MAX(0,N87-MIN(L87,N87))/N87,IF(C87&gt;0,E87*(1-L87/C87),E87))</f>
        <v/>
      </c>
      <c r="I87" s="27">
        <f>IF(N87&gt;0,E87*MAX(0,N87-MIN(M87,N87))/N87,IF(C87&gt;0,E87*(1-M87/C87),E87))</f>
        <v/>
      </c>
      <c r="J87" s="36">
        <f>MIN(C87,MAX(0,F$59-SUMPRODUCT(($D$61:$D$90&gt;D87)*$C$61:$C$90)))</f>
        <v/>
      </c>
      <c r="K87" s="36">
        <f>MIN(C87,MAX(0,G$59-SUMPRODUCT(($D$61:$D$90&gt;D87)*$C$61:$C$90)))</f>
        <v/>
      </c>
      <c r="L87" s="36">
        <f>MIN(C87,MAX(0,H$59-SUMPRODUCT(($D$61:$D$90&gt;D87)*$C$61:$C$90)))</f>
        <v/>
      </c>
      <c r="M87" s="36">
        <f>MIN(C87,MAX(0,I$59-SUMPRODUCT(($D$61:$D$90&gt;D87)*$C$61:$C$90)))</f>
        <v/>
      </c>
      <c r="N87" s="36">
        <f>Channels!X31</f>
        <v/>
      </c>
      <c r="O87" s="27">
        <f>IF(E87&gt;0,F87*Channels!V31/E87,0)</f>
        <v/>
      </c>
      <c r="P87" s="27">
        <f>IF(E87&gt;0,G87*Channels!V31/E87,0)</f>
        <v/>
      </c>
      <c r="Q87" s="27">
        <f>IF(E87&gt;0,H87*Channels!V31/E87,0)</f>
        <v/>
      </c>
      <c r="R87" s="27">
        <f>IF(E87&gt;0,I87*Channels!V31/E87,0)</f>
        <v/>
      </c>
    </row>
    <row r="88" hidden="1" outlineLevel="1">
      <c r="A88" s="2">
        <f>Channels!A32</f>
        <v/>
      </c>
      <c r="B88" s="2">
        <f>Channels!C32</f>
        <v/>
      </c>
      <c r="C88" s="36">
        <f>Channels!AA32</f>
        <v/>
      </c>
      <c r="D88" s="40">
        <f>IF(ISNUMBER(Channels!AB32),Channels!AB32,0)+ROW()/1000000</f>
        <v/>
      </c>
      <c r="E88" s="27">
        <f>Channels!U32</f>
        <v/>
      </c>
      <c r="F88" s="27">
        <f>IF(N88&gt;0,E88*MAX(0,N88-MIN(J88,N88))/N88,IF(C88&gt;0,E88*(1-J88/C88),E88))</f>
        <v/>
      </c>
      <c r="G88" s="27">
        <f>IF(N88&gt;0,E88*MAX(0,N88-MIN(K88,N88))/N88,IF(C88&gt;0,E88*(1-K88/C88),E88))</f>
        <v/>
      </c>
      <c r="H88" s="27">
        <f>IF(N88&gt;0,E88*MAX(0,N88-MIN(L88,N88))/N88,IF(C88&gt;0,E88*(1-L88/C88),E88))</f>
        <v/>
      </c>
      <c r="I88" s="27">
        <f>IF(N88&gt;0,E88*MAX(0,N88-MIN(M88,N88))/N88,IF(C88&gt;0,E88*(1-M88/C88),E88))</f>
        <v/>
      </c>
      <c r="J88" s="36">
        <f>MIN(C88,MAX(0,F$59-SUMPRODUCT(($D$61:$D$90&gt;D88)*$C$61:$C$90)))</f>
        <v/>
      </c>
      <c r="K88" s="36">
        <f>MIN(C88,MAX(0,G$59-SUMPRODUCT(($D$61:$D$90&gt;D88)*$C$61:$C$90)))</f>
        <v/>
      </c>
      <c r="L88" s="36">
        <f>MIN(C88,MAX(0,H$59-SUMPRODUCT(($D$61:$D$90&gt;D88)*$C$61:$C$90)))</f>
        <v/>
      </c>
      <c r="M88" s="36">
        <f>MIN(C88,MAX(0,I$59-SUMPRODUCT(($D$61:$D$90&gt;D88)*$C$61:$C$90)))</f>
        <v/>
      </c>
      <c r="N88" s="36">
        <f>Channels!X32</f>
        <v/>
      </c>
      <c r="O88" s="27">
        <f>IF(E88&gt;0,F88*Channels!V32/E88,0)</f>
        <v/>
      </c>
      <c r="P88" s="27">
        <f>IF(E88&gt;0,G88*Channels!V32/E88,0)</f>
        <v/>
      </c>
      <c r="Q88" s="27">
        <f>IF(E88&gt;0,H88*Channels!V32/E88,0)</f>
        <v/>
      </c>
      <c r="R88" s="27">
        <f>IF(E88&gt;0,I88*Channels!V32/E88,0)</f>
        <v/>
      </c>
    </row>
    <row r="89" hidden="1" outlineLevel="1">
      <c r="A89" s="2">
        <f>Channels!A33</f>
        <v/>
      </c>
      <c r="B89" s="2">
        <f>Channels!C33</f>
        <v/>
      </c>
      <c r="C89" s="36">
        <f>Channels!AA33</f>
        <v/>
      </c>
      <c r="D89" s="40">
        <f>IF(ISNUMBER(Channels!AB33),Channels!AB33,0)+ROW()/1000000</f>
        <v/>
      </c>
      <c r="E89" s="27">
        <f>Channels!U33</f>
        <v/>
      </c>
      <c r="F89" s="27">
        <f>IF(N89&gt;0,E89*MAX(0,N89-MIN(J89,N89))/N89,IF(C89&gt;0,E89*(1-J89/C89),E89))</f>
        <v/>
      </c>
      <c r="G89" s="27">
        <f>IF(N89&gt;0,E89*MAX(0,N89-MIN(K89,N89))/N89,IF(C89&gt;0,E89*(1-K89/C89),E89))</f>
        <v/>
      </c>
      <c r="H89" s="27">
        <f>IF(N89&gt;0,E89*MAX(0,N89-MIN(L89,N89))/N89,IF(C89&gt;0,E89*(1-L89/C89),E89))</f>
        <v/>
      </c>
      <c r="I89" s="27">
        <f>IF(N89&gt;0,E89*MAX(0,N89-MIN(M89,N89))/N89,IF(C89&gt;0,E89*(1-M89/C89),E89))</f>
        <v/>
      </c>
      <c r="J89" s="36">
        <f>MIN(C89,MAX(0,F$59-SUMPRODUCT(($D$61:$D$90&gt;D89)*$C$61:$C$90)))</f>
        <v/>
      </c>
      <c r="K89" s="36">
        <f>MIN(C89,MAX(0,G$59-SUMPRODUCT(($D$61:$D$90&gt;D89)*$C$61:$C$90)))</f>
        <v/>
      </c>
      <c r="L89" s="36">
        <f>MIN(C89,MAX(0,H$59-SUMPRODUCT(($D$61:$D$90&gt;D89)*$C$61:$C$90)))</f>
        <v/>
      </c>
      <c r="M89" s="36">
        <f>MIN(C89,MAX(0,I$59-SUMPRODUCT(($D$61:$D$90&gt;D89)*$C$61:$C$90)))</f>
        <v/>
      </c>
      <c r="N89" s="36">
        <f>Channels!X33</f>
        <v/>
      </c>
      <c r="O89" s="27">
        <f>IF(E89&gt;0,F89*Channels!V33/E89,0)</f>
        <v/>
      </c>
      <c r="P89" s="27">
        <f>IF(E89&gt;0,G89*Channels!V33/E89,0)</f>
        <v/>
      </c>
      <c r="Q89" s="27">
        <f>IF(E89&gt;0,H89*Channels!V33/E89,0)</f>
        <v/>
      </c>
      <c r="R89" s="27">
        <f>IF(E89&gt;0,I89*Channels!V33/E89,0)</f>
        <v/>
      </c>
    </row>
    <row r="90" hidden="1" outlineLevel="1">
      <c r="A90" s="2">
        <f>Channels!A34</f>
        <v/>
      </c>
      <c r="B90" s="2">
        <f>Channels!C34</f>
        <v/>
      </c>
      <c r="C90" s="36">
        <f>Channels!AA34</f>
        <v/>
      </c>
      <c r="D90" s="40">
        <f>IF(ISNUMBER(Channels!AB34),Channels!AB34,0)+ROW()/1000000</f>
        <v/>
      </c>
      <c r="E90" s="27">
        <f>Channels!U34</f>
        <v/>
      </c>
      <c r="F90" s="27">
        <f>IF(N90&gt;0,E90*MAX(0,N90-MIN(J90,N90))/N90,IF(C90&gt;0,E90*(1-J90/C90),E90))</f>
        <v/>
      </c>
      <c r="G90" s="27">
        <f>IF(N90&gt;0,E90*MAX(0,N90-MIN(K90,N90))/N90,IF(C90&gt;0,E90*(1-K90/C90),E90))</f>
        <v/>
      </c>
      <c r="H90" s="27">
        <f>IF(N90&gt;0,E90*MAX(0,N90-MIN(L90,N90))/N90,IF(C90&gt;0,E90*(1-L90/C90),E90))</f>
        <v/>
      </c>
      <c r="I90" s="27">
        <f>IF(N90&gt;0,E90*MAX(0,N90-MIN(M90,N90))/N90,IF(C90&gt;0,E90*(1-M90/C90),E90))</f>
        <v/>
      </c>
      <c r="J90" s="36">
        <f>MIN(C90,MAX(0,F$59-SUMPRODUCT(($D$61:$D$90&gt;D90)*$C$61:$C$90)))</f>
        <v/>
      </c>
      <c r="K90" s="36">
        <f>MIN(C90,MAX(0,G$59-SUMPRODUCT(($D$61:$D$90&gt;D90)*$C$61:$C$90)))</f>
        <v/>
      </c>
      <c r="L90" s="36">
        <f>MIN(C90,MAX(0,H$59-SUMPRODUCT(($D$61:$D$90&gt;D90)*$C$61:$C$90)))</f>
        <v/>
      </c>
      <c r="M90" s="36">
        <f>MIN(C90,MAX(0,I$59-SUMPRODUCT(($D$61:$D$90&gt;D90)*$C$61:$C$90)))</f>
        <v/>
      </c>
      <c r="N90" s="36">
        <f>Channels!X34</f>
        <v/>
      </c>
      <c r="O90" s="27">
        <f>IF(E90&gt;0,F90*Channels!V34/E90,0)</f>
        <v/>
      </c>
      <c r="P90" s="27">
        <f>IF(E90&gt;0,G90*Channels!V34/E90,0)</f>
        <v/>
      </c>
      <c r="Q90" s="27">
        <f>IF(E90&gt;0,H90*Channels!V34/E90,0)</f>
        <v/>
      </c>
      <c r="R90" s="27">
        <f>IF(E90&gt;0,I90*Channels!V34/E90,0)</f>
        <v/>
      </c>
    </row>
    <row r="91">
      <c r="E91" s="23" t="inlineStr">
        <is>
          <t>Hires by role</t>
        </is>
      </c>
    </row>
    <row r="92">
      <c r="E92" s="2" t="inlineStr">
        <is>
          <t>Electricians</t>
        </is>
      </c>
      <c r="F92" s="27">
        <f>SUMIFS(F$61:F$90,$B$61:$B$90,$E92)*F$100</f>
        <v/>
      </c>
      <c r="G92" s="27">
        <f>SUMIFS(G$61:G$90,$B$61:$B$90,$E92)*G$100</f>
        <v/>
      </c>
      <c r="H92" s="27">
        <f>SUMIFS(H$61:H$90,$B$61:$B$90,$E92)*H$100</f>
        <v/>
      </c>
      <c r="I92" s="27">
        <f>SUMIFS(I$61:I$90,$B$61:$B$90,$E92)*I$100</f>
        <v/>
      </c>
    </row>
    <row r="93">
      <c r="E93" s="2" t="inlineStr">
        <is>
          <t>Mechatronics</t>
        </is>
      </c>
      <c r="F93" s="27">
        <f>SUMIFS(F$61:F$90,$B$61:$B$90,$E93)*F$100</f>
        <v/>
      </c>
      <c r="G93" s="27">
        <f>SUMIFS(G$61:G$90,$B$61:$B$90,$E93)*G$100</f>
        <v/>
      </c>
      <c r="H93" s="27">
        <f>SUMIFS(H$61:H$90,$B$61:$B$90,$E93)*H$100</f>
        <v/>
      </c>
      <c r="I93" s="27">
        <f>SUMIFS(I$61:I$90,$B$61:$B$90,$E93)*I$100</f>
        <v/>
      </c>
    </row>
    <row r="94">
      <c r="E94" s="2" t="inlineStr">
        <is>
          <t>Automation</t>
        </is>
      </c>
      <c r="F94" s="27">
        <f>SUMIFS(F$61:F$90,$B$61:$B$90,$E94)*F$100</f>
        <v/>
      </c>
      <c r="G94" s="27">
        <f>SUMIFS(G$61:G$90,$B$61:$B$90,$E94)*G$100</f>
        <v/>
      </c>
      <c r="H94" s="27">
        <f>SUMIFS(H$61:H$90,$B$61:$B$90,$E94)*H$100</f>
        <v/>
      </c>
      <c r="I94" s="27">
        <f>SUMIFS(I$61:I$90,$B$61:$B$90,$E94)*I$100</f>
        <v/>
      </c>
    </row>
    <row r="95">
      <c r="E95" s="2" t="inlineStr">
        <is>
          <t>Supervisors</t>
        </is>
      </c>
      <c r="F95" s="27">
        <f>SUMIFS(F$61:F$90,$B$61:$B$90,$E95)*F$100</f>
        <v/>
      </c>
      <c r="G95" s="27">
        <f>SUMIFS(G$61:G$90,$B$61:$B$90,$E95)*G$100</f>
        <v/>
      </c>
      <c r="H95" s="27">
        <f>SUMIFS(H$61:H$90,$B$61:$B$90,$E95)*H$100</f>
        <v/>
      </c>
      <c r="I95" s="27">
        <f>SUMIFS(I$61:I$90,$B$61:$B$90,$E95)*I$100</f>
        <v/>
      </c>
    </row>
    <row r="96">
      <c r="E96" s="23" t="inlineStr">
        <is>
          <t>Total</t>
        </is>
      </c>
      <c r="F96" s="30">
        <f>SUM(F92:F95)</f>
        <v/>
      </c>
      <c r="G96" s="30">
        <f>SUM(G92:G95)</f>
        <v/>
      </c>
      <c r="H96" s="30">
        <f>SUM(H92:H95)</f>
        <v/>
      </c>
      <c r="I96" s="30">
        <f>SUM(I92:I95)</f>
        <v/>
      </c>
    </row>
    <row r="97">
      <c r="E97" s="2" t="inlineStr">
        <is>
          <t>Cost per hire</t>
        </is>
      </c>
      <c r="F97" s="36">
        <f>IF(F96&gt;0,F57/F96,0)</f>
        <v/>
      </c>
      <c r="G97" s="36">
        <f>IF(G96&gt;0,G57/G96,0)</f>
        <v/>
      </c>
      <c r="H97" s="36">
        <f>IF(H96&gt;0,H57/H96,0)</f>
        <v/>
      </c>
      <c r="I97" s="36">
        <f>IF(I96&gt;0,I57/I96,0)</f>
        <v/>
      </c>
    </row>
    <row r="98"/>
    <row r="99">
      <c r="E99" s="2" t="inlineStr">
        <is>
          <t>Qualified applicants (before capacity cap)</t>
        </is>
      </c>
      <c r="F99" s="27">
        <f>SUM(O61:O90)</f>
        <v/>
      </c>
      <c r="G99" s="27">
        <f>SUM(P61:P90)</f>
        <v/>
      </c>
      <c r="H99" s="27">
        <f>SUM(Q61:Q90)</f>
        <v/>
      </c>
      <c r="I99" s="27">
        <f>SUM(R61:R90)</f>
        <v/>
      </c>
    </row>
    <row r="100">
      <c r="E100" s="2" t="inlineStr">
        <is>
          <t>Capacity factor (assessment slots ÷ qualified, max 1)</t>
        </is>
      </c>
      <c r="F100" s="25">
        <f>IF(F99&gt;0,MIN(1,Funnel!$B$22/F99),1)</f>
        <v/>
      </c>
      <c r="G100" s="25">
        <f>IF(G99&gt;0,MIN(1,Funnel!$B$22/G99),1)</f>
        <v/>
      </c>
      <c r="H100" s="25">
        <f>IF(H99&gt;0,MIN(1,Funnel!$B$22/H99),1)</f>
        <v/>
      </c>
      <c r="I100" s="25">
        <f>IF(I99&gt;0,MIN(1,Funnel!$B$22/I99),1)</f>
        <v/>
      </c>
    </row>
    <row r="101"/>
    <row r="102">
      <c r="A102" s="9" t="inlineStr">
        <is>
          <t>Hires by role are scaled by the capacity factor: if a scenario's qualified applicants exceed the assessment slots, only the share that can be assessed turns into hires (same rule as Budget C13).</t>
        </is>
      </c>
    </row>
  </sheetData>
  <mergeCells count="1">
    <mergeCell ref="B50:I51"/>
  </mergeCells>
  <pageMargins left="0.75" right="0.75" top="1" bottom="1" header="0.5" footer="0.5"/>
</worksheet>
</file>

<file path=xl/worksheets/sheet7.xml><?xml version="1.0" encoding="utf-8"?>
<worksheet xmlns="http://schemas.openxmlformats.org/spreadsheetml/2006/main">
  <sheetPr>
    <tabColor rgb="008EA9DB"/>
    <outlinePr summaryBelow="1" summaryRight="0"/>
    <pageSetUpPr/>
  </sheetPr>
  <dimension ref="A1:Z55"/>
  <sheetViews>
    <sheetView showGridLines="0" workbookViewId="0">
      <selection activeCell="A1" sqref="A1"/>
    </sheetView>
  </sheetViews>
  <sheetFormatPr baseColWidth="8" defaultRowHeight="15"/>
  <cols>
    <col width="7" customWidth="1" min="1" max="1"/>
    <col width="13" customWidth="1" min="2" max="2"/>
    <col width="13" customWidth="1" min="3" max="3"/>
    <col width="12"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hidden="1" outlineLevel="1" width="12" customWidth="1" min="24" max="26"/>
  </cols>
  <sheetData>
    <row r="1">
      <c r="A1" s="1" t="inlineStr">
        <is>
          <t>Week-by-week plan: cash out, qualified flow vs 55/week, signatures</t>
        </is>
      </c>
    </row>
    <row r="2">
      <c r="A2" s="2" t="inlineStr">
        <is>
          <t>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is>
      </c>
    </row>
    <row r="3" ht="45" customHeight="1">
      <c r="A3" s="12" t="inlineStr">
        <is>
          <t>Week</t>
        </is>
      </c>
      <c r="B3" s="12" t="inlineStr">
        <is>
          <t>Start (Tue)</t>
        </is>
      </c>
      <c r="C3" s="12" t="inlineStr">
        <is>
          <t>End</t>
        </is>
      </c>
      <c r="D3" s="12" t="inlineStr">
        <is>
          <t>Spend share E/M/A</t>
        </is>
      </c>
      <c r="E3" s="12" t="inlineStr">
        <is>
          <t>Spend share Supervisors</t>
        </is>
      </c>
      <c r="F3" s="12" t="inlineStr">
        <is>
          <t>Signing share E/M/A</t>
        </is>
      </c>
      <c r="G3" s="12" t="inlineStr">
        <is>
          <t>Signing share Supervisors</t>
        </is>
      </c>
      <c r="H3" s="12" t="inlineStr">
        <is>
          <t>CPC/CPA media after tests €</t>
        </is>
      </c>
      <c r="I3" s="12" t="inlineStr">
        <is>
          <t>StepStone ads €</t>
        </is>
      </c>
      <c r="J3" s="12" t="inlineStr">
        <is>
          <t>Referral bonuses €</t>
        </is>
      </c>
      <c r="K3" s="12" t="inlineStr">
        <is>
          <t>Set-up costs €</t>
        </is>
      </c>
      <c r="L3" s="12" t="inlineStr">
        <is>
          <t>Test tranches €</t>
        </is>
      </c>
      <c r="M3" s="12" t="inlineStr">
        <is>
          <t>Cash out €</t>
        </is>
      </c>
      <c r="N3" s="12" t="inlineStr">
        <is>
          <t>Cumulative €</t>
        </is>
      </c>
      <c r="O3" s="12" t="inlineStr">
        <is>
          <t>Applications</t>
        </is>
      </c>
      <c r="P3" s="12" t="inlineStr">
        <is>
          <t>Qualified arriving</t>
        </is>
      </c>
      <c r="Q3" s="12" t="inlineStr">
        <is>
          <t>Assessment slots</t>
        </is>
      </c>
      <c r="R3" s="12" t="inlineStr">
        <is>
          <t>Slot use</t>
        </is>
      </c>
      <c r="S3" s="12" t="inlineStr">
        <is>
          <t>Flag</t>
        </is>
      </c>
      <c r="T3" s="12" t="inlineStr">
        <is>
          <t>Signed (E/M/A)</t>
        </is>
      </c>
      <c r="U3" s="12" t="inlineStr">
        <is>
          <t>Signed (Supervisors)</t>
        </is>
      </c>
      <c r="V3" s="12" t="inlineStr">
        <is>
          <t>Signed total</t>
        </is>
      </c>
      <c r="W3" s="12" t="inlineStr">
        <is>
          <t>Cum. signed</t>
        </is>
      </c>
      <c r="X3" s="12" t="inlineStr">
        <is>
          <t>Test share</t>
        </is>
      </c>
      <c r="Y3" s="12" t="inlineStr">
        <is>
          <t>Rediscovery share</t>
        </is>
      </c>
      <c r="Z3" s="44" t="inlineStr">
        <is>
          <t>Input share (Assumptions W1–W11)</t>
        </is>
      </c>
    </row>
    <row r="4">
      <c r="A4" s="24" t="n">
        <v>1</v>
      </c>
      <c r="B4" s="45">
        <f>Assumptions!$D$7+7*(A4-1)</f>
        <v/>
      </c>
      <c r="C4" s="45">
        <f>MIN(B4+6,Assumptions!$D$8)</f>
        <v/>
      </c>
      <c r="D4" s="25">
        <f>IF(SUMPRODUCT(($B$4:$B$14&lt;=Funnel!$B$19)*$Z$4:$Z$14)&gt;0,IF(B4&lt;=Funnel!$B$19,Z4,0)/SUMPRODUCT(($B$4:$B$14&lt;=Funnel!$B$19)*$Z$4:$Z$14),0)</f>
        <v/>
      </c>
      <c r="E4" s="25">
        <f>IF(SUMPRODUCT(($B$4:$B$14&lt;=Funnel!$B$20)*$D$4:$D$14)&gt;0,IF(B4&lt;=Funnel!$B$20,D4,0)/SUMPRODUCT(($B$4:$B$14&lt;=Funnel!$B$20)*$D$4:$D$14),0)</f>
        <v/>
      </c>
      <c r="F4" s="25">
        <f>IF(A4-ROUNDUP(Funnel!$B$15/7,0)&gt;=1,INDEX($D$4:$D$14,A4-ROUNDUP(Funnel!$B$15/7,0)),0)</f>
        <v/>
      </c>
      <c r="G4" s="25">
        <f>IF(A4-ROUNDUP(Funnel!$B$16/7,0)&gt;=1,INDEX($E$4:$E$14,A4-ROUNDUP(Funnel!$B$16/7,0)),0)</f>
        <v/>
      </c>
      <c r="H4" s="36">
        <f>$F$19*D4+$F$20*E4+$F$31*Y4</f>
        <v/>
      </c>
      <c r="I4" s="36">
        <f>IF(A4=1,$F$21,0)</f>
        <v/>
      </c>
      <c r="J4" s="36">
        <f>$F$22*F4+$F$23*G4</f>
        <v/>
      </c>
      <c r="K4" s="36">
        <f>IF(A4=1,Budget!$C$6,0)</f>
        <v/>
      </c>
      <c r="L4" s="36">
        <f>$F$24*X4</f>
        <v/>
      </c>
      <c r="M4" s="36">
        <f>SUM(H4:L4)</f>
        <v/>
      </c>
      <c r="N4" s="36">
        <f>SUM($M$4:M4)</f>
        <v/>
      </c>
      <c r="O4" s="24">
        <f>(Funnel!$M$5+Funnel!$M$6+Funnel!$M$7-$F$27-$F$34)*D4+(Funnel!$M$8-$F$28-$F$35)*E4+($F$27+$F$28)*X4+($F$34+$F$35)*Y4</f>
        <v/>
      </c>
      <c r="P4" s="24">
        <f>(Funnel!$O$5+Funnel!$O$6+Funnel!$O$7-$F$25-$F$32)*D4+(Funnel!$O$8-$F$26-$F$33)*E4+($F$25+$F$26)*X4+($F$32+$F$33)*Y4</f>
        <v/>
      </c>
      <c r="Q4" s="24">
        <f>Assumptions!$D$9*MAX(0,MIN(C4,Funnel!$B$17)-MAX(B4,Funnel!$B$13)+1)/7</f>
        <v/>
      </c>
      <c r="R4" s="25">
        <f>IF(Q4&gt;0,P4/Q4,IF(P4&gt;0,9.99,0))</f>
        <v/>
      </c>
      <c r="S4" s="2">
        <f>IF(P4&gt;Q4+0.5,"OVER "&amp;Assumptions!$D$9&amp;"/wk – pace down",IF(R4&gt;Assumptions!$D$106,"Full",IF(AND(Q4&gt;=Assumptions!$D$107,P4&lt;Assumptions!$D$107),"Under "&amp;Assumptions!$D$107&amp;" – release reserve","")))</f>
        <v/>
      </c>
      <c r="T4" s="27">
        <f>$F$38*(F4*(Budget!$G$21+Budget!$G$22+Budget!$G$23-$F$29-$F$36)+IF(A4-ROUNDUP(Funnel!$B$15/7,0)&gt;=1,INDEX($X$4:$X$14,A4-ROUNDUP(Funnel!$B$15/7,0))*$F$29+INDEX($Y$4:$Y$14,A4-ROUNDUP(Funnel!$B$15/7,0))*$F$36,0))</f>
        <v/>
      </c>
      <c r="U4" s="27">
        <f>$F$38*(G4*(Budget!$G$24-$F$30-$F$37)+IF(A4-ROUNDUP(Funnel!$B$16/7,0)&gt;=1,INDEX($X$4:$X$14,A4-ROUNDUP(Funnel!$B$16/7,0))*$F$30+INDEX($Y$4:$Y$14,A4-ROUNDUP(Funnel!$B$16/7,0))*$F$37,0))</f>
        <v/>
      </c>
      <c r="V4" s="27">
        <f>T4+U4</f>
        <v/>
      </c>
      <c r="W4" s="27">
        <f>SUM($V$4:V4)</f>
        <v/>
      </c>
      <c r="X4" s="25">
        <f>IF(A4=1,Assumptions!$D$50,IF(A4=2,1-Assumptions!$D$50,0))</f>
        <v/>
      </c>
      <c r="Y4" s="25">
        <f>Assumptions!$D$97</f>
        <v/>
      </c>
      <c r="Z4" s="25">
        <f>Assumptions!$D$55</f>
        <v/>
      </c>
    </row>
    <row r="5">
      <c r="A5" s="24" t="n">
        <v>2</v>
      </c>
      <c r="B5" s="45">
        <f>Assumptions!$D$7+7*(A5-1)</f>
        <v/>
      </c>
      <c r="C5" s="45">
        <f>MIN(B5+6,Assumptions!$D$8)</f>
        <v/>
      </c>
      <c r="D5" s="25">
        <f>IF(SUMPRODUCT(($B$4:$B$14&lt;=Funnel!$B$19)*$Z$4:$Z$14)&gt;0,IF(B5&lt;=Funnel!$B$19,Z5,0)/SUMPRODUCT(($B$4:$B$14&lt;=Funnel!$B$19)*$Z$4:$Z$14),0)</f>
        <v/>
      </c>
      <c r="E5" s="25">
        <f>IF(SUMPRODUCT(($B$4:$B$14&lt;=Funnel!$B$20)*$D$4:$D$14)&gt;0,IF(B5&lt;=Funnel!$B$20,D5,0)/SUMPRODUCT(($B$4:$B$14&lt;=Funnel!$B$20)*$D$4:$D$14),0)</f>
        <v/>
      </c>
      <c r="F5" s="25">
        <f>IF(A5-ROUNDUP(Funnel!$B$15/7,0)&gt;=1,INDEX($D$4:$D$14,A5-ROUNDUP(Funnel!$B$15/7,0)),0)</f>
        <v/>
      </c>
      <c r="G5" s="25">
        <f>IF(A5-ROUNDUP(Funnel!$B$16/7,0)&gt;=1,INDEX($E$4:$E$14,A5-ROUNDUP(Funnel!$B$16/7,0)),0)</f>
        <v/>
      </c>
      <c r="H5" s="36">
        <f>$F$19*D5+$F$20*E5+$F$31*Y5</f>
        <v/>
      </c>
      <c r="I5" s="36">
        <f>IF(A5=1,$F$21,0)</f>
        <v/>
      </c>
      <c r="J5" s="36">
        <f>$F$22*F5+$F$23*G5</f>
        <v/>
      </c>
      <c r="K5" s="36">
        <f>IF(A5=1,Budget!$C$6,0)</f>
        <v/>
      </c>
      <c r="L5" s="36">
        <f>$F$24*X5</f>
        <v/>
      </c>
      <c r="M5" s="36">
        <f>SUM(H5:L5)</f>
        <v/>
      </c>
      <c r="N5" s="42">
        <f>SUM($M$4:M5)</f>
        <v/>
      </c>
      <c r="O5" s="24">
        <f>(Funnel!$M$5+Funnel!$M$6+Funnel!$M$7-$F$27-$F$34)*D5+(Funnel!$M$8-$F$28-$F$35)*E5+($F$27+$F$28)*X5+($F$34+$F$35)*Y5</f>
        <v/>
      </c>
      <c r="P5" s="24">
        <f>(Funnel!$O$5+Funnel!$O$6+Funnel!$O$7-$F$25-$F$32)*D5+(Funnel!$O$8-$F$26-$F$33)*E5+($F$25+$F$26)*X5+($F$32+$F$33)*Y5</f>
        <v/>
      </c>
      <c r="Q5" s="24">
        <f>Assumptions!$D$9*MAX(0,MIN(C5,Funnel!$B$17)-MAX(B5,Funnel!$B$13)+1)/7</f>
        <v/>
      </c>
      <c r="R5" s="25">
        <f>IF(Q5&gt;0,P5/Q5,IF(P5&gt;0,9.99,0))</f>
        <v/>
      </c>
      <c r="S5" s="2">
        <f>IF(P5&gt;Q5+0.5,"OVER "&amp;Assumptions!$D$9&amp;"/wk – pace down",IF(R5&gt;Assumptions!$D$106,"Full",IF(AND(Q5&gt;=Assumptions!$D$107,P5&lt;Assumptions!$D$107),"Under "&amp;Assumptions!$D$107&amp;" – release reserve","")))</f>
        <v/>
      </c>
      <c r="T5" s="27">
        <f>$F$38*(F5*(Budget!$G$21+Budget!$G$22+Budget!$G$23-$F$29-$F$36)+IF(A5-ROUNDUP(Funnel!$B$15/7,0)&gt;=1,INDEX($X$4:$X$14,A5-ROUNDUP(Funnel!$B$15/7,0))*$F$29+INDEX($Y$4:$Y$14,A5-ROUNDUP(Funnel!$B$15/7,0))*$F$36,0))</f>
        <v/>
      </c>
      <c r="U5" s="27">
        <f>$F$38*(G5*(Budget!$G$24-$F$30-$F$37)+IF(A5-ROUNDUP(Funnel!$B$16/7,0)&gt;=1,INDEX($X$4:$X$14,A5-ROUNDUP(Funnel!$B$16/7,0))*$F$30+INDEX($Y$4:$Y$14,A5-ROUNDUP(Funnel!$B$16/7,0))*$F$37,0))</f>
        <v/>
      </c>
      <c r="V5" s="27">
        <f>T5+U5</f>
        <v/>
      </c>
      <c r="W5" s="27">
        <f>SUM($V$4:V5)</f>
        <v/>
      </c>
      <c r="X5" s="25">
        <f>IF(A5=1,Assumptions!$D$50,IF(A5=2,1-Assumptions!$D$50,0))</f>
        <v/>
      </c>
      <c r="Y5" s="25">
        <f>Assumptions!$D$98</f>
        <v/>
      </c>
      <c r="Z5" s="25">
        <f>Assumptions!$D$56</f>
        <v/>
      </c>
    </row>
    <row r="6">
      <c r="A6" s="24" t="n">
        <v>3</v>
      </c>
      <c r="B6" s="45">
        <f>Assumptions!$D$7+7*(A6-1)</f>
        <v/>
      </c>
      <c r="C6" s="45">
        <f>MIN(B6+6,Assumptions!$D$8)</f>
        <v/>
      </c>
      <c r="D6" s="25">
        <f>IF(SUMPRODUCT(($B$4:$B$14&lt;=Funnel!$B$19)*$Z$4:$Z$14)&gt;0,IF(B6&lt;=Funnel!$B$19,Z6,0)/SUMPRODUCT(($B$4:$B$14&lt;=Funnel!$B$19)*$Z$4:$Z$14),0)</f>
        <v/>
      </c>
      <c r="E6" s="25">
        <f>IF(SUMPRODUCT(($B$4:$B$14&lt;=Funnel!$B$20)*$D$4:$D$14)&gt;0,IF(B6&lt;=Funnel!$B$20,D6,0)/SUMPRODUCT(($B$4:$B$14&lt;=Funnel!$B$20)*$D$4:$D$14),0)</f>
        <v/>
      </c>
      <c r="F6" s="25">
        <f>IF(A6-ROUNDUP(Funnel!$B$15/7,0)&gt;=1,INDEX($D$4:$D$14,A6-ROUNDUP(Funnel!$B$15/7,0)),0)</f>
        <v/>
      </c>
      <c r="G6" s="25">
        <f>IF(A6-ROUNDUP(Funnel!$B$16/7,0)&gt;=1,INDEX($E$4:$E$14,A6-ROUNDUP(Funnel!$B$16/7,0)),0)</f>
        <v/>
      </c>
      <c r="H6" s="36">
        <f>$F$19*D6+$F$20*E6+$F$31*Y6</f>
        <v/>
      </c>
      <c r="I6" s="36">
        <f>IF(A6=1,$F$21,0)</f>
        <v/>
      </c>
      <c r="J6" s="36">
        <f>$F$22*F6+$F$23*G6</f>
        <v/>
      </c>
      <c r="K6" s="36">
        <f>IF(A6=1,Budget!$C$6,0)</f>
        <v/>
      </c>
      <c r="L6" s="36">
        <f>$F$24*X6</f>
        <v/>
      </c>
      <c r="M6" s="36">
        <f>SUM(H6:L6)</f>
        <v/>
      </c>
      <c r="N6" s="36">
        <f>SUM($M$4:M6)</f>
        <v/>
      </c>
      <c r="O6" s="24">
        <f>(Funnel!$M$5+Funnel!$M$6+Funnel!$M$7-$F$27-$F$34)*D6+(Funnel!$M$8-$F$28-$F$35)*E6+($F$27+$F$28)*X6+($F$34+$F$35)*Y6</f>
        <v/>
      </c>
      <c r="P6" s="24">
        <f>(Funnel!$O$5+Funnel!$O$6+Funnel!$O$7-$F$25-$F$32)*D6+(Funnel!$O$8-$F$26-$F$33)*E6+($F$25+$F$26)*X6+($F$32+$F$33)*Y6</f>
        <v/>
      </c>
      <c r="Q6" s="24">
        <f>Assumptions!$D$9*MAX(0,MIN(C6,Funnel!$B$17)-MAX(B6,Funnel!$B$13)+1)/7</f>
        <v/>
      </c>
      <c r="R6" s="25">
        <f>IF(Q6&gt;0,P6/Q6,IF(P6&gt;0,9.99,0))</f>
        <v/>
      </c>
      <c r="S6" s="2">
        <f>IF(P6&gt;Q6+0.5,"OVER "&amp;Assumptions!$D$9&amp;"/wk – pace down",IF(R6&gt;Assumptions!$D$106,"Full",IF(AND(Q6&gt;=Assumptions!$D$107,P6&lt;Assumptions!$D$107),"Under "&amp;Assumptions!$D$107&amp;" – release reserve","")))</f>
        <v/>
      </c>
      <c r="T6" s="27">
        <f>$F$38*(F6*(Budget!$G$21+Budget!$G$22+Budget!$G$23-$F$29-$F$36)+IF(A6-ROUNDUP(Funnel!$B$15/7,0)&gt;=1,INDEX($X$4:$X$14,A6-ROUNDUP(Funnel!$B$15/7,0))*$F$29+INDEX($Y$4:$Y$14,A6-ROUNDUP(Funnel!$B$15/7,0))*$F$36,0))</f>
        <v/>
      </c>
      <c r="U6" s="27">
        <f>$F$38*(G6*(Budget!$G$24-$F$30-$F$37)+IF(A6-ROUNDUP(Funnel!$B$16/7,0)&gt;=1,INDEX($X$4:$X$14,A6-ROUNDUP(Funnel!$B$16/7,0))*$F$30+INDEX($Y$4:$Y$14,A6-ROUNDUP(Funnel!$B$16/7,0))*$F$37,0))</f>
        <v/>
      </c>
      <c r="V6" s="27">
        <f>T6+U6</f>
        <v/>
      </c>
      <c r="W6" s="27">
        <f>SUM($V$4:V6)</f>
        <v/>
      </c>
      <c r="X6" s="25">
        <f>IF(A6=1,Assumptions!$D$50,IF(A6=2,1-Assumptions!$D$50,0))</f>
        <v/>
      </c>
      <c r="Y6" s="25">
        <f>Assumptions!$D$99</f>
        <v/>
      </c>
      <c r="Z6" s="25">
        <f>Assumptions!$D$57</f>
        <v/>
      </c>
    </row>
    <row r="7">
      <c r="A7" s="24" t="n">
        <v>4</v>
      </c>
      <c r="B7" s="45">
        <f>Assumptions!$D$7+7*(A7-1)</f>
        <v/>
      </c>
      <c r="C7" s="45">
        <f>MIN(B7+6,Assumptions!$D$8)</f>
        <v/>
      </c>
      <c r="D7" s="25">
        <f>IF(SUMPRODUCT(($B$4:$B$14&lt;=Funnel!$B$19)*$Z$4:$Z$14)&gt;0,IF(B7&lt;=Funnel!$B$19,Z7,0)/SUMPRODUCT(($B$4:$B$14&lt;=Funnel!$B$19)*$Z$4:$Z$14),0)</f>
        <v/>
      </c>
      <c r="E7" s="25">
        <f>IF(SUMPRODUCT(($B$4:$B$14&lt;=Funnel!$B$20)*$D$4:$D$14)&gt;0,IF(B7&lt;=Funnel!$B$20,D7,0)/SUMPRODUCT(($B$4:$B$14&lt;=Funnel!$B$20)*$D$4:$D$14),0)</f>
        <v/>
      </c>
      <c r="F7" s="25">
        <f>IF(A7-ROUNDUP(Funnel!$B$15/7,0)&gt;=1,INDEX($D$4:$D$14,A7-ROUNDUP(Funnel!$B$15/7,0)),0)</f>
        <v/>
      </c>
      <c r="G7" s="25">
        <f>IF(A7-ROUNDUP(Funnel!$B$16/7,0)&gt;=1,INDEX($E$4:$E$14,A7-ROUNDUP(Funnel!$B$16/7,0)),0)</f>
        <v/>
      </c>
      <c r="H7" s="36">
        <f>$F$19*D7+$F$20*E7+$F$31*Y7</f>
        <v/>
      </c>
      <c r="I7" s="36">
        <f>IF(A7=1,$F$21,0)</f>
        <v/>
      </c>
      <c r="J7" s="36">
        <f>$F$22*F7+$F$23*G7</f>
        <v/>
      </c>
      <c r="K7" s="36">
        <f>IF(A7=1,Budget!$C$6,0)</f>
        <v/>
      </c>
      <c r="L7" s="36">
        <f>$F$24*X7</f>
        <v/>
      </c>
      <c r="M7" s="36">
        <f>SUM(H7:L7)</f>
        <v/>
      </c>
      <c r="N7" s="36">
        <f>SUM($M$4:M7)</f>
        <v/>
      </c>
      <c r="O7" s="24">
        <f>(Funnel!$M$5+Funnel!$M$6+Funnel!$M$7-$F$27-$F$34)*D7+(Funnel!$M$8-$F$28-$F$35)*E7+($F$27+$F$28)*X7+($F$34+$F$35)*Y7</f>
        <v/>
      </c>
      <c r="P7" s="24">
        <f>(Funnel!$O$5+Funnel!$O$6+Funnel!$O$7-$F$25-$F$32)*D7+(Funnel!$O$8-$F$26-$F$33)*E7+($F$25+$F$26)*X7+($F$32+$F$33)*Y7</f>
        <v/>
      </c>
      <c r="Q7" s="24">
        <f>Assumptions!$D$9*MAX(0,MIN(C7,Funnel!$B$17)-MAX(B7,Funnel!$B$13)+1)/7</f>
        <v/>
      </c>
      <c r="R7" s="25">
        <f>IF(Q7&gt;0,P7/Q7,IF(P7&gt;0,9.99,0))</f>
        <v/>
      </c>
      <c r="S7" s="2">
        <f>IF(P7&gt;Q7+0.5,"OVER "&amp;Assumptions!$D$9&amp;"/wk – pace down",IF(R7&gt;Assumptions!$D$106,"Full",IF(AND(Q7&gt;=Assumptions!$D$107,P7&lt;Assumptions!$D$107),"Under "&amp;Assumptions!$D$107&amp;" – release reserve","")))</f>
        <v/>
      </c>
      <c r="T7" s="27">
        <f>$F$38*(F7*(Budget!$G$21+Budget!$G$22+Budget!$G$23-$F$29-$F$36)+IF(A7-ROUNDUP(Funnel!$B$15/7,0)&gt;=1,INDEX($X$4:$X$14,A7-ROUNDUP(Funnel!$B$15/7,0))*$F$29+INDEX($Y$4:$Y$14,A7-ROUNDUP(Funnel!$B$15/7,0))*$F$36,0))</f>
        <v/>
      </c>
      <c r="U7" s="27">
        <f>$F$38*(G7*(Budget!$G$24-$F$30-$F$37)+IF(A7-ROUNDUP(Funnel!$B$16/7,0)&gt;=1,INDEX($X$4:$X$14,A7-ROUNDUP(Funnel!$B$16/7,0))*$F$30+INDEX($Y$4:$Y$14,A7-ROUNDUP(Funnel!$B$16/7,0))*$F$37,0))</f>
        <v/>
      </c>
      <c r="V7" s="27">
        <f>T7+U7</f>
        <v/>
      </c>
      <c r="W7" s="27">
        <f>SUM($V$4:V7)</f>
        <v/>
      </c>
      <c r="X7" s="25">
        <f>IF(A7=1,Assumptions!$D$50,IF(A7=2,1-Assumptions!$D$50,0))</f>
        <v/>
      </c>
      <c r="Y7" s="25">
        <f>0</f>
        <v/>
      </c>
      <c r="Z7" s="25">
        <f>Assumptions!$D$58</f>
        <v/>
      </c>
    </row>
    <row r="8">
      <c r="A8" s="24" t="n">
        <v>5</v>
      </c>
      <c r="B8" s="45">
        <f>Assumptions!$D$7+7*(A8-1)</f>
        <v/>
      </c>
      <c r="C8" s="45">
        <f>MIN(B8+6,Assumptions!$D$8)</f>
        <v/>
      </c>
      <c r="D8" s="25">
        <f>IF(SUMPRODUCT(($B$4:$B$14&lt;=Funnel!$B$19)*$Z$4:$Z$14)&gt;0,IF(B8&lt;=Funnel!$B$19,Z8,0)/SUMPRODUCT(($B$4:$B$14&lt;=Funnel!$B$19)*$Z$4:$Z$14),0)</f>
        <v/>
      </c>
      <c r="E8" s="25">
        <f>IF(SUMPRODUCT(($B$4:$B$14&lt;=Funnel!$B$20)*$D$4:$D$14)&gt;0,IF(B8&lt;=Funnel!$B$20,D8,0)/SUMPRODUCT(($B$4:$B$14&lt;=Funnel!$B$20)*$D$4:$D$14),0)</f>
        <v/>
      </c>
      <c r="F8" s="25">
        <f>IF(A8-ROUNDUP(Funnel!$B$15/7,0)&gt;=1,INDEX($D$4:$D$14,A8-ROUNDUP(Funnel!$B$15/7,0)),0)</f>
        <v/>
      </c>
      <c r="G8" s="25">
        <f>IF(A8-ROUNDUP(Funnel!$B$16/7,0)&gt;=1,INDEX($E$4:$E$14,A8-ROUNDUP(Funnel!$B$16/7,0)),0)</f>
        <v/>
      </c>
      <c r="H8" s="36">
        <f>$F$19*D8+$F$20*E8+$F$31*Y8</f>
        <v/>
      </c>
      <c r="I8" s="36">
        <f>IF(A8=1,$F$21,0)</f>
        <v/>
      </c>
      <c r="J8" s="36">
        <f>$F$22*F8+$F$23*G8</f>
        <v/>
      </c>
      <c r="K8" s="36">
        <f>IF(A8=1,Budget!$C$6,0)</f>
        <v/>
      </c>
      <c r="L8" s="36">
        <f>$F$24*X8</f>
        <v/>
      </c>
      <c r="M8" s="36">
        <f>SUM(H8:L8)</f>
        <v/>
      </c>
      <c r="N8" s="36">
        <f>SUM($M$4:M8)</f>
        <v/>
      </c>
      <c r="O8" s="24">
        <f>(Funnel!$M$5+Funnel!$M$6+Funnel!$M$7-$F$27-$F$34)*D8+(Funnel!$M$8-$F$28-$F$35)*E8+($F$27+$F$28)*X8+($F$34+$F$35)*Y8</f>
        <v/>
      </c>
      <c r="P8" s="24">
        <f>(Funnel!$O$5+Funnel!$O$6+Funnel!$O$7-$F$25-$F$32)*D8+(Funnel!$O$8-$F$26-$F$33)*E8+($F$25+$F$26)*X8+($F$32+$F$33)*Y8</f>
        <v/>
      </c>
      <c r="Q8" s="24">
        <f>Assumptions!$D$9*MAX(0,MIN(C8,Funnel!$B$17)-MAX(B8,Funnel!$B$13)+1)/7</f>
        <v/>
      </c>
      <c r="R8" s="25">
        <f>IF(Q8&gt;0,P8/Q8,IF(P8&gt;0,9.99,0))</f>
        <v/>
      </c>
      <c r="S8" s="2">
        <f>IF(P8&gt;Q8+0.5,"OVER "&amp;Assumptions!$D$9&amp;"/wk – pace down",IF(R8&gt;Assumptions!$D$106,"Full",IF(AND(Q8&gt;=Assumptions!$D$107,P8&lt;Assumptions!$D$107),"Under "&amp;Assumptions!$D$107&amp;" – release reserve","")))</f>
        <v/>
      </c>
      <c r="T8" s="27">
        <f>$F$38*(F8*(Budget!$G$21+Budget!$G$22+Budget!$G$23-$F$29-$F$36)+IF(A8-ROUNDUP(Funnel!$B$15/7,0)&gt;=1,INDEX($X$4:$X$14,A8-ROUNDUP(Funnel!$B$15/7,0))*$F$29+INDEX($Y$4:$Y$14,A8-ROUNDUP(Funnel!$B$15/7,0))*$F$36,0))</f>
        <v/>
      </c>
      <c r="U8" s="27">
        <f>$F$38*(G8*(Budget!$G$24-$F$30-$F$37)+IF(A8-ROUNDUP(Funnel!$B$16/7,0)&gt;=1,INDEX($X$4:$X$14,A8-ROUNDUP(Funnel!$B$16/7,0))*$F$30+INDEX($Y$4:$Y$14,A8-ROUNDUP(Funnel!$B$16/7,0))*$F$37,0))</f>
        <v/>
      </c>
      <c r="V8" s="27">
        <f>T8+U8</f>
        <v/>
      </c>
      <c r="W8" s="27">
        <f>SUM($V$4:V8)</f>
        <v/>
      </c>
      <c r="X8" s="25">
        <f>IF(A8=1,Assumptions!$D$50,IF(A8=2,1-Assumptions!$D$50,0))</f>
        <v/>
      </c>
      <c r="Y8" s="25">
        <f>0</f>
        <v/>
      </c>
      <c r="Z8" s="25">
        <f>Assumptions!$D$59</f>
        <v/>
      </c>
    </row>
    <row r="9">
      <c r="A9" s="24" t="n">
        <v>6</v>
      </c>
      <c r="B9" s="45">
        <f>Assumptions!$D$7+7*(A9-1)</f>
        <v/>
      </c>
      <c r="C9" s="45">
        <f>MIN(B9+6,Assumptions!$D$8)</f>
        <v/>
      </c>
      <c r="D9" s="25">
        <f>IF(SUMPRODUCT(($B$4:$B$14&lt;=Funnel!$B$19)*$Z$4:$Z$14)&gt;0,IF(B9&lt;=Funnel!$B$19,Z9,0)/SUMPRODUCT(($B$4:$B$14&lt;=Funnel!$B$19)*$Z$4:$Z$14),0)</f>
        <v/>
      </c>
      <c r="E9" s="25">
        <f>IF(SUMPRODUCT(($B$4:$B$14&lt;=Funnel!$B$20)*$D$4:$D$14)&gt;0,IF(B9&lt;=Funnel!$B$20,D9,0)/SUMPRODUCT(($B$4:$B$14&lt;=Funnel!$B$20)*$D$4:$D$14),0)</f>
        <v/>
      </c>
      <c r="F9" s="25">
        <f>IF(A9-ROUNDUP(Funnel!$B$15/7,0)&gt;=1,INDEX($D$4:$D$14,A9-ROUNDUP(Funnel!$B$15/7,0)),0)</f>
        <v/>
      </c>
      <c r="G9" s="25">
        <f>IF(A9-ROUNDUP(Funnel!$B$16/7,0)&gt;=1,INDEX($E$4:$E$14,A9-ROUNDUP(Funnel!$B$16/7,0)),0)</f>
        <v/>
      </c>
      <c r="H9" s="36">
        <f>$F$19*D9+$F$20*E9+$F$31*Y9</f>
        <v/>
      </c>
      <c r="I9" s="36">
        <f>IF(A9=1,$F$21,0)</f>
        <v/>
      </c>
      <c r="J9" s="36">
        <f>$F$22*F9+$F$23*G9</f>
        <v/>
      </c>
      <c r="K9" s="36">
        <f>IF(A9=1,Budget!$C$6,0)</f>
        <v/>
      </c>
      <c r="L9" s="36">
        <f>$F$24*X9</f>
        <v/>
      </c>
      <c r="M9" s="36">
        <f>SUM(H9:L9)</f>
        <v/>
      </c>
      <c r="N9" s="36">
        <f>SUM($M$4:M9)</f>
        <v/>
      </c>
      <c r="O9" s="24">
        <f>(Funnel!$M$5+Funnel!$M$6+Funnel!$M$7-$F$27-$F$34)*D9+(Funnel!$M$8-$F$28-$F$35)*E9+($F$27+$F$28)*X9+($F$34+$F$35)*Y9</f>
        <v/>
      </c>
      <c r="P9" s="24">
        <f>(Funnel!$O$5+Funnel!$O$6+Funnel!$O$7-$F$25-$F$32)*D9+(Funnel!$O$8-$F$26-$F$33)*E9+($F$25+$F$26)*X9+($F$32+$F$33)*Y9</f>
        <v/>
      </c>
      <c r="Q9" s="24">
        <f>Assumptions!$D$9*MAX(0,MIN(C9,Funnel!$B$17)-MAX(B9,Funnel!$B$13)+1)/7</f>
        <v/>
      </c>
      <c r="R9" s="25">
        <f>IF(Q9&gt;0,P9/Q9,IF(P9&gt;0,9.99,0))</f>
        <v/>
      </c>
      <c r="S9" s="2">
        <f>IF(P9&gt;Q9+0.5,"OVER "&amp;Assumptions!$D$9&amp;"/wk – pace down",IF(R9&gt;Assumptions!$D$106,"Full",IF(AND(Q9&gt;=Assumptions!$D$107,P9&lt;Assumptions!$D$107),"Under "&amp;Assumptions!$D$107&amp;" – release reserve","")))</f>
        <v/>
      </c>
      <c r="T9" s="27">
        <f>$F$38*(F9*(Budget!$G$21+Budget!$G$22+Budget!$G$23-$F$29-$F$36)+IF(A9-ROUNDUP(Funnel!$B$15/7,0)&gt;=1,INDEX($X$4:$X$14,A9-ROUNDUP(Funnel!$B$15/7,0))*$F$29+INDEX($Y$4:$Y$14,A9-ROUNDUP(Funnel!$B$15/7,0))*$F$36,0))</f>
        <v/>
      </c>
      <c r="U9" s="27">
        <f>$F$38*(G9*(Budget!$G$24-$F$30-$F$37)+IF(A9-ROUNDUP(Funnel!$B$16/7,0)&gt;=1,INDEX($X$4:$X$14,A9-ROUNDUP(Funnel!$B$16/7,0))*$F$30+INDEX($Y$4:$Y$14,A9-ROUNDUP(Funnel!$B$16/7,0))*$F$37,0))</f>
        <v/>
      </c>
      <c r="V9" s="27">
        <f>T9+U9</f>
        <v/>
      </c>
      <c r="W9" s="27">
        <f>SUM($V$4:V9)</f>
        <v/>
      </c>
      <c r="X9" s="25">
        <f>IF(A9=1,Assumptions!$D$50,IF(A9=2,1-Assumptions!$D$50,0))</f>
        <v/>
      </c>
      <c r="Y9" s="25">
        <f>0</f>
        <v/>
      </c>
      <c r="Z9" s="25">
        <f>Assumptions!$D$60</f>
        <v/>
      </c>
    </row>
    <row r="10">
      <c r="A10" s="24" t="n">
        <v>7</v>
      </c>
      <c r="B10" s="45">
        <f>Assumptions!$D$7+7*(A10-1)</f>
        <v/>
      </c>
      <c r="C10" s="45">
        <f>MIN(B10+6,Assumptions!$D$8)</f>
        <v/>
      </c>
      <c r="D10" s="25">
        <f>IF(SUMPRODUCT(($B$4:$B$14&lt;=Funnel!$B$19)*$Z$4:$Z$14)&gt;0,IF(B10&lt;=Funnel!$B$19,Z10,0)/SUMPRODUCT(($B$4:$B$14&lt;=Funnel!$B$19)*$Z$4:$Z$14),0)</f>
        <v/>
      </c>
      <c r="E10" s="25">
        <f>IF(SUMPRODUCT(($B$4:$B$14&lt;=Funnel!$B$20)*$D$4:$D$14)&gt;0,IF(B10&lt;=Funnel!$B$20,D10,0)/SUMPRODUCT(($B$4:$B$14&lt;=Funnel!$B$20)*$D$4:$D$14),0)</f>
        <v/>
      </c>
      <c r="F10" s="25">
        <f>IF(A10-ROUNDUP(Funnel!$B$15/7,0)&gt;=1,INDEX($D$4:$D$14,A10-ROUNDUP(Funnel!$B$15/7,0)),0)</f>
        <v/>
      </c>
      <c r="G10" s="25">
        <f>IF(A10-ROUNDUP(Funnel!$B$16/7,0)&gt;=1,INDEX($E$4:$E$14,A10-ROUNDUP(Funnel!$B$16/7,0)),0)</f>
        <v/>
      </c>
      <c r="H10" s="36">
        <f>$F$19*D10+$F$20*E10+$F$31*Y10</f>
        <v/>
      </c>
      <c r="I10" s="36">
        <f>IF(A10=1,$F$21,0)</f>
        <v/>
      </c>
      <c r="J10" s="36">
        <f>$F$22*F10+$F$23*G10</f>
        <v/>
      </c>
      <c r="K10" s="36">
        <f>IF(A10=1,Budget!$C$6,0)</f>
        <v/>
      </c>
      <c r="L10" s="36">
        <f>$F$24*X10</f>
        <v/>
      </c>
      <c r="M10" s="36">
        <f>SUM(H10:L10)</f>
        <v/>
      </c>
      <c r="N10" s="36">
        <f>SUM($M$4:M10)</f>
        <v/>
      </c>
      <c r="O10" s="24">
        <f>(Funnel!$M$5+Funnel!$M$6+Funnel!$M$7-$F$27-$F$34)*D10+(Funnel!$M$8-$F$28-$F$35)*E10+($F$27+$F$28)*X10+($F$34+$F$35)*Y10</f>
        <v/>
      </c>
      <c r="P10" s="24">
        <f>(Funnel!$O$5+Funnel!$O$6+Funnel!$O$7-$F$25-$F$32)*D10+(Funnel!$O$8-$F$26-$F$33)*E10+($F$25+$F$26)*X10+($F$32+$F$33)*Y10</f>
        <v/>
      </c>
      <c r="Q10" s="24">
        <f>Assumptions!$D$9*MAX(0,MIN(C10,Funnel!$B$17)-MAX(B10,Funnel!$B$13)+1)/7</f>
        <v/>
      </c>
      <c r="R10" s="25">
        <f>IF(Q10&gt;0,P10/Q10,IF(P10&gt;0,9.99,0))</f>
        <v/>
      </c>
      <c r="S10" s="2">
        <f>IF(P10&gt;Q10+0.5,"OVER "&amp;Assumptions!$D$9&amp;"/wk – pace down",IF(R10&gt;Assumptions!$D$106,"Full",IF(AND(Q10&gt;=Assumptions!$D$107,P10&lt;Assumptions!$D$107),"Under "&amp;Assumptions!$D$107&amp;" – release reserve","")))</f>
        <v/>
      </c>
      <c r="T10" s="27">
        <f>$F$38*(F10*(Budget!$G$21+Budget!$G$22+Budget!$G$23-$F$29-$F$36)+IF(A10-ROUNDUP(Funnel!$B$15/7,0)&gt;=1,INDEX($X$4:$X$14,A10-ROUNDUP(Funnel!$B$15/7,0))*$F$29+INDEX($Y$4:$Y$14,A10-ROUNDUP(Funnel!$B$15/7,0))*$F$36,0))</f>
        <v/>
      </c>
      <c r="U10" s="27">
        <f>$F$38*(G10*(Budget!$G$24-$F$30-$F$37)+IF(A10-ROUNDUP(Funnel!$B$16/7,0)&gt;=1,INDEX($X$4:$X$14,A10-ROUNDUP(Funnel!$B$16/7,0))*$F$30+INDEX($Y$4:$Y$14,A10-ROUNDUP(Funnel!$B$16/7,0))*$F$37,0))</f>
        <v/>
      </c>
      <c r="V10" s="27">
        <f>T10+U10</f>
        <v/>
      </c>
      <c r="W10" s="27">
        <f>SUM($V$4:V10)</f>
        <v/>
      </c>
      <c r="X10" s="25">
        <f>IF(A10=1,Assumptions!$D$50,IF(A10=2,1-Assumptions!$D$50,0))</f>
        <v/>
      </c>
      <c r="Y10" s="25">
        <f>0</f>
        <v/>
      </c>
      <c r="Z10" s="25">
        <f>Assumptions!$D$61</f>
        <v/>
      </c>
    </row>
    <row r="11">
      <c r="A11" s="24" t="n">
        <v>8</v>
      </c>
      <c r="B11" s="45">
        <f>Assumptions!$D$7+7*(A11-1)</f>
        <v/>
      </c>
      <c r="C11" s="45">
        <f>MIN(B11+6,Assumptions!$D$8)</f>
        <v/>
      </c>
      <c r="D11" s="25">
        <f>IF(SUMPRODUCT(($B$4:$B$14&lt;=Funnel!$B$19)*$Z$4:$Z$14)&gt;0,IF(B11&lt;=Funnel!$B$19,Z11,0)/SUMPRODUCT(($B$4:$B$14&lt;=Funnel!$B$19)*$Z$4:$Z$14),0)</f>
        <v/>
      </c>
      <c r="E11" s="25">
        <f>IF(SUMPRODUCT(($B$4:$B$14&lt;=Funnel!$B$20)*$D$4:$D$14)&gt;0,IF(B11&lt;=Funnel!$B$20,D11,0)/SUMPRODUCT(($B$4:$B$14&lt;=Funnel!$B$20)*$D$4:$D$14),0)</f>
        <v/>
      </c>
      <c r="F11" s="25">
        <f>IF(A11-ROUNDUP(Funnel!$B$15/7,0)&gt;=1,INDEX($D$4:$D$14,A11-ROUNDUP(Funnel!$B$15/7,0)),0)</f>
        <v/>
      </c>
      <c r="G11" s="25">
        <f>IF(A11-ROUNDUP(Funnel!$B$16/7,0)&gt;=1,INDEX($E$4:$E$14,A11-ROUNDUP(Funnel!$B$16/7,0)),0)</f>
        <v/>
      </c>
      <c r="H11" s="36">
        <f>$F$19*D11+$F$20*E11+$F$31*Y11</f>
        <v/>
      </c>
      <c r="I11" s="36">
        <f>IF(A11=1,$F$21,0)</f>
        <v/>
      </c>
      <c r="J11" s="36">
        <f>$F$22*F11+$F$23*G11</f>
        <v/>
      </c>
      <c r="K11" s="36">
        <f>IF(A11=1,Budget!$C$6,0)</f>
        <v/>
      </c>
      <c r="L11" s="36">
        <f>$F$24*X11</f>
        <v/>
      </c>
      <c r="M11" s="36">
        <f>SUM(H11:L11)</f>
        <v/>
      </c>
      <c r="N11" s="36">
        <f>SUM($M$4:M11)</f>
        <v/>
      </c>
      <c r="O11" s="24">
        <f>(Funnel!$M$5+Funnel!$M$6+Funnel!$M$7-$F$27-$F$34)*D11+(Funnel!$M$8-$F$28-$F$35)*E11+($F$27+$F$28)*X11+($F$34+$F$35)*Y11</f>
        <v/>
      </c>
      <c r="P11" s="24">
        <f>(Funnel!$O$5+Funnel!$O$6+Funnel!$O$7-$F$25-$F$32)*D11+(Funnel!$O$8-$F$26-$F$33)*E11+($F$25+$F$26)*X11+($F$32+$F$33)*Y11</f>
        <v/>
      </c>
      <c r="Q11" s="24">
        <f>Assumptions!$D$9*MAX(0,MIN(C11,Funnel!$B$17)-MAX(B11,Funnel!$B$13)+1)/7</f>
        <v/>
      </c>
      <c r="R11" s="25">
        <f>IF(Q11&gt;0,P11/Q11,IF(P11&gt;0,9.99,0))</f>
        <v/>
      </c>
      <c r="S11" s="2">
        <f>IF(P11&gt;Q11+0.5,"OVER "&amp;Assumptions!$D$9&amp;"/wk – pace down",IF(R11&gt;Assumptions!$D$106,"Full",IF(AND(Q11&gt;=Assumptions!$D$107,P11&lt;Assumptions!$D$107),"Under "&amp;Assumptions!$D$107&amp;" – release reserve","")))</f>
        <v/>
      </c>
      <c r="T11" s="27">
        <f>$F$38*(F11*(Budget!$G$21+Budget!$G$22+Budget!$G$23-$F$29-$F$36)+IF(A11-ROUNDUP(Funnel!$B$15/7,0)&gt;=1,INDEX($X$4:$X$14,A11-ROUNDUP(Funnel!$B$15/7,0))*$F$29+INDEX($Y$4:$Y$14,A11-ROUNDUP(Funnel!$B$15/7,0))*$F$36,0))</f>
        <v/>
      </c>
      <c r="U11" s="27">
        <f>$F$38*(G11*(Budget!$G$24-$F$30-$F$37)+IF(A11-ROUNDUP(Funnel!$B$16/7,0)&gt;=1,INDEX($X$4:$X$14,A11-ROUNDUP(Funnel!$B$16/7,0))*$F$30+INDEX($Y$4:$Y$14,A11-ROUNDUP(Funnel!$B$16/7,0))*$F$37,0))</f>
        <v/>
      </c>
      <c r="V11" s="27">
        <f>T11+U11</f>
        <v/>
      </c>
      <c r="W11" s="27">
        <f>SUM($V$4:V11)</f>
        <v/>
      </c>
      <c r="X11" s="25">
        <f>IF(A11=1,Assumptions!$D$50,IF(A11=2,1-Assumptions!$D$50,0))</f>
        <v/>
      </c>
      <c r="Y11" s="25">
        <f>0</f>
        <v/>
      </c>
      <c r="Z11" s="25">
        <f>Assumptions!$D$62</f>
        <v/>
      </c>
    </row>
    <row r="12">
      <c r="A12" s="24" t="n">
        <v>9</v>
      </c>
      <c r="B12" s="45">
        <f>Assumptions!$D$7+7*(A12-1)</f>
        <v/>
      </c>
      <c r="C12" s="45">
        <f>MIN(B12+6,Assumptions!$D$8)</f>
        <v/>
      </c>
      <c r="D12" s="25">
        <f>IF(SUMPRODUCT(($B$4:$B$14&lt;=Funnel!$B$19)*$Z$4:$Z$14)&gt;0,IF(B12&lt;=Funnel!$B$19,Z12,0)/SUMPRODUCT(($B$4:$B$14&lt;=Funnel!$B$19)*$Z$4:$Z$14),0)</f>
        <v/>
      </c>
      <c r="E12" s="25">
        <f>IF(SUMPRODUCT(($B$4:$B$14&lt;=Funnel!$B$20)*$D$4:$D$14)&gt;0,IF(B12&lt;=Funnel!$B$20,D12,0)/SUMPRODUCT(($B$4:$B$14&lt;=Funnel!$B$20)*$D$4:$D$14),0)</f>
        <v/>
      </c>
      <c r="F12" s="25">
        <f>IF(A12-ROUNDUP(Funnel!$B$15/7,0)&gt;=1,INDEX($D$4:$D$14,A12-ROUNDUP(Funnel!$B$15/7,0)),0)</f>
        <v/>
      </c>
      <c r="G12" s="25">
        <f>IF(A12-ROUNDUP(Funnel!$B$16/7,0)&gt;=1,INDEX($E$4:$E$14,A12-ROUNDUP(Funnel!$B$16/7,0)),0)</f>
        <v/>
      </c>
      <c r="H12" s="36">
        <f>$F$19*D12+$F$20*E12+$F$31*Y12</f>
        <v/>
      </c>
      <c r="I12" s="36">
        <f>IF(A12=1,$F$21,0)</f>
        <v/>
      </c>
      <c r="J12" s="36">
        <f>$F$22*F12+$F$23*G12</f>
        <v/>
      </c>
      <c r="K12" s="36">
        <f>IF(A12=1,Budget!$C$6,0)</f>
        <v/>
      </c>
      <c r="L12" s="36">
        <f>$F$24*X12</f>
        <v/>
      </c>
      <c r="M12" s="36">
        <f>SUM(H12:L12)</f>
        <v/>
      </c>
      <c r="N12" s="36">
        <f>SUM($M$4:M12)</f>
        <v/>
      </c>
      <c r="O12" s="24">
        <f>(Funnel!$M$5+Funnel!$M$6+Funnel!$M$7-$F$27-$F$34)*D12+(Funnel!$M$8-$F$28-$F$35)*E12+($F$27+$F$28)*X12+($F$34+$F$35)*Y12</f>
        <v/>
      </c>
      <c r="P12" s="24">
        <f>(Funnel!$O$5+Funnel!$O$6+Funnel!$O$7-$F$25-$F$32)*D12+(Funnel!$O$8-$F$26-$F$33)*E12+($F$25+$F$26)*X12+($F$32+$F$33)*Y12</f>
        <v/>
      </c>
      <c r="Q12" s="24">
        <f>Assumptions!$D$9*MAX(0,MIN(C12,Funnel!$B$17)-MAX(B12,Funnel!$B$13)+1)/7</f>
        <v/>
      </c>
      <c r="R12" s="25">
        <f>IF(Q12&gt;0,P12/Q12,IF(P12&gt;0,9.99,0))</f>
        <v/>
      </c>
      <c r="S12" s="2">
        <f>IF(P12&gt;Q12+0.5,"OVER "&amp;Assumptions!$D$9&amp;"/wk – pace down",IF(R12&gt;Assumptions!$D$106,"Full",IF(AND(Q12&gt;=Assumptions!$D$107,P12&lt;Assumptions!$D$107),"Under "&amp;Assumptions!$D$107&amp;" – release reserve","")))</f>
        <v/>
      </c>
      <c r="T12" s="27">
        <f>$F$38*(F12*(Budget!$G$21+Budget!$G$22+Budget!$G$23-$F$29-$F$36)+IF(A12-ROUNDUP(Funnel!$B$15/7,0)&gt;=1,INDEX($X$4:$X$14,A12-ROUNDUP(Funnel!$B$15/7,0))*$F$29+INDEX($Y$4:$Y$14,A12-ROUNDUP(Funnel!$B$15/7,0))*$F$36,0))</f>
        <v/>
      </c>
      <c r="U12" s="27">
        <f>$F$38*(G12*(Budget!$G$24-$F$30-$F$37)+IF(A12-ROUNDUP(Funnel!$B$16/7,0)&gt;=1,INDEX($X$4:$X$14,A12-ROUNDUP(Funnel!$B$16/7,0))*$F$30+INDEX($Y$4:$Y$14,A12-ROUNDUP(Funnel!$B$16/7,0))*$F$37,0))</f>
        <v/>
      </c>
      <c r="V12" s="27">
        <f>T12+U12</f>
        <v/>
      </c>
      <c r="W12" s="27">
        <f>SUM($V$4:V12)</f>
        <v/>
      </c>
      <c r="X12" s="25">
        <f>IF(A12=1,Assumptions!$D$50,IF(A12=2,1-Assumptions!$D$50,0))</f>
        <v/>
      </c>
      <c r="Y12" s="25">
        <f>0</f>
        <v/>
      </c>
      <c r="Z12" s="25">
        <f>Assumptions!$D$63</f>
        <v/>
      </c>
    </row>
    <row r="13">
      <c r="A13" s="24" t="n">
        <v>10</v>
      </c>
      <c r="B13" s="45">
        <f>Assumptions!$D$7+7*(A13-1)</f>
        <v/>
      </c>
      <c r="C13" s="45">
        <f>MIN(B13+6,Assumptions!$D$8)</f>
        <v/>
      </c>
      <c r="D13" s="25">
        <f>IF(SUMPRODUCT(($B$4:$B$14&lt;=Funnel!$B$19)*$Z$4:$Z$14)&gt;0,IF(B13&lt;=Funnel!$B$19,Z13,0)/SUMPRODUCT(($B$4:$B$14&lt;=Funnel!$B$19)*$Z$4:$Z$14),0)</f>
        <v/>
      </c>
      <c r="E13" s="25">
        <f>IF(SUMPRODUCT(($B$4:$B$14&lt;=Funnel!$B$20)*$D$4:$D$14)&gt;0,IF(B13&lt;=Funnel!$B$20,D13,0)/SUMPRODUCT(($B$4:$B$14&lt;=Funnel!$B$20)*$D$4:$D$14),0)</f>
        <v/>
      </c>
      <c r="F13" s="25">
        <f>IF(A13-ROUNDUP(Funnel!$B$15/7,0)&gt;=1,INDEX($D$4:$D$14,A13-ROUNDUP(Funnel!$B$15/7,0)),0)</f>
        <v/>
      </c>
      <c r="G13" s="25">
        <f>IF(A13-ROUNDUP(Funnel!$B$16/7,0)&gt;=1,INDEX($E$4:$E$14,A13-ROUNDUP(Funnel!$B$16/7,0)),0)</f>
        <v/>
      </c>
      <c r="H13" s="36">
        <f>$F$19*D13+$F$20*E13+$F$31*Y13</f>
        <v/>
      </c>
      <c r="I13" s="36">
        <f>IF(A13=1,$F$21,0)</f>
        <v/>
      </c>
      <c r="J13" s="36">
        <f>$F$22*F13+$F$23*G13</f>
        <v/>
      </c>
      <c r="K13" s="36">
        <f>IF(A13=1,Budget!$C$6,0)</f>
        <v/>
      </c>
      <c r="L13" s="36">
        <f>$F$24*X13</f>
        <v/>
      </c>
      <c r="M13" s="36">
        <f>SUM(H13:L13)</f>
        <v/>
      </c>
      <c r="N13" s="36">
        <f>SUM($M$4:M13)</f>
        <v/>
      </c>
      <c r="O13" s="24">
        <f>(Funnel!$M$5+Funnel!$M$6+Funnel!$M$7-$F$27-$F$34)*D13+(Funnel!$M$8-$F$28-$F$35)*E13+($F$27+$F$28)*X13+($F$34+$F$35)*Y13</f>
        <v/>
      </c>
      <c r="P13" s="24">
        <f>(Funnel!$O$5+Funnel!$O$6+Funnel!$O$7-$F$25-$F$32)*D13+(Funnel!$O$8-$F$26-$F$33)*E13+($F$25+$F$26)*X13+($F$32+$F$33)*Y13</f>
        <v/>
      </c>
      <c r="Q13" s="24">
        <f>Assumptions!$D$9*MAX(0,MIN(C13,Funnel!$B$17)-MAX(B13,Funnel!$B$13)+1)/7</f>
        <v/>
      </c>
      <c r="R13" s="25">
        <f>IF(Q13&gt;0,P13/Q13,IF(P13&gt;0,9.99,0))</f>
        <v/>
      </c>
      <c r="S13" s="2">
        <f>IF(P13&gt;Q13+0.5,"OVER "&amp;Assumptions!$D$9&amp;"/wk – pace down",IF(R13&gt;Assumptions!$D$106,"Full",IF(AND(Q13&gt;=Assumptions!$D$107,P13&lt;Assumptions!$D$107),"Under "&amp;Assumptions!$D$107&amp;" – release reserve","")))</f>
        <v/>
      </c>
      <c r="T13" s="27">
        <f>$F$38*(F13*(Budget!$G$21+Budget!$G$22+Budget!$G$23-$F$29-$F$36)+IF(A13-ROUNDUP(Funnel!$B$15/7,0)&gt;=1,INDEX($X$4:$X$14,A13-ROUNDUP(Funnel!$B$15/7,0))*$F$29+INDEX($Y$4:$Y$14,A13-ROUNDUP(Funnel!$B$15/7,0))*$F$36,0))</f>
        <v/>
      </c>
      <c r="U13" s="27">
        <f>$F$38*(G13*(Budget!$G$24-$F$30-$F$37)+IF(A13-ROUNDUP(Funnel!$B$16/7,0)&gt;=1,INDEX($X$4:$X$14,A13-ROUNDUP(Funnel!$B$16/7,0))*$F$30+INDEX($Y$4:$Y$14,A13-ROUNDUP(Funnel!$B$16/7,0))*$F$37,0))</f>
        <v/>
      </c>
      <c r="V13" s="27">
        <f>T13+U13</f>
        <v/>
      </c>
      <c r="W13" s="27">
        <f>SUM($V$4:V13)</f>
        <v/>
      </c>
      <c r="X13" s="25">
        <f>IF(A13=1,Assumptions!$D$50,IF(A13=2,1-Assumptions!$D$50,0))</f>
        <v/>
      </c>
      <c r="Y13" s="25">
        <f>0</f>
        <v/>
      </c>
      <c r="Z13" s="25">
        <f>Assumptions!$D$64</f>
        <v/>
      </c>
    </row>
    <row r="14">
      <c r="A14" s="24" t="n">
        <v>11</v>
      </c>
      <c r="B14" s="45">
        <f>Assumptions!$D$7+7*(A14-1)</f>
        <v/>
      </c>
      <c r="C14" s="45">
        <f>MIN(B14+6,Assumptions!$D$8)</f>
        <v/>
      </c>
      <c r="D14" s="25">
        <f>IF(SUMPRODUCT(($B$4:$B$14&lt;=Funnel!$B$19)*$Z$4:$Z$14)&gt;0,IF(B14&lt;=Funnel!$B$19,Z14,0)/SUMPRODUCT(($B$4:$B$14&lt;=Funnel!$B$19)*$Z$4:$Z$14),0)</f>
        <v/>
      </c>
      <c r="E14" s="25">
        <f>IF(SUMPRODUCT(($B$4:$B$14&lt;=Funnel!$B$20)*$D$4:$D$14)&gt;0,IF(B14&lt;=Funnel!$B$20,D14,0)/SUMPRODUCT(($B$4:$B$14&lt;=Funnel!$B$20)*$D$4:$D$14),0)</f>
        <v/>
      </c>
      <c r="F14" s="25">
        <f>IF(A14-ROUNDUP(Funnel!$B$15/7,0)&gt;=1,INDEX($D$4:$D$14,A14-ROUNDUP(Funnel!$B$15/7,0)),0)</f>
        <v/>
      </c>
      <c r="G14" s="25">
        <f>IF(A14-ROUNDUP(Funnel!$B$16/7,0)&gt;=1,INDEX($E$4:$E$14,A14-ROUNDUP(Funnel!$B$16/7,0)),0)</f>
        <v/>
      </c>
      <c r="H14" s="36">
        <f>$F$19*D14+$F$20*E14+$F$31*Y14</f>
        <v/>
      </c>
      <c r="I14" s="36">
        <f>IF(A14=1,$F$21,0)</f>
        <v/>
      </c>
      <c r="J14" s="36">
        <f>$F$22*F14+$F$23*G14</f>
        <v/>
      </c>
      <c r="K14" s="36">
        <f>IF(A14=1,Budget!$C$6,0)</f>
        <v/>
      </c>
      <c r="L14" s="36">
        <f>$F$24*X14</f>
        <v/>
      </c>
      <c r="M14" s="36">
        <f>SUM(H14:L14)</f>
        <v/>
      </c>
      <c r="N14" s="36">
        <f>SUM($M$4:M14)</f>
        <v/>
      </c>
      <c r="O14" s="24">
        <f>(Funnel!$M$5+Funnel!$M$6+Funnel!$M$7-$F$27-$F$34)*D14+(Funnel!$M$8-$F$28-$F$35)*E14+($F$27+$F$28)*X14+($F$34+$F$35)*Y14</f>
        <v/>
      </c>
      <c r="P14" s="24">
        <f>(Funnel!$O$5+Funnel!$O$6+Funnel!$O$7-$F$25-$F$32)*D14+(Funnel!$O$8-$F$26-$F$33)*E14+($F$25+$F$26)*X14+($F$32+$F$33)*Y14</f>
        <v/>
      </c>
      <c r="Q14" s="24">
        <f>Assumptions!$D$9*MAX(0,MIN(C14,Funnel!$B$17)-MAX(B14,Funnel!$B$13)+1)/7</f>
        <v/>
      </c>
      <c r="R14" s="25">
        <f>IF(Q14&gt;0,P14/Q14,IF(P14&gt;0,9.99,0))</f>
        <v/>
      </c>
      <c r="S14" s="2">
        <f>IF(P14&gt;Q14+0.5,"OVER "&amp;Assumptions!$D$9&amp;"/wk – pace down",IF(R14&gt;Assumptions!$D$106,"Full",IF(AND(Q14&gt;=Assumptions!$D$107,P14&lt;Assumptions!$D$107),"Under "&amp;Assumptions!$D$107&amp;" – release reserve","")))</f>
        <v/>
      </c>
      <c r="T14" s="27">
        <f>$F$38*(F14*(Budget!$G$21+Budget!$G$22+Budget!$G$23-$F$29-$F$36)+IF(A14-ROUNDUP(Funnel!$B$15/7,0)&gt;=1,INDEX($X$4:$X$14,A14-ROUNDUP(Funnel!$B$15/7,0))*$F$29+INDEX($Y$4:$Y$14,A14-ROUNDUP(Funnel!$B$15/7,0))*$F$36,0))</f>
        <v/>
      </c>
      <c r="U14" s="27">
        <f>$F$38*(G14*(Budget!$G$24-$F$30-$F$37)+IF(A14-ROUNDUP(Funnel!$B$16/7,0)&gt;=1,INDEX($X$4:$X$14,A14-ROUNDUP(Funnel!$B$16/7,0))*$F$30+INDEX($Y$4:$Y$14,A14-ROUNDUP(Funnel!$B$16/7,0))*$F$37,0))</f>
        <v/>
      </c>
      <c r="V14" s="27">
        <f>T14+U14</f>
        <v/>
      </c>
      <c r="W14" s="27">
        <f>SUM($V$4:V14)</f>
        <v/>
      </c>
      <c r="X14" s="25">
        <f>IF(A14=1,Assumptions!$D$50,IF(A14=2,1-Assumptions!$D$50,0))</f>
        <v/>
      </c>
      <c r="Y14" s="25">
        <f>0</f>
        <v/>
      </c>
      <c r="Z14" s="25">
        <f>Assumptions!$D$65</f>
        <v/>
      </c>
    </row>
    <row r="15">
      <c r="A15" s="23" t="inlineStr">
        <is>
          <t>Total</t>
        </is>
      </c>
      <c r="D15" s="46">
        <f>SUM(D4:D14)</f>
        <v/>
      </c>
      <c r="E15" s="46">
        <f>SUM(E4:E14)</f>
        <v/>
      </c>
      <c r="F15" s="46">
        <f>SUM(F4:F14)</f>
        <v/>
      </c>
      <c r="G15" s="46">
        <f>SUM(G4:G14)</f>
        <v/>
      </c>
      <c r="H15" s="37">
        <f>SUM(H4:H14)</f>
        <v/>
      </c>
      <c r="I15" s="37">
        <f>SUM(I4:I14)</f>
        <v/>
      </c>
      <c r="J15" s="37">
        <f>SUM(J4:J14)</f>
        <v/>
      </c>
      <c r="K15" s="37">
        <f>SUM(K4:K14)</f>
        <v/>
      </c>
      <c r="L15" s="37">
        <f>SUM(L4:L14)</f>
        <v/>
      </c>
      <c r="M15" s="37">
        <f>SUM(M4:M14)</f>
        <v/>
      </c>
      <c r="O15" s="30">
        <f>SUM(O4:O14)</f>
        <v/>
      </c>
      <c r="P15" s="30">
        <f>SUM(P4:P14)</f>
        <v/>
      </c>
      <c r="Q15" s="30">
        <f>SUM(Q4:Q14)</f>
        <v/>
      </c>
      <c r="S15" s="2">
        <f>IF(LEFT(Summary!$C$19,1)&lt;&gt;"✓",Summary!$C$19,IF(Assumptions!$D$48&gt;=1,"✗ reserve share must be below 100%",IF(Funnel!B19&lt;Assumptions!$D$7,"✗ no application can sign by the deadline (Funnel B19 is before the campaign starts)",IF(AND(Budget!G24&gt;0,Funnel!B20&lt;Assumptions!$D$7),"✗ supervisors cannot apply in time (Funnel B20 is before the campaign starts)",IF(Funnel!B13&gt;Funnel!B17,"✗ assessments start (Funnel B13) after the last useful assessment day (Funnel B17): no hire can sign in time",IF(SUMPRODUCT(($B$4:$B$14&lt;=Funnel!$B$19)*$Z$4:$Z$14)&lt;=0.0001,"✗ no spend share falls before the last useful application (Funnel B19): move shares into the early weeks",IF(OR(ABS(Z15-1)&gt;0.001,ABS(Y15-1)&gt;0.001),"✗ shares must sum to 100%",IF(AND(F20&gt;0,ABS(E15-1)&gt;0.001),"✗ no spend share falls before the supervisor cut-off (Funnel B20): move weekly shares into weeks 1–5",IF(ABS(M15-Budget!C9)&gt;1,"✗ weeks ≠ planned spend",IF(ABS(P15-Funnel!O9)&gt;0.5,"✗ qualified ≠ plan",IF(ABS(V15-Budget!C13)&gt;0.5,"✗ signatures ≠ expected hires","✓ ties to plan"&amp;IF(SUMPRODUCT(($B$4:$B$14&gt;Funnel!$B$19)*$Z$4:$Z$14)&gt;0.0001," · ℹ "&amp;TEXT(SUMPRODUCT(($B$4:$B$14&gt;Funnel!$B$19)*$Z$4:$Z$14),"0%")&amp;" of the weekly input shares (col Z) fall after the last useful application and are re-spread over earlier weeks (col D)",""))))))))))))</f>
        <v/>
      </c>
      <c r="T15" s="30">
        <f>SUM(T4:T14)</f>
        <v/>
      </c>
      <c r="U15" s="30">
        <f>SUM(U4:U14)</f>
        <v/>
      </c>
      <c r="V15" s="30">
        <f>SUM(V4:V14)</f>
        <v/>
      </c>
      <c r="X15" s="46">
        <f>SUM(X4:X14)</f>
        <v/>
      </c>
      <c r="Y15" s="30">
        <f>SUM(Y4:Y14)</f>
        <v/>
      </c>
      <c r="Z15" s="30">
        <f>SUM(Z4:Z14)</f>
        <v/>
      </c>
    </row>
    <row r="16" ht="30" customHeight="1">
      <c r="A16" s="9" t="inlineStr">
        <is>
          <t>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is>
      </c>
    </row>
    <row r="17"/>
    <row r="18">
      <c r="A18" s="23" t="inlineStr">
        <is>
          <t>Helper totals</t>
        </is>
      </c>
    </row>
    <row r="19">
      <c r="B19" s="2" t="inlineStr">
        <is>
          <t>Spreadable media E/M/A (after tests, excl. rediscovery)</t>
        </is>
      </c>
      <c r="F19" s="36">
        <f>SUMIFS(Channels!$X$5:$X$34,Channels!$C$5:$C$34,"&lt;&gt;Supervisors",Channels!$E$5:$E$34,"&lt;&gt;Slot",Channels!$B$5:$B$34,"&lt;&gt;I1b Employee referral sprint (bonus on hire)",Channels!$B$5:$B$34,"&lt;&gt;I1a Talent rediscovery (past applicants in ATS)")-SUMIFS(Channels!$Z$5:$Z$34,Channels!$C$5:$C$34,"&lt;&gt;Supervisors")</f>
        <v/>
      </c>
    </row>
    <row r="20">
      <c r="B20" s="2" t="inlineStr">
        <is>
          <t>Spreadable media Supervisors (after tests, excl. rediscovery)</t>
        </is>
      </c>
      <c r="F20" s="36">
        <f>SUMIFS(Channels!$X$5:$X$34,Channels!$C$5:$C$34,"Supervisors",Channels!$E$5:$E$34,"&lt;&gt;Slot",Channels!$B$5:$B$34,"&lt;&gt;I1b Employee referral sprint (bonus on hire)",Channels!$B$5:$B$34,"&lt;&gt;I1a Talent rediscovery (past applicants in ATS)")-SUMIFS(Channels!$Z$5:$Z$34,Channels!$C$5:$C$34,"Supervisors")</f>
        <v/>
      </c>
    </row>
    <row r="21">
      <c r="B21" s="2" t="inlineStr">
        <is>
          <t>StepStone ads (all roles)</t>
        </is>
      </c>
      <c r="F21" s="36">
        <f>SUMIFS(Channels!$X$5:$X$34,Channels!$E$5:$E$34,"Slot")</f>
        <v/>
      </c>
    </row>
    <row r="22">
      <c r="B22" s="2" t="inlineStr">
        <is>
          <t>Referral bonuses E/M/A</t>
        </is>
      </c>
      <c r="F22" s="36">
        <f>SUMIFS(Channels!$X$5:$X$34,Channels!$B$5:$B$34,"I1b Employee referral sprint (bonus on hire)",Channels!$C$5:$C$34,"&lt;&gt;Supervisors")</f>
        <v/>
      </c>
    </row>
    <row r="23">
      <c r="B23" s="2" t="inlineStr">
        <is>
          <t>Referral bonuses Supervisors</t>
        </is>
      </c>
      <c r="F23" s="36">
        <f>SUMIFS(Channels!$X$5:$X$34,Channels!$B$5:$B$34,"I1b Employee referral sprint (bonus on hire)",Channels!$C$5:$C$34,"Supervisors")</f>
        <v/>
      </c>
    </row>
    <row r="24">
      <c r="B24" s="2" t="inlineStr">
        <is>
          <t>Test tranches (all roles)</t>
        </is>
      </c>
      <c r="F24" s="36">
        <f>SUM(Channels!$Z$5:$Z$34)</f>
        <v/>
      </c>
    </row>
    <row r="25">
      <c r="B25" s="2" t="inlineStr">
        <is>
          <t>Test qualified E/M/A</t>
        </is>
      </c>
      <c r="F25" s="27">
        <f>SUMIFS(Channels!$AF$5:$AF$34,Channels!$C$5:$C$34,"&lt;&gt;Supervisors")</f>
        <v/>
      </c>
    </row>
    <row r="26">
      <c r="B26" s="2" t="inlineStr">
        <is>
          <t>Test qualified Supervisors</t>
        </is>
      </c>
      <c r="F26" s="27">
        <f>SUMIFS(Channels!$AF$5:$AF$34,Channels!$C$5:$C$34,"Supervisors")</f>
        <v/>
      </c>
    </row>
    <row r="27">
      <c r="B27" s="2" t="inlineStr">
        <is>
          <t>Test applications E/M/A</t>
        </is>
      </c>
      <c r="F27" s="27">
        <f>SUMIFS(Channels!$AE$5:$AE$34,Channels!$C$5:$C$34,"&lt;&gt;Supervisors")</f>
        <v/>
      </c>
    </row>
    <row r="28">
      <c r="B28" s="2" t="inlineStr">
        <is>
          <t>Test applications Supervisors</t>
        </is>
      </c>
      <c r="F28" s="27">
        <f>SUMIFS(Channels!$AE$5:$AE$34,Channels!$C$5:$C$34,"Supervisors")</f>
        <v/>
      </c>
    </row>
    <row r="29">
      <c r="B29" s="2" t="inlineStr">
        <is>
          <t>Test hires E/M/A</t>
        </is>
      </c>
      <c r="F29" s="27">
        <f>SUMIFS(Channels!$AG$5:$AG$34,Channels!$C$5:$C$34,"&lt;&gt;Supervisors")</f>
        <v/>
      </c>
    </row>
    <row r="30">
      <c r="B30" s="2" t="inlineStr">
        <is>
          <t>Test hires Supervisors</t>
        </is>
      </c>
      <c r="F30" s="27">
        <f>SUMIFS(Channels!$AG$5:$AG$34,Channels!$C$5:$C$34,"Supervisors")</f>
        <v/>
      </c>
    </row>
    <row r="31">
      <c r="B31" s="2" t="inlineStr">
        <is>
          <t>Rediscovery spend (all roles)</t>
        </is>
      </c>
      <c r="F31" s="36">
        <f>SUMIFS(Channels!$X$5:$X$34,Channels!$B$5:$B$34,"I1a Talent rediscovery (past applicants in ATS)")</f>
        <v/>
      </c>
    </row>
    <row r="32">
      <c r="B32" s="2" t="inlineStr">
        <is>
          <t>Rediscovery qualified E/M/A</t>
        </is>
      </c>
      <c r="F32" s="27">
        <f>SUMIFS(Channels!$V$5:$V$34,Channels!$B$5:$B$34,"I1a Talent rediscovery (past applicants in ATS)",Channels!$C$5:$C$34,"&lt;&gt;Supervisors")</f>
        <v/>
      </c>
    </row>
    <row r="33">
      <c r="B33" s="2" t="inlineStr">
        <is>
          <t>Rediscovery qualified Supervisors</t>
        </is>
      </c>
      <c r="F33" s="27">
        <f>SUMIFS(Channels!$V$5:$V$34,Channels!$B$5:$B$34,"I1a Talent rediscovery (past applicants in ATS)",Channels!$C$5:$C$34,"Supervisors")</f>
        <v/>
      </c>
    </row>
    <row r="34">
      <c r="B34" s="2" t="inlineStr">
        <is>
          <t>Rediscovery applications E/M/A</t>
        </is>
      </c>
      <c r="F34" s="27">
        <f>SUMIFS(Channels!$W$5:$W$34,Channels!$B$5:$B$34,"I1a Talent rediscovery (past applicants in ATS)",Channels!$C$5:$C$34,"&lt;&gt;Supervisors")</f>
        <v/>
      </c>
    </row>
    <row r="35">
      <c r="B35" s="2" t="inlineStr">
        <is>
          <t>Rediscovery applications Supervisors</t>
        </is>
      </c>
      <c r="F35" s="27">
        <f>SUMIFS(Channels!$W$5:$W$34,Channels!$B$5:$B$34,"I1a Talent rediscovery (past applicants in ATS)",Channels!$C$5:$C$34,"Supervisors")</f>
        <v/>
      </c>
    </row>
    <row r="36">
      <c r="B36" s="2" t="inlineStr">
        <is>
          <t>Rediscovery hires E/M/A</t>
        </is>
      </c>
      <c r="F36" s="27">
        <f>SUMIFS(Channels!$U$5:$U$34,Channels!$B$5:$B$34,"I1a Talent rediscovery (past applicants in ATS)",Channels!$C$5:$C$34,"&lt;&gt;Supervisors")</f>
        <v/>
      </c>
    </row>
    <row r="37">
      <c r="B37" s="2" t="inlineStr">
        <is>
          <t>Rediscovery hires Supervisors</t>
        </is>
      </c>
      <c r="F37" s="27">
        <f>SUMIFS(Channels!$U$5:$U$34,Channels!$B$5:$B$34,"I1a Talent rediscovery (past applicants in ATS)",Channels!$C$5:$C$34,"Supervisors")</f>
        <v/>
      </c>
    </row>
    <row r="38">
      <c r="B38" s="2" t="inlineStr">
        <is>
          <t>Capacity factor (share of planned qualified that can be assessed)</t>
        </is>
      </c>
      <c r="F38" s="25">
        <f>IF(Funnel!B23&gt;0,MIN(1,Funnel!B22/Funnel!B23),1)</f>
        <v/>
      </c>
    </row>
    <row r="39"/>
    <row r="40"/>
    <row r="41"/>
    <row r="42">
      <c r="A42" s="23" t="inlineStr">
        <is>
          <t>Cash out by channel × week (€)</t>
        </is>
      </c>
    </row>
    <row r="43" ht="30" customHeight="1">
      <c r="A43" s="12" t="inlineStr"/>
      <c r="B43" s="12" t="inlineStr">
        <is>
          <t>Channel</t>
        </is>
      </c>
      <c r="C43" s="12" t="inlineStr">
        <is>
          <t>Wk 1</t>
        </is>
      </c>
      <c r="D43" s="12" t="inlineStr">
        <is>
          <t>Wk 2</t>
        </is>
      </c>
      <c r="E43" s="12" t="inlineStr">
        <is>
          <t>Wk 3</t>
        </is>
      </c>
      <c r="F43" s="12" t="inlineStr">
        <is>
          <t>Wk 4</t>
        </is>
      </c>
      <c r="G43" s="12" t="inlineStr">
        <is>
          <t>Wk 5</t>
        </is>
      </c>
      <c r="H43" s="12" t="inlineStr">
        <is>
          <t>Wk 6</t>
        </is>
      </c>
      <c r="I43" s="12" t="inlineStr">
        <is>
          <t>Wk 7</t>
        </is>
      </c>
      <c r="J43" s="12" t="inlineStr">
        <is>
          <t>Wk 8</t>
        </is>
      </c>
      <c r="K43" s="12" t="inlineStr">
        <is>
          <t>Wk 9</t>
        </is>
      </c>
      <c r="L43" s="12" t="inlineStr">
        <is>
          <t>Wk 10</t>
        </is>
      </c>
      <c r="M43" s="12" t="inlineStr">
        <is>
          <t>Wk 11</t>
        </is>
      </c>
      <c r="N43" s="12" t="inlineStr">
        <is>
          <t>Total</t>
        </is>
      </c>
    </row>
    <row r="44">
      <c r="B44" s="2">
        <f>Budget!B29</f>
        <v/>
      </c>
      <c r="C44" s="36">
        <f>(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
      </c>
      <c r="D44" s="36">
        <f>(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
      </c>
      <c r="E44" s="36">
        <f>(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
      </c>
      <c r="F44" s="36">
        <f>(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
      </c>
      <c r="G44" s="36">
        <f>(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
      </c>
      <c r="H44" s="36">
        <f>(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
      </c>
      <c r="I44" s="36">
        <f>(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
      </c>
      <c r="J44" s="36">
        <f>(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
      </c>
      <c r="K44" s="36">
        <f>(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
      </c>
      <c r="L44" s="36">
        <f>(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
      </c>
      <c r="M44" s="36">
        <f>(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
      </c>
      <c r="N44" s="37">
        <f>SUM(C44:M44)</f>
        <v/>
      </c>
    </row>
    <row r="45">
      <c r="B45" s="2">
        <f>Budget!B30</f>
        <v/>
      </c>
      <c r="C45" s="36">
        <f>(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
      </c>
      <c r="D45" s="36">
        <f>(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
      </c>
      <c r="E45" s="36">
        <f>(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
      </c>
      <c r="F45" s="36">
        <f>(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
      </c>
      <c r="G45" s="36">
        <f>(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
      </c>
      <c r="H45" s="36">
        <f>(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
      </c>
      <c r="I45" s="36">
        <f>(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
      </c>
      <c r="J45" s="36">
        <f>(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
      </c>
      <c r="K45" s="36">
        <f>(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
      </c>
      <c r="L45" s="36">
        <f>(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
      </c>
      <c r="M45" s="36">
        <f>(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
      </c>
      <c r="N45" s="37">
        <f>SUM(C45:M45)</f>
        <v/>
      </c>
    </row>
    <row r="46">
      <c r="B46" s="2">
        <f>Budget!B31</f>
        <v/>
      </c>
      <c r="C46" s="36">
        <f>(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
      </c>
      <c r="D46" s="36">
        <f>(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
      </c>
      <c r="E46" s="36">
        <f>(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
      </c>
      <c r="F46" s="36">
        <f>(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
      </c>
      <c r="G46" s="36">
        <f>(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
      </c>
      <c r="H46" s="36">
        <f>(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
      </c>
      <c r="I46" s="36">
        <f>(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
      </c>
      <c r="J46" s="36">
        <f>(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
      </c>
      <c r="K46" s="36">
        <f>(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
      </c>
      <c r="L46" s="36">
        <f>(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
      </c>
      <c r="M46" s="36">
        <f>(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
      </c>
      <c r="N46" s="37">
        <f>SUM(C46:M46)</f>
        <v/>
      </c>
    </row>
    <row r="47">
      <c r="B47" s="2">
        <f>Budget!B32</f>
        <v/>
      </c>
      <c r="C47" s="36">
        <f>(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
      </c>
      <c r="D47" s="36">
        <f>(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
      </c>
      <c r="E47" s="36">
        <f>(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
      </c>
      <c r="F47" s="36">
        <f>(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
      </c>
      <c r="G47" s="36">
        <f>(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
      </c>
      <c r="H47" s="36">
        <f>(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
      </c>
      <c r="I47" s="36">
        <f>(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
      </c>
      <c r="J47" s="36">
        <f>(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
      </c>
      <c r="K47" s="36">
        <f>(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
      </c>
      <c r="L47" s="36">
        <f>(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
      </c>
      <c r="M47" s="36">
        <f>(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
      </c>
      <c r="N47" s="37">
        <f>SUM(C47:M47)</f>
        <v/>
      </c>
    </row>
    <row r="48">
      <c r="B48" s="2">
        <f>Budget!B33</f>
        <v/>
      </c>
      <c r="C48" s="36">
        <f>(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
      </c>
      <c r="D48" s="36">
        <f>(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
      </c>
      <c r="E48" s="36">
        <f>(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
      </c>
      <c r="F48" s="36">
        <f>(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
      </c>
      <c r="G48" s="36">
        <f>(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
      </c>
      <c r="H48" s="36">
        <f>(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
      </c>
      <c r="I48" s="36">
        <f>(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
      </c>
      <c r="J48" s="36">
        <f>(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
      </c>
      <c r="K48" s="36">
        <f>(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
      </c>
      <c r="L48" s="36">
        <f>(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
      </c>
      <c r="M48" s="36">
        <f>(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
      </c>
      <c r="N48" s="37">
        <f>SUM(C48:M48)</f>
        <v/>
      </c>
    </row>
    <row r="49">
      <c r="B49" s="2">
        <f>Budget!B34</f>
        <v/>
      </c>
      <c r="C49" s="36">
        <f>(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
      </c>
      <c r="D49" s="36">
        <f>(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
      </c>
      <c r="E49" s="36">
        <f>(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
      </c>
      <c r="F49" s="36">
        <f>(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
      </c>
      <c r="G49" s="36">
        <f>(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
      </c>
      <c r="H49" s="36">
        <f>(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
      </c>
      <c r="I49" s="36">
        <f>(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
      </c>
      <c r="J49" s="36">
        <f>(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
      </c>
      <c r="K49" s="36">
        <f>(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
      </c>
      <c r="L49" s="36">
        <f>(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
      </c>
      <c r="M49" s="36">
        <f>(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
      </c>
      <c r="N49" s="37">
        <f>SUM(C49:M49)</f>
        <v/>
      </c>
    </row>
    <row r="50">
      <c r="B50" s="2">
        <f>Budget!B35</f>
        <v/>
      </c>
      <c r="C50" s="36">
        <f>SUMIFS(Channels!$X$5:$X$34,Channels!$B$5:$B$34,$B50)*$Y$4</f>
        <v/>
      </c>
      <c r="D50" s="36">
        <f>SUMIFS(Channels!$X$5:$X$34,Channels!$B$5:$B$34,$B50)*$Y$5</f>
        <v/>
      </c>
      <c r="E50" s="36">
        <f>SUMIFS(Channels!$X$5:$X$34,Channels!$B$5:$B$34,$B50)*$Y$6</f>
        <v/>
      </c>
      <c r="F50" s="36">
        <f>SUMIFS(Channels!$X$5:$X$34,Channels!$B$5:$B$34,$B50)*$Y$7</f>
        <v/>
      </c>
      <c r="G50" s="36">
        <f>SUMIFS(Channels!$X$5:$X$34,Channels!$B$5:$B$34,$B50)*$Y$8</f>
        <v/>
      </c>
      <c r="H50" s="36">
        <f>SUMIFS(Channels!$X$5:$X$34,Channels!$B$5:$B$34,$B50)*$Y$9</f>
        <v/>
      </c>
      <c r="I50" s="36">
        <f>SUMIFS(Channels!$X$5:$X$34,Channels!$B$5:$B$34,$B50)*$Y$10</f>
        <v/>
      </c>
      <c r="J50" s="36">
        <f>SUMIFS(Channels!$X$5:$X$34,Channels!$B$5:$B$34,$B50)*$Y$11</f>
        <v/>
      </c>
      <c r="K50" s="36">
        <f>SUMIFS(Channels!$X$5:$X$34,Channels!$B$5:$B$34,$B50)*$Y$12</f>
        <v/>
      </c>
      <c r="L50" s="36">
        <f>SUMIFS(Channels!$X$5:$X$34,Channels!$B$5:$B$34,$B50)*$Y$13</f>
        <v/>
      </c>
      <c r="M50" s="36">
        <f>SUMIFS(Channels!$X$5:$X$34,Channels!$B$5:$B$34,$B50)*$Y$14</f>
        <v/>
      </c>
      <c r="N50" s="37">
        <f>SUM(C50:M50)</f>
        <v/>
      </c>
    </row>
    <row r="51">
      <c r="B51" s="2">
        <f>Budget!B36</f>
        <v/>
      </c>
      <c r="C51" s="36">
        <f>SUMIFS(Channels!$X$5:$X$34,Channels!$B$5:$B$34,$B51,Channels!$C$5:$C$34,"&lt;&gt;Supervisors")*$F$4+SUMIFS(Channels!$X$5:$X$34,Channels!$B$5:$B$34,$B51,Channels!$C$5:$C$34,"Supervisors")*$G$4</f>
        <v/>
      </c>
      <c r="D51" s="36">
        <f>SUMIFS(Channels!$X$5:$X$34,Channels!$B$5:$B$34,$B51,Channels!$C$5:$C$34,"&lt;&gt;Supervisors")*$F$5+SUMIFS(Channels!$X$5:$X$34,Channels!$B$5:$B$34,$B51,Channels!$C$5:$C$34,"Supervisors")*$G$5</f>
        <v/>
      </c>
      <c r="E51" s="36">
        <f>SUMIFS(Channels!$X$5:$X$34,Channels!$B$5:$B$34,$B51,Channels!$C$5:$C$34,"&lt;&gt;Supervisors")*$F$6+SUMIFS(Channels!$X$5:$X$34,Channels!$B$5:$B$34,$B51,Channels!$C$5:$C$34,"Supervisors")*$G$6</f>
        <v/>
      </c>
      <c r="F51" s="36">
        <f>SUMIFS(Channels!$X$5:$X$34,Channels!$B$5:$B$34,$B51,Channels!$C$5:$C$34,"&lt;&gt;Supervisors")*$F$7+SUMIFS(Channels!$X$5:$X$34,Channels!$B$5:$B$34,$B51,Channels!$C$5:$C$34,"Supervisors")*$G$7</f>
        <v/>
      </c>
      <c r="G51" s="36">
        <f>SUMIFS(Channels!$X$5:$X$34,Channels!$B$5:$B$34,$B51,Channels!$C$5:$C$34,"&lt;&gt;Supervisors")*$F$8+SUMIFS(Channels!$X$5:$X$34,Channels!$B$5:$B$34,$B51,Channels!$C$5:$C$34,"Supervisors")*$G$8</f>
        <v/>
      </c>
      <c r="H51" s="36">
        <f>SUMIFS(Channels!$X$5:$X$34,Channels!$B$5:$B$34,$B51,Channels!$C$5:$C$34,"&lt;&gt;Supervisors")*$F$9+SUMIFS(Channels!$X$5:$X$34,Channels!$B$5:$B$34,$B51,Channels!$C$5:$C$34,"Supervisors")*$G$9</f>
        <v/>
      </c>
      <c r="I51" s="36">
        <f>SUMIFS(Channels!$X$5:$X$34,Channels!$B$5:$B$34,$B51,Channels!$C$5:$C$34,"&lt;&gt;Supervisors")*$F$10+SUMIFS(Channels!$X$5:$X$34,Channels!$B$5:$B$34,$B51,Channels!$C$5:$C$34,"Supervisors")*$G$10</f>
        <v/>
      </c>
      <c r="J51" s="36">
        <f>SUMIFS(Channels!$X$5:$X$34,Channels!$B$5:$B$34,$B51,Channels!$C$5:$C$34,"&lt;&gt;Supervisors")*$F$11+SUMIFS(Channels!$X$5:$X$34,Channels!$B$5:$B$34,$B51,Channels!$C$5:$C$34,"Supervisors")*$G$11</f>
        <v/>
      </c>
      <c r="K51" s="36">
        <f>SUMIFS(Channels!$X$5:$X$34,Channels!$B$5:$B$34,$B51,Channels!$C$5:$C$34,"&lt;&gt;Supervisors")*$F$12+SUMIFS(Channels!$X$5:$X$34,Channels!$B$5:$B$34,$B51,Channels!$C$5:$C$34,"Supervisors")*$G$12</f>
        <v/>
      </c>
      <c r="L51" s="36">
        <f>SUMIFS(Channels!$X$5:$X$34,Channels!$B$5:$B$34,$B51,Channels!$C$5:$C$34,"&lt;&gt;Supervisors")*$F$13+SUMIFS(Channels!$X$5:$X$34,Channels!$B$5:$B$34,$B51,Channels!$C$5:$C$34,"Supervisors")*$G$13</f>
        <v/>
      </c>
      <c r="M51" s="36">
        <f>SUMIFS(Channels!$X$5:$X$34,Channels!$B$5:$B$34,$B51,Channels!$C$5:$C$34,"&lt;&gt;Supervisors")*$F$14+SUMIFS(Channels!$X$5:$X$34,Channels!$B$5:$B$34,$B51,Channels!$C$5:$C$34,"Supervisors")*$G$14</f>
        <v/>
      </c>
      <c r="N51" s="37">
        <f>SUM(C51:M51)</f>
        <v/>
      </c>
    </row>
    <row r="52">
      <c r="B52" s="2">
        <f>Budget!B37</f>
        <v/>
      </c>
      <c r="C52" s="36">
        <f>(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
      </c>
      <c r="D52" s="36">
        <f>(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
      </c>
      <c r="E52" s="36">
        <f>(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
      </c>
      <c r="F52" s="36">
        <f>(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
      </c>
      <c r="G52" s="36">
        <f>(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
      </c>
      <c r="H52" s="36">
        <f>(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
      </c>
      <c r="I52" s="36">
        <f>(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
      </c>
      <c r="J52" s="36">
        <f>(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
      </c>
      <c r="K52" s="36">
        <f>(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
      </c>
      <c r="L52" s="36">
        <f>(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
      </c>
      <c r="M52" s="36">
        <f>(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
      </c>
      <c r="N52" s="37">
        <f>SUM(C52:M52)</f>
        <v/>
      </c>
    </row>
    <row r="53">
      <c r="B53" s="2">
        <f>Budget!B38</f>
        <v/>
      </c>
      <c r="C53" s="36">
        <f>(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
      </c>
      <c r="D53" s="36">
        <f>(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
      </c>
      <c r="E53" s="36">
        <f>(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
      </c>
      <c r="F53" s="36">
        <f>(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
      </c>
      <c r="G53" s="36">
        <f>(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
      </c>
      <c r="H53" s="36">
        <f>(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
      </c>
      <c r="I53" s="36">
        <f>(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
      </c>
      <c r="J53" s="36">
        <f>(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
      </c>
      <c r="K53" s="36">
        <f>(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
      </c>
      <c r="L53" s="36">
        <f>(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
      </c>
      <c r="M53" s="36">
        <f>(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
      </c>
      <c r="N53" s="37">
        <f>SUM(C53:M53)</f>
        <v/>
      </c>
    </row>
    <row r="54">
      <c r="B54" s="23" t="inlineStr">
        <is>
          <t>Total</t>
        </is>
      </c>
      <c r="C54" s="37">
        <f>SUM(C44:C53)</f>
        <v/>
      </c>
      <c r="D54" s="37">
        <f>SUM(D44:D53)</f>
        <v/>
      </c>
      <c r="E54" s="37">
        <f>SUM(E44:E53)</f>
        <v/>
      </c>
      <c r="F54" s="37">
        <f>SUM(F44:F53)</f>
        <v/>
      </c>
      <c r="G54" s="37">
        <f>SUM(G44:G53)</f>
        <v/>
      </c>
      <c r="H54" s="37">
        <f>SUM(H44:H53)</f>
        <v/>
      </c>
      <c r="I54" s="37">
        <f>SUM(I44:I53)</f>
        <v/>
      </c>
      <c r="J54" s="37">
        <f>SUM(J44:J53)</f>
        <v/>
      </c>
      <c r="K54" s="37">
        <f>SUM(K44:K53)</f>
        <v/>
      </c>
      <c r="L54" s="37">
        <f>SUM(L44:L53)</f>
        <v/>
      </c>
      <c r="M54" s="37">
        <f>SUM(M44:M53)</f>
        <v/>
      </c>
      <c r="N54" s="37">
        <f>SUM(N44:N53)</f>
        <v/>
      </c>
    </row>
    <row r="55">
      <c r="B55" s="2">
        <f>IF(ABS(N54-Budget!C9)&gt;1,"✗ matrix ≠ planned spend","✓ matrix ties to planned spend")</f>
        <v/>
      </c>
    </row>
  </sheetData>
  <mergeCells count="1">
    <mergeCell ref="A16:W17"/>
  </mergeCell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X4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13"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26" customWidth="1" min="26" max="26"/>
    <col width="10" customWidth="1" min="27" max="27"/>
  </cols>
  <sheetData>
    <row r="1">
      <c r="A1" s="1" t="inlineStr">
        <is>
          <t>Weekly tracker — type actuals in the yellow cells; decisions and re-forecast update live</t>
        </is>
      </c>
    </row>
    <row r="2">
      <c r="A2" s="2" t="inlineStr">
        <is>
          <t>Source: client ATS export by source tag (utm_source/utm_campaign → ATS 'source' field) + Joveo platform spend/clicks/applies. Updated every Monday for the prior week.</t>
        </is>
      </c>
    </row>
    <row r="3"/>
    <row r="4" ht="45" customHeight="1">
      <c r="A4" s="12" t="inlineStr">
        <is>
          <t>ID</t>
        </is>
      </c>
      <c r="B4" s="12" t="inlineStr">
        <is>
          <t>Channel</t>
        </is>
      </c>
      <c r="C4" s="12" t="inlineStr">
        <is>
          <t>Role</t>
        </is>
      </c>
      <c r="D4" s="12" t="inlineStr">
        <is>
          <t>Plan CPA</t>
        </is>
      </c>
      <c r="E4" s="12" t="inlineStr">
        <is>
          <t>Plan Q</t>
        </is>
      </c>
      <c r="F4" s="12" t="inlineStr">
        <is>
          <t>Plan cost per qual.</t>
        </is>
      </c>
      <c r="G4" s="12" t="inlineStr">
        <is>
          <t>W1 spend</t>
        </is>
      </c>
      <c r="H4" s="12" t="inlineStr">
        <is>
          <t>W1 apps</t>
        </is>
      </c>
      <c r="I4" s="12" t="inlineStr">
        <is>
          <t>W1 qual.</t>
        </is>
      </c>
      <c r="J4" s="12" t="inlineStr">
        <is>
          <t>W2 spend</t>
        </is>
      </c>
      <c r="K4" s="12" t="inlineStr">
        <is>
          <t>W2 apps</t>
        </is>
      </c>
      <c r="L4" s="12" t="inlineStr">
        <is>
          <t>W2 qual.</t>
        </is>
      </c>
      <c r="M4" s="12" t="inlineStr">
        <is>
          <t>W3 spend</t>
        </is>
      </c>
      <c r="N4" s="12" t="inlineStr">
        <is>
          <t>W3 apps</t>
        </is>
      </c>
      <c r="O4" s="12" t="inlineStr">
        <is>
          <t>W3 qual.</t>
        </is>
      </c>
      <c r="P4" s="12" t="inlineStr">
        <is>
          <t>Cum. spend</t>
        </is>
      </c>
      <c r="Q4" s="12" t="inlineStr">
        <is>
          <t>Cum. apps</t>
        </is>
      </c>
      <c r="R4" s="12" t="inlineStr">
        <is>
          <t>Cum. qual.</t>
        </is>
      </c>
      <c r="S4" s="12" t="inlineStr">
        <is>
          <t>Actual CPA</t>
        </is>
      </c>
      <c r="T4" s="12" t="inlineStr">
        <is>
          <t>Actual Q</t>
        </is>
      </c>
      <c r="U4" s="12" t="inlineStr">
        <is>
          <t>Updated Q</t>
        </is>
      </c>
      <c r="V4" s="12" t="inlineStr">
        <is>
          <t>Re-forecast cost per qual.</t>
        </is>
      </c>
      <c r="W4" s="12" t="inlineStr">
        <is>
          <t>vs plan</t>
        </is>
      </c>
      <c r="X4" s="12" t="inlineStr">
        <is>
          <t>Decision</t>
        </is>
      </c>
    </row>
    <row r="5">
      <c r="A5" s="2">
        <f>Channels!A5</f>
        <v/>
      </c>
      <c r="B5" s="2">
        <f>Channels!B5</f>
        <v/>
      </c>
      <c r="C5" s="2">
        <f>Channels!C5</f>
        <v/>
      </c>
      <c r="D5" s="38">
        <f>Channels!H5</f>
        <v/>
      </c>
      <c r="E5" s="25">
        <f>Channels!I5</f>
        <v/>
      </c>
      <c r="F5" s="36">
        <f>Channels!O5</f>
        <v/>
      </c>
      <c r="G5" s="17" t="n"/>
      <c r="H5" s="14" t="n"/>
      <c r="I5" s="14" t="n"/>
      <c r="J5" s="17" t="n"/>
      <c r="K5" s="14" t="n"/>
      <c r="L5" s="14" t="n"/>
      <c r="M5" s="17" t="n"/>
      <c r="N5" s="14" t="n"/>
      <c r="O5" s="14" t="n"/>
      <c r="P5" s="36">
        <f>G5+J5+M5</f>
        <v/>
      </c>
      <c r="Q5" s="24">
        <f>H5+K5+N5</f>
        <v/>
      </c>
      <c r="R5" s="24">
        <f>I5+L5+O5</f>
        <v/>
      </c>
      <c r="S5" s="38">
        <f>IF(Q5&gt;0,P5/Q5,"")</f>
        <v/>
      </c>
      <c r="T5" s="25">
        <f>IF(Q5&gt;0,R5/Q5,"")</f>
        <v/>
      </c>
      <c r="U5" s="25">
        <f>(R5+Assumptions!$D$108*E5)/(Q5+Assumptions!$D$108)</f>
        <v/>
      </c>
      <c r="V5" s="36">
        <f>IF(U5&gt;0,IF(Q5&gt;=Assumptions!$D$86,S5,D5)/U5,0)</f>
        <v/>
      </c>
      <c r="W5" s="47">
        <f>IF(F5&gt;0,V5/F5,"")</f>
        <v/>
      </c>
      <c r="X5" s="2">
        <f>IF(D5=0,"Free – monitor quality",IF(F5=0,"SWITCH OFF – plan expects no qualified applicants",IF(AND(P5&lt;Assumptions!$D$85,Q5&lt;Assumptions!$D$86),"Wait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
      </c>
    </row>
    <row r="6">
      <c r="A6" s="2">
        <f>Channels!A6</f>
        <v/>
      </c>
      <c r="B6" s="2">
        <f>Channels!B6</f>
        <v/>
      </c>
      <c r="C6" s="2">
        <f>Channels!C6</f>
        <v/>
      </c>
      <c r="D6" s="38">
        <f>Channels!H6</f>
        <v/>
      </c>
      <c r="E6" s="25">
        <f>Channels!I6</f>
        <v/>
      </c>
      <c r="F6" s="36">
        <f>Channels!O6</f>
        <v/>
      </c>
      <c r="G6" s="17" t="n"/>
      <c r="H6" s="14" t="n"/>
      <c r="I6" s="14" t="n"/>
      <c r="J6" s="17" t="n"/>
      <c r="K6" s="14" t="n"/>
      <c r="L6" s="14" t="n"/>
      <c r="M6" s="17" t="n"/>
      <c r="N6" s="14" t="n"/>
      <c r="O6" s="14" t="n"/>
      <c r="P6" s="36">
        <f>G6+J6+M6</f>
        <v/>
      </c>
      <c r="Q6" s="24">
        <f>H6+K6+N6</f>
        <v/>
      </c>
      <c r="R6" s="24">
        <f>I6+L6+O6</f>
        <v/>
      </c>
      <c r="S6" s="38">
        <f>IF(Q6&gt;0,P6/Q6,"")</f>
        <v/>
      </c>
      <c r="T6" s="25">
        <f>IF(Q6&gt;0,R6/Q6,"")</f>
        <v/>
      </c>
      <c r="U6" s="25">
        <f>(R6+Assumptions!$D$108*E6)/(Q6+Assumptions!$D$108)</f>
        <v/>
      </c>
      <c r="V6" s="36">
        <f>IF(U6&gt;0,IF(Q6&gt;=Assumptions!$D$86,S6,D6)/U6,0)</f>
        <v/>
      </c>
      <c r="W6" s="47">
        <f>IF(F6&gt;0,V6/F6,"")</f>
        <v/>
      </c>
      <c r="X6" s="2">
        <f>IF(D6=0,"Free – monitor quality",IF(F6=0,"SWITCH OFF – plan expects no qualified applicants",IF(AND(P6&lt;Assumptions!$D$85,Q6&lt;Assumptions!$D$86),"Wait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
      </c>
    </row>
    <row r="7">
      <c r="A7" s="2">
        <f>Channels!A7</f>
        <v/>
      </c>
      <c r="B7" s="2">
        <f>Channels!B7</f>
        <v/>
      </c>
      <c r="C7" s="2">
        <f>Channels!C7</f>
        <v/>
      </c>
      <c r="D7" s="38">
        <f>Channels!H7</f>
        <v/>
      </c>
      <c r="E7" s="25">
        <f>Channels!I7</f>
        <v/>
      </c>
      <c r="F7" s="36">
        <f>Channels!O7</f>
        <v/>
      </c>
      <c r="G7" s="17" t="n"/>
      <c r="H7" s="14" t="n"/>
      <c r="I7" s="14" t="n"/>
      <c r="J7" s="17" t="n"/>
      <c r="K7" s="14" t="n"/>
      <c r="L7" s="14" t="n"/>
      <c r="M7" s="17" t="n"/>
      <c r="N7" s="14" t="n"/>
      <c r="O7" s="14" t="n"/>
      <c r="P7" s="36">
        <f>G7+J7+M7</f>
        <v/>
      </c>
      <c r="Q7" s="24">
        <f>H7+K7+N7</f>
        <v/>
      </c>
      <c r="R7" s="24">
        <f>I7+L7+O7</f>
        <v/>
      </c>
      <c r="S7" s="38">
        <f>IF(Q7&gt;0,P7/Q7,"")</f>
        <v/>
      </c>
      <c r="T7" s="25">
        <f>IF(Q7&gt;0,R7/Q7,"")</f>
        <v/>
      </c>
      <c r="U7" s="25">
        <f>(R7+Assumptions!$D$108*E7)/(Q7+Assumptions!$D$108)</f>
        <v/>
      </c>
      <c r="V7" s="36">
        <f>IF(U7&gt;0,IF(Q7&gt;=Assumptions!$D$86,S7,D7)/U7,0)</f>
        <v/>
      </c>
      <c r="W7" s="47">
        <f>IF(F7&gt;0,V7/F7,"")</f>
        <v/>
      </c>
      <c r="X7" s="2">
        <f>IF(D7=0,"Free – monitor quality",IF(F7=0,"SWITCH OFF – plan expects no qualified applicants",IF(AND(P7&lt;Assumptions!$D$85,Q7&lt;Assumptions!$D$86),"Wait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
      </c>
    </row>
    <row r="8">
      <c r="A8" s="2">
        <f>Channels!A8</f>
        <v/>
      </c>
      <c r="B8" s="2">
        <f>Channels!B8</f>
        <v/>
      </c>
      <c r="C8" s="2">
        <f>Channels!C8</f>
        <v/>
      </c>
      <c r="D8" s="38">
        <f>Channels!H8</f>
        <v/>
      </c>
      <c r="E8" s="25">
        <f>Channels!I8</f>
        <v/>
      </c>
      <c r="F8" s="36">
        <f>Channels!O8</f>
        <v/>
      </c>
      <c r="G8" s="17" t="n"/>
      <c r="H8" s="14" t="n"/>
      <c r="I8" s="14" t="n"/>
      <c r="J8" s="17" t="n"/>
      <c r="K8" s="14" t="n"/>
      <c r="L8" s="14" t="n"/>
      <c r="M8" s="17" t="n"/>
      <c r="N8" s="14" t="n"/>
      <c r="O8" s="14" t="n"/>
      <c r="P8" s="36">
        <f>G8+J8+M8</f>
        <v/>
      </c>
      <c r="Q8" s="24">
        <f>H8+K8+N8</f>
        <v/>
      </c>
      <c r="R8" s="24">
        <f>I8+L8+O8</f>
        <v/>
      </c>
      <c r="S8" s="38">
        <f>IF(Q8&gt;0,P8/Q8,"")</f>
        <v/>
      </c>
      <c r="T8" s="25">
        <f>IF(Q8&gt;0,R8/Q8,"")</f>
        <v/>
      </c>
      <c r="U8" s="25">
        <f>(R8+Assumptions!$D$108*E8)/(Q8+Assumptions!$D$108)</f>
        <v/>
      </c>
      <c r="V8" s="36">
        <f>IF(U8&gt;0,IF(Q8&gt;=Assumptions!$D$86,S8,D8)/U8,0)</f>
        <v/>
      </c>
      <c r="W8" s="47">
        <f>IF(F8&gt;0,V8/F8,"")</f>
        <v/>
      </c>
      <c r="X8" s="2">
        <f>IF(D8=0,"Free – monitor quality",IF(F8=0,"SWITCH OFF – plan expects no qualified applicants",IF(AND(P8&lt;Assumptions!$D$85,Q8&lt;Assumptions!$D$86),"Wait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
      </c>
    </row>
    <row r="9">
      <c r="A9" s="2">
        <f>Channels!A9</f>
        <v/>
      </c>
      <c r="B9" s="2">
        <f>Channels!B9</f>
        <v/>
      </c>
      <c r="C9" s="2">
        <f>Channels!C9</f>
        <v/>
      </c>
      <c r="D9" s="38">
        <f>Channels!H9</f>
        <v/>
      </c>
      <c r="E9" s="25">
        <f>Channels!I9</f>
        <v/>
      </c>
      <c r="F9" s="36">
        <f>Channels!O9</f>
        <v/>
      </c>
      <c r="G9" s="17" t="n"/>
      <c r="H9" s="14" t="n"/>
      <c r="I9" s="14" t="n"/>
      <c r="J9" s="17" t="n"/>
      <c r="K9" s="14" t="n"/>
      <c r="L9" s="14" t="n"/>
      <c r="M9" s="17" t="n"/>
      <c r="N9" s="14" t="n"/>
      <c r="O9" s="14" t="n"/>
      <c r="P9" s="36">
        <f>G9+J9+M9</f>
        <v/>
      </c>
      <c r="Q9" s="24">
        <f>H9+K9+N9</f>
        <v/>
      </c>
      <c r="R9" s="24">
        <f>I9+L9+O9</f>
        <v/>
      </c>
      <c r="S9" s="38">
        <f>IF(Q9&gt;0,P9/Q9,"")</f>
        <v/>
      </c>
      <c r="T9" s="25">
        <f>IF(Q9&gt;0,R9/Q9,"")</f>
        <v/>
      </c>
      <c r="U9" s="25">
        <f>(R9+Assumptions!$D$108*E9)/(Q9+Assumptions!$D$108)</f>
        <v/>
      </c>
      <c r="V9" s="36">
        <f>IF(U9&gt;0,IF(Q9&gt;=Assumptions!$D$86,S9,D9)/U9,0)</f>
        <v/>
      </c>
      <c r="W9" s="47">
        <f>IF(F9&gt;0,V9/F9,"")</f>
        <v/>
      </c>
      <c r="X9" s="2">
        <f>IF(D9=0,"Free – monitor quality",IF(F9=0,"SWITCH OFF – plan expects no qualified applicants",IF(AND(P9&lt;Assumptions!$D$85,Q9&lt;Assumptions!$D$86),"Wait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
      </c>
    </row>
    <row r="10">
      <c r="A10" s="2">
        <f>Channels!A10</f>
        <v/>
      </c>
      <c r="B10" s="2">
        <f>Channels!B10</f>
        <v/>
      </c>
      <c r="C10" s="2">
        <f>Channels!C10</f>
        <v/>
      </c>
      <c r="D10" s="38">
        <f>Channels!H10</f>
        <v/>
      </c>
      <c r="E10" s="25">
        <f>Channels!I10</f>
        <v/>
      </c>
      <c r="F10" s="36">
        <f>Channels!O10</f>
        <v/>
      </c>
      <c r="G10" s="17" t="n"/>
      <c r="H10" s="14" t="n"/>
      <c r="I10" s="14" t="n"/>
      <c r="J10" s="17" t="n"/>
      <c r="K10" s="14" t="n"/>
      <c r="L10" s="14" t="n"/>
      <c r="M10" s="17" t="n"/>
      <c r="N10" s="14" t="n"/>
      <c r="O10" s="14" t="n"/>
      <c r="P10" s="36">
        <f>G10+J10+M10</f>
        <v/>
      </c>
      <c r="Q10" s="24">
        <f>H10+K10+N10</f>
        <v/>
      </c>
      <c r="R10" s="24">
        <f>I10+L10+O10</f>
        <v/>
      </c>
      <c r="S10" s="38">
        <f>IF(Q10&gt;0,P10/Q10,"")</f>
        <v/>
      </c>
      <c r="T10" s="25">
        <f>IF(Q10&gt;0,R10/Q10,"")</f>
        <v/>
      </c>
      <c r="U10" s="25">
        <f>(R10+Assumptions!$D$108*E10)/(Q10+Assumptions!$D$108)</f>
        <v/>
      </c>
      <c r="V10" s="36">
        <f>IF(U10&gt;0,IF(Q10&gt;=Assumptions!$D$86,S10,D10)/U10,0)</f>
        <v/>
      </c>
      <c r="W10" s="47">
        <f>IF(F10&gt;0,V10/F10,"")</f>
        <v/>
      </c>
      <c r="X10" s="2">
        <f>IF(D10=0,"Free – monitor quality",IF(F10=0,"SWITCH OFF – plan expects no qualified applicants",IF(AND(P10&lt;Assumptions!$D$85,Q10&lt;Assumptions!$D$86),"Wait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
      </c>
    </row>
    <row r="11">
      <c r="A11" s="2">
        <f>Channels!A11</f>
        <v/>
      </c>
      <c r="B11" s="2">
        <f>Channels!B11</f>
        <v/>
      </c>
      <c r="C11" s="2">
        <f>Channels!C11</f>
        <v/>
      </c>
      <c r="D11" s="38">
        <f>Channels!H11</f>
        <v/>
      </c>
      <c r="E11" s="25">
        <f>Channels!I11</f>
        <v/>
      </c>
      <c r="F11" s="36">
        <f>Channels!O11</f>
        <v/>
      </c>
      <c r="G11" s="17" t="n"/>
      <c r="H11" s="14" t="n"/>
      <c r="I11" s="14" t="n"/>
      <c r="J11" s="17" t="n"/>
      <c r="K11" s="14" t="n"/>
      <c r="L11" s="14" t="n"/>
      <c r="M11" s="17" t="n"/>
      <c r="N11" s="14" t="n"/>
      <c r="O11" s="14" t="n"/>
      <c r="P11" s="36">
        <f>G11+J11+M11</f>
        <v/>
      </c>
      <c r="Q11" s="24">
        <f>H11+K11+N11</f>
        <v/>
      </c>
      <c r="R11" s="24">
        <f>I11+L11+O11</f>
        <v/>
      </c>
      <c r="S11" s="38">
        <f>IF(Q11&gt;0,P11/Q11,"")</f>
        <v/>
      </c>
      <c r="T11" s="25">
        <f>IF(Q11&gt;0,R11/Q11,"")</f>
        <v/>
      </c>
      <c r="U11" s="25">
        <f>(R11+Assumptions!$D$108*E11)/(Q11+Assumptions!$D$108)</f>
        <v/>
      </c>
      <c r="V11" s="36">
        <f>IF(U11&gt;0,IF(Q11&gt;=Assumptions!$D$86,S11,D11)/U11,0)</f>
        <v/>
      </c>
      <c r="W11" s="47">
        <f>IF(F11&gt;0,V11/F11,"")</f>
        <v/>
      </c>
      <c r="X11" s="2">
        <f>IF(D11=0,"Free – monitor quality",IF(F11=0,"SWITCH OFF – plan expects no qualified applicants",IF(AND(P11&lt;Assumptions!$D$85,Q11&lt;Assumptions!$D$86),"Wait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
      </c>
    </row>
    <row r="12">
      <c r="A12" s="2">
        <f>Channels!A12</f>
        <v/>
      </c>
      <c r="B12" s="2">
        <f>Channels!B12</f>
        <v/>
      </c>
      <c r="C12" s="2">
        <f>Channels!C12</f>
        <v/>
      </c>
      <c r="D12" s="38">
        <f>Channels!H12</f>
        <v/>
      </c>
      <c r="E12" s="25">
        <f>Channels!I12</f>
        <v/>
      </c>
      <c r="F12" s="36">
        <f>Channels!O12</f>
        <v/>
      </c>
      <c r="G12" s="17" t="n"/>
      <c r="H12" s="14" t="n"/>
      <c r="I12" s="14" t="n"/>
      <c r="J12" s="17" t="n"/>
      <c r="K12" s="14" t="n"/>
      <c r="L12" s="14" t="n"/>
      <c r="M12" s="17" t="n"/>
      <c r="N12" s="14" t="n"/>
      <c r="O12" s="14" t="n"/>
      <c r="P12" s="36">
        <f>G12+J12+M12</f>
        <v/>
      </c>
      <c r="Q12" s="24">
        <f>H12+K12+N12</f>
        <v/>
      </c>
      <c r="R12" s="24">
        <f>I12+L12+O12</f>
        <v/>
      </c>
      <c r="S12" s="38">
        <f>IF(Q12&gt;0,P12/Q12,"")</f>
        <v/>
      </c>
      <c r="T12" s="25">
        <f>IF(Q12&gt;0,R12/Q12,"")</f>
        <v/>
      </c>
      <c r="U12" s="25">
        <f>(R12+Assumptions!$D$108*E12)/(Q12+Assumptions!$D$108)</f>
        <v/>
      </c>
      <c r="V12" s="36">
        <f>IF(U12&gt;0,IF(Q12&gt;=Assumptions!$D$86,S12,D12)/U12,0)</f>
        <v/>
      </c>
      <c r="W12" s="47">
        <f>IF(F12&gt;0,V12/F12,"")</f>
        <v/>
      </c>
      <c r="X12" s="2">
        <f>IF(D12=0,"Free – monitor quality",IF(F12=0,"SWITCH OFF – plan expects no qualified applicants",IF(AND(P12&lt;Assumptions!$D$85,Q12&lt;Assumptions!$D$86),"Wait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
      </c>
    </row>
    <row r="13">
      <c r="A13" s="2">
        <f>Channels!A13</f>
        <v/>
      </c>
      <c r="B13" s="2">
        <f>Channels!B13</f>
        <v/>
      </c>
      <c r="C13" s="2">
        <f>Channels!C13</f>
        <v/>
      </c>
      <c r="D13" s="38">
        <f>Channels!H13</f>
        <v/>
      </c>
      <c r="E13" s="25">
        <f>Channels!I13</f>
        <v/>
      </c>
      <c r="F13" s="36">
        <f>Channels!O13</f>
        <v/>
      </c>
      <c r="G13" s="17" t="n"/>
      <c r="H13" s="14" t="n"/>
      <c r="I13" s="14" t="n"/>
      <c r="J13" s="17" t="n"/>
      <c r="K13" s="14" t="n"/>
      <c r="L13" s="14" t="n"/>
      <c r="M13" s="17" t="n"/>
      <c r="N13" s="14" t="n"/>
      <c r="O13" s="14" t="n"/>
      <c r="P13" s="36">
        <f>G13+J13+M13</f>
        <v/>
      </c>
      <c r="Q13" s="24">
        <f>H13+K13+N13</f>
        <v/>
      </c>
      <c r="R13" s="24">
        <f>I13+L13+O13</f>
        <v/>
      </c>
      <c r="S13" s="38">
        <f>IF(Q13&gt;0,P13/Q13,"")</f>
        <v/>
      </c>
      <c r="T13" s="25">
        <f>IF(Q13&gt;0,R13/Q13,"")</f>
        <v/>
      </c>
      <c r="U13" s="25">
        <f>(R13+Assumptions!$D$108*E13)/(Q13+Assumptions!$D$108)</f>
        <v/>
      </c>
      <c r="V13" s="36">
        <f>IF(U13&gt;0,IF(Q13&gt;=Assumptions!$D$86,S13,D13)/U13,0)</f>
        <v/>
      </c>
      <c r="W13" s="47">
        <f>IF(F13&gt;0,V13/F13,"")</f>
        <v/>
      </c>
      <c r="X13" s="2">
        <f>IF(D13=0,"Free – monitor quality",IF(F13=0,"SWITCH OFF – plan expects no qualified applicants",IF(AND(P13&lt;Assumptions!$D$85,Q13&lt;Assumptions!$D$86),"Wait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
      </c>
    </row>
    <row r="14">
      <c r="A14" s="2">
        <f>Channels!A14</f>
        <v/>
      </c>
      <c r="B14" s="2">
        <f>Channels!B14</f>
        <v/>
      </c>
      <c r="C14" s="2">
        <f>Channels!C14</f>
        <v/>
      </c>
      <c r="D14" s="38">
        <f>Channels!H14</f>
        <v/>
      </c>
      <c r="E14" s="25">
        <f>Channels!I14</f>
        <v/>
      </c>
      <c r="F14" s="36">
        <f>Channels!O14</f>
        <v/>
      </c>
      <c r="G14" s="17" t="n"/>
      <c r="H14" s="14" t="n"/>
      <c r="I14" s="14" t="n"/>
      <c r="J14" s="17" t="n"/>
      <c r="K14" s="14" t="n"/>
      <c r="L14" s="14" t="n"/>
      <c r="M14" s="17" t="n"/>
      <c r="N14" s="14" t="n"/>
      <c r="O14" s="14" t="n"/>
      <c r="P14" s="36">
        <f>G14+J14+M14</f>
        <v/>
      </c>
      <c r="Q14" s="24">
        <f>H14+K14+N14</f>
        <v/>
      </c>
      <c r="R14" s="24">
        <f>I14+L14+O14</f>
        <v/>
      </c>
      <c r="S14" s="38">
        <f>IF(Q14&gt;0,P14/Q14,"")</f>
        <v/>
      </c>
      <c r="T14" s="25">
        <f>IF(Q14&gt;0,R14/Q14,"")</f>
        <v/>
      </c>
      <c r="U14" s="25">
        <f>(R14+Assumptions!$D$108*E14)/(Q14+Assumptions!$D$108)</f>
        <v/>
      </c>
      <c r="V14" s="36">
        <f>IF(U14&gt;0,IF(Q14&gt;=Assumptions!$D$86,S14,D14)/U14,0)</f>
        <v/>
      </c>
      <c r="W14" s="47">
        <f>IF(F14&gt;0,V14/F14,"")</f>
        <v/>
      </c>
      <c r="X14" s="2">
        <f>IF(D14=0,"Free – monitor quality",IF(F14=0,"SWITCH OFF – plan expects no qualified applicants",IF(AND(P14&lt;Assumptions!$D$85,Q14&lt;Assumptions!$D$86),"Wait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
      </c>
    </row>
    <row r="15">
      <c r="A15" s="2">
        <f>Channels!A15</f>
        <v/>
      </c>
      <c r="B15" s="2">
        <f>Channels!B15</f>
        <v/>
      </c>
      <c r="C15" s="2">
        <f>Channels!C15</f>
        <v/>
      </c>
      <c r="D15" s="38">
        <f>Channels!H15</f>
        <v/>
      </c>
      <c r="E15" s="25">
        <f>Channels!I15</f>
        <v/>
      </c>
      <c r="F15" s="36">
        <f>Channels!O15</f>
        <v/>
      </c>
      <c r="G15" s="17" t="n"/>
      <c r="H15" s="14" t="n"/>
      <c r="I15" s="14" t="n"/>
      <c r="J15" s="17" t="n"/>
      <c r="K15" s="14" t="n"/>
      <c r="L15" s="14" t="n"/>
      <c r="M15" s="17" t="n"/>
      <c r="N15" s="14" t="n"/>
      <c r="O15" s="14" t="n"/>
      <c r="P15" s="36">
        <f>G15+J15+M15</f>
        <v/>
      </c>
      <c r="Q15" s="24">
        <f>H15+K15+N15</f>
        <v/>
      </c>
      <c r="R15" s="24">
        <f>I15+L15+O15</f>
        <v/>
      </c>
      <c r="S15" s="38">
        <f>IF(Q15&gt;0,P15/Q15,"")</f>
        <v/>
      </c>
      <c r="T15" s="25">
        <f>IF(Q15&gt;0,R15/Q15,"")</f>
        <v/>
      </c>
      <c r="U15" s="25">
        <f>(R15+Assumptions!$D$108*E15)/(Q15+Assumptions!$D$108)</f>
        <v/>
      </c>
      <c r="V15" s="36">
        <f>IF(U15&gt;0,IF(Q15&gt;=Assumptions!$D$86,S15,D15)/U15,0)</f>
        <v/>
      </c>
      <c r="W15" s="47">
        <f>IF(F15&gt;0,V15/F15,"")</f>
        <v/>
      </c>
      <c r="X15" s="2">
        <f>IF(D15=0,"Free – monitor quality",IF(F15=0,"SWITCH OFF – plan expects no qualified applicants",IF(AND(P15&lt;Assumptions!$D$85,Q15&lt;Assumptions!$D$86),"Wait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
      </c>
    </row>
    <row r="16">
      <c r="A16" s="2">
        <f>Channels!A16</f>
        <v/>
      </c>
      <c r="B16" s="2">
        <f>Channels!B16</f>
        <v/>
      </c>
      <c r="C16" s="2">
        <f>Channels!C16</f>
        <v/>
      </c>
      <c r="D16" s="38">
        <f>Channels!H16</f>
        <v/>
      </c>
      <c r="E16" s="25">
        <f>Channels!I16</f>
        <v/>
      </c>
      <c r="F16" s="36">
        <f>Channels!O16</f>
        <v/>
      </c>
      <c r="G16" s="17" t="n"/>
      <c r="H16" s="14" t="n"/>
      <c r="I16" s="14" t="n"/>
      <c r="J16" s="17" t="n"/>
      <c r="K16" s="14" t="n"/>
      <c r="L16" s="14" t="n"/>
      <c r="M16" s="17" t="n"/>
      <c r="N16" s="14" t="n"/>
      <c r="O16" s="14" t="n"/>
      <c r="P16" s="36">
        <f>G16+J16+M16</f>
        <v/>
      </c>
      <c r="Q16" s="24">
        <f>H16+K16+N16</f>
        <v/>
      </c>
      <c r="R16" s="24">
        <f>I16+L16+O16</f>
        <v/>
      </c>
      <c r="S16" s="38">
        <f>IF(Q16&gt;0,P16/Q16,"")</f>
        <v/>
      </c>
      <c r="T16" s="25">
        <f>IF(Q16&gt;0,R16/Q16,"")</f>
        <v/>
      </c>
      <c r="U16" s="25">
        <f>(R16+Assumptions!$D$108*E16)/(Q16+Assumptions!$D$108)</f>
        <v/>
      </c>
      <c r="V16" s="36">
        <f>IF(U16&gt;0,IF(Q16&gt;=Assumptions!$D$86,S16,D16)/U16,0)</f>
        <v/>
      </c>
      <c r="W16" s="47">
        <f>IF(F16&gt;0,V16/F16,"")</f>
        <v/>
      </c>
      <c r="X16" s="2">
        <f>IF(D16=0,"Free – monitor quality",IF(F16=0,"SWITCH OFF – plan expects no qualified applicants",IF(AND(P16&lt;Assumptions!$D$85,Q16&lt;Assumptions!$D$86),"Wait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
      </c>
    </row>
    <row r="17">
      <c r="A17" s="2">
        <f>Channels!A17</f>
        <v/>
      </c>
      <c r="B17" s="2">
        <f>Channels!B17</f>
        <v/>
      </c>
      <c r="C17" s="2">
        <f>Channels!C17</f>
        <v/>
      </c>
      <c r="D17" s="38">
        <f>Channels!H17</f>
        <v/>
      </c>
      <c r="E17" s="25">
        <f>Channels!I17</f>
        <v/>
      </c>
      <c r="F17" s="36">
        <f>Channels!O17</f>
        <v/>
      </c>
      <c r="G17" s="17" t="n"/>
      <c r="H17" s="14" t="n"/>
      <c r="I17" s="14" t="n"/>
      <c r="J17" s="17" t="n"/>
      <c r="K17" s="14" t="n"/>
      <c r="L17" s="14" t="n"/>
      <c r="M17" s="17" t="n"/>
      <c r="N17" s="14" t="n"/>
      <c r="O17" s="14" t="n"/>
      <c r="P17" s="36">
        <f>G17+J17+M17</f>
        <v/>
      </c>
      <c r="Q17" s="24">
        <f>H17+K17+N17</f>
        <v/>
      </c>
      <c r="R17" s="24">
        <f>I17+L17+O17</f>
        <v/>
      </c>
      <c r="S17" s="38">
        <f>IF(Q17&gt;0,P17/Q17,"")</f>
        <v/>
      </c>
      <c r="T17" s="25">
        <f>IF(Q17&gt;0,R17/Q17,"")</f>
        <v/>
      </c>
      <c r="U17" s="25">
        <f>(R17+Assumptions!$D$108*E17)/(Q17+Assumptions!$D$108)</f>
        <v/>
      </c>
      <c r="V17" s="36">
        <f>IF(U17&gt;0,IF(Q17&gt;=Assumptions!$D$86,S17,D17)/U17,0)</f>
        <v/>
      </c>
      <c r="W17" s="47">
        <f>IF(F17&gt;0,V17/F17,"")</f>
        <v/>
      </c>
      <c r="X17" s="2">
        <f>IF(D17=0,"Free – monitor quality",IF(F17=0,"SWITCH OFF – plan expects no qualified applicants",IF(AND(P17&lt;Assumptions!$D$85,Q17&lt;Assumptions!$D$86),"Wait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
      </c>
    </row>
    <row r="18">
      <c r="A18" s="2">
        <f>Channels!A18</f>
        <v/>
      </c>
      <c r="B18" s="2">
        <f>Channels!B18</f>
        <v/>
      </c>
      <c r="C18" s="2">
        <f>Channels!C18</f>
        <v/>
      </c>
      <c r="D18" s="38">
        <f>Channels!H18</f>
        <v/>
      </c>
      <c r="E18" s="25">
        <f>Channels!I18</f>
        <v/>
      </c>
      <c r="F18" s="36">
        <f>Channels!O18</f>
        <v/>
      </c>
      <c r="G18" s="17" t="n"/>
      <c r="H18" s="14" t="n"/>
      <c r="I18" s="14" t="n"/>
      <c r="J18" s="17" t="n"/>
      <c r="K18" s="14" t="n"/>
      <c r="L18" s="14" t="n"/>
      <c r="M18" s="17" t="n"/>
      <c r="N18" s="14" t="n"/>
      <c r="O18" s="14" t="n"/>
      <c r="P18" s="36">
        <f>G18+J18+M18</f>
        <v/>
      </c>
      <c r="Q18" s="24">
        <f>H18+K18+N18</f>
        <v/>
      </c>
      <c r="R18" s="24">
        <f>I18+L18+O18</f>
        <v/>
      </c>
      <c r="S18" s="38">
        <f>IF(Q18&gt;0,P18/Q18,"")</f>
        <v/>
      </c>
      <c r="T18" s="25">
        <f>IF(Q18&gt;0,R18/Q18,"")</f>
        <v/>
      </c>
      <c r="U18" s="25">
        <f>(R18+Assumptions!$D$108*E18)/(Q18+Assumptions!$D$108)</f>
        <v/>
      </c>
      <c r="V18" s="36">
        <f>IF(U18&gt;0,IF(Q18&gt;=Assumptions!$D$86,S18,D18)/U18,0)</f>
        <v/>
      </c>
      <c r="W18" s="47">
        <f>IF(F18&gt;0,V18/F18,"")</f>
        <v/>
      </c>
      <c r="X18" s="2">
        <f>IF(D18=0,"Free – monitor quality",IF(F18=0,"SWITCH OFF – plan expects no qualified applicants",IF(AND(P18&lt;Assumptions!$D$85,Q18&lt;Assumptions!$D$86),"Wait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
      </c>
    </row>
    <row r="19">
      <c r="A19" s="2">
        <f>Channels!A19</f>
        <v/>
      </c>
      <c r="B19" s="2">
        <f>Channels!B19</f>
        <v/>
      </c>
      <c r="C19" s="2">
        <f>Channels!C19</f>
        <v/>
      </c>
      <c r="D19" s="38">
        <f>Channels!H19</f>
        <v/>
      </c>
      <c r="E19" s="25">
        <f>Channels!I19</f>
        <v/>
      </c>
      <c r="F19" s="36">
        <f>Channels!O19</f>
        <v/>
      </c>
      <c r="G19" s="17" t="n"/>
      <c r="H19" s="14" t="n"/>
      <c r="I19" s="14" t="n"/>
      <c r="J19" s="17" t="n"/>
      <c r="K19" s="14" t="n"/>
      <c r="L19" s="14" t="n"/>
      <c r="M19" s="17" t="n"/>
      <c r="N19" s="14" t="n"/>
      <c r="O19" s="14" t="n"/>
      <c r="P19" s="36">
        <f>G19+J19+M19</f>
        <v/>
      </c>
      <c r="Q19" s="24">
        <f>H19+K19+N19</f>
        <v/>
      </c>
      <c r="R19" s="24">
        <f>I19+L19+O19</f>
        <v/>
      </c>
      <c r="S19" s="38">
        <f>IF(Q19&gt;0,P19/Q19,"")</f>
        <v/>
      </c>
      <c r="T19" s="25">
        <f>IF(Q19&gt;0,R19/Q19,"")</f>
        <v/>
      </c>
      <c r="U19" s="25">
        <f>(R19+Assumptions!$D$108*E19)/(Q19+Assumptions!$D$108)</f>
        <v/>
      </c>
      <c r="V19" s="36">
        <f>IF(U19&gt;0,IF(Q19&gt;=Assumptions!$D$86,S19,D19)/U19,0)</f>
        <v/>
      </c>
      <c r="W19" s="47">
        <f>IF(F19&gt;0,V19/F19,"")</f>
        <v/>
      </c>
      <c r="X19" s="2">
        <f>IF(D19=0,"Free – monitor quality",IF(F19=0,"SWITCH OFF – plan expects no qualified applicants",IF(AND(P19&lt;Assumptions!$D$85,Q19&lt;Assumptions!$D$86),"Wait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
      </c>
    </row>
    <row r="20">
      <c r="A20" s="2">
        <f>Channels!A20</f>
        <v/>
      </c>
      <c r="B20" s="2">
        <f>Channels!B20</f>
        <v/>
      </c>
      <c r="C20" s="2">
        <f>Channels!C20</f>
        <v/>
      </c>
      <c r="D20" s="38">
        <f>Channels!H20</f>
        <v/>
      </c>
      <c r="E20" s="25">
        <f>Channels!I20</f>
        <v/>
      </c>
      <c r="F20" s="36">
        <f>Channels!O20</f>
        <v/>
      </c>
      <c r="G20" s="17" t="n"/>
      <c r="H20" s="14" t="n"/>
      <c r="I20" s="14" t="n"/>
      <c r="J20" s="17" t="n"/>
      <c r="K20" s="14" t="n"/>
      <c r="L20" s="14" t="n"/>
      <c r="M20" s="17" t="n"/>
      <c r="N20" s="14" t="n"/>
      <c r="O20" s="14" t="n"/>
      <c r="P20" s="36">
        <f>G20+J20+M20</f>
        <v/>
      </c>
      <c r="Q20" s="24">
        <f>H20+K20+N20</f>
        <v/>
      </c>
      <c r="R20" s="24">
        <f>I20+L20+O20</f>
        <v/>
      </c>
      <c r="S20" s="38">
        <f>IF(Q20&gt;0,P20/Q20,"")</f>
        <v/>
      </c>
      <c r="T20" s="25">
        <f>IF(Q20&gt;0,R20/Q20,"")</f>
        <v/>
      </c>
      <c r="U20" s="25">
        <f>(R20+Assumptions!$D$108*E20)/(Q20+Assumptions!$D$108)</f>
        <v/>
      </c>
      <c r="V20" s="36">
        <f>IF(U20&gt;0,IF(Q20&gt;=Assumptions!$D$86,S20,D20)/U20,0)</f>
        <v/>
      </c>
      <c r="W20" s="47">
        <f>IF(F20&gt;0,V20/F20,"")</f>
        <v/>
      </c>
      <c r="X20" s="2">
        <f>IF(D20=0,"Free – monitor quality",IF(F20=0,"SWITCH OFF – plan expects no qualified applicants",IF(AND(P20&lt;Assumptions!$D$85,Q20&lt;Assumptions!$D$86),"Wait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
      </c>
    </row>
    <row r="21">
      <c r="A21" s="2">
        <f>Channels!A21</f>
        <v/>
      </c>
      <c r="B21" s="2">
        <f>Channels!B21</f>
        <v/>
      </c>
      <c r="C21" s="2">
        <f>Channels!C21</f>
        <v/>
      </c>
      <c r="D21" s="38">
        <f>Channels!H21</f>
        <v/>
      </c>
      <c r="E21" s="25">
        <f>Channels!I21</f>
        <v/>
      </c>
      <c r="F21" s="36">
        <f>Channels!O21</f>
        <v/>
      </c>
      <c r="G21" s="17" t="n"/>
      <c r="H21" s="14" t="n"/>
      <c r="I21" s="14" t="n"/>
      <c r="J21" s="17" t="n"/>
      <c r="K21" s="14" t="n"/>
      <c r="L21" s="14" t="n"/>
      <c r="M21" s="17" t="n"/>
      <c r="N21" s="14" t="n"/>
      <c r="O21" s="14" t="n"/>
      <c r="P21" s="36">
        <f>G21+J21+M21</f>
        <v/>
      </c>
      <c r="Q21" s="24">
        <f>H21+K21+N21</f>
        <v/>
      </c>
      <c r="R21" s="24">
        <f>I21+L21+O21</f>
        <v/>
      </c>
      <c r="S21" s="38">
        <f>IF(Q21&gt;0,P21/Q21,"")</f>
        <v/>
      </c>
      <c r="T21" s="25">
        <f>IF(Q21&gt;0,R21/Q21,"")</f>
        <v/>
      </c>
      <c r="U21" s="25">
        <f>(R21+Assumptions!$D$108*E21)/(Q21+Assumptions!$D$108)</f>
        <v/>
      </c>
      <c r="V21" s="36">
        <f>IF(U21&gt;0,IF(Q21&gt;=Assumptions!$D$86,S21,D21)/U21,0)</f>
        <v/>
      </c>
      <c r="W21" s="47">
        <f>IF(F21&gt;0,V21/F21,"")</f>
        <v/>
      </c>
      <c r="X21" s="2">
        <f>IF(D21=0,"Free – monitor quality",IF(F21=0,"SWITCH OFF – plan expects no qualified applicants",IF(AND(P21&lt;Assumptions!$D$85,Q21&lt;Assumptions!$D$86),"Wait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
      </c>
    </row>
    <row r="22">
      <c r="A22" s="2">
        <f>Channels!A22</f>
        <v/>
      </c>
      <c r="B22" s="2">
        <f>Channels!B22</f>
        <v/>
      </c>
      <c r="C22" s="2">
        <f>Channels!C22</f>
        <v/>
      </c>
      <c r="D22" s="38">
        <f>Channels!H22</f>
        <v/>
      </c>
      <c r="E22" s="25">
        <f>Channels!I22</f>
        <v/>
      </c>
      <c r="F22" s="36">
        <f>Channels!O22</f>
        <v/>
      </c>
      <c r="G22" s="17" t="n"/>
      <c r="H22" s="14" t="n"/>
      <c r="I22" s="14" t="n"/>
      <c r="J22" s="17" t="n"/>
      <c r="K22" s="14" t="n"/>
      <c r="L22" s="14" t="n"/>
      <c r="M22" s="17" t="n"/>
      <c r="N22" s="14" t="n"/>
      <c r="O22" s="14" t="n"/>
      <c r="P22" s="36">
        <f>G22+J22+M22</f>
        <v/>
      </c>
      <c r="Q22" s="24">
        <f>H22+K22+N22</f>
        <v/>
      </c>
      <c r="R22" s="24">
        <f>I22+L22+O22</f>
        <v/>
      </c>
      <c r="S22" s="38">
        <f>IF(Q22&gt;0,P22/Q22,"")</f>
        <v/>
      </c>
      <c r="T22" s="25">
        <f>IF(Q22&gt;0,R22/Q22,"")</f>
        <v/>
      </c>
      <c r="U22" s="25">
        <f>(R22+Assumptions!$D$108*E22)/(Q22+Assumptions!$D$108)</f>
        <v/>
      </c>
      <c r="V22" s="36">
        <f>IF(U22&gt;0,IF(Q22&gt;=Assumptions!$D$86,S22,D22)/U22,0)</f>
        <v/>
      </c>
      <c r="W22" s="47">
        <f>IF(F22&gt;0,V22/F22,"")</f>
        <v/>
      </c>
      <c r="X22" s="2">
        <f>IF(D22=0,"Free – monitor quality",IF(F22=0,"SWITCH OFF – plan expects no qualified applicants",IF(AND(P22&lt;Assumptions!$D$85,Q22&lt;Assumptions!$D$86),"Wait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
      </c>
    </row>
    <row r="23">
      <c r="A23" s="2">
        <f>Channels!A23</f>
        <v/>
      </c>
      <c r="B23" s="2">
        <f>Channels!B23</f>
        <v/>
      </c>
      <c r="C23" s="2">
        <f>Channels!C23</f>
        <v/>
      </c>
      <c r="D23" s="38">
        <f>Channels!H23</f>
        <v/>
      </c>
      <c r="E23" s="25">
        <f>Channels!I23</f>
        <v/>
      </c>
      <c r="F23" s="36">
        <f>Channels!O23</f>
        <v/>
      </c>
      <c r="G23" s="17" t="n"/>
      <c r="H23" s="14" t="n"/>
      <c r="I23" s="14" t="n"/>
      <c r="J23" s="17" t="n"/>
      <c r="K23" s="14" t="n"/>
      <c r="L23" s="14" t="n"/>
      <c r="M23" s="17" t="n"/>
      <c r="N23" s="14" t="n"/>
      <c r="O23" s="14" t="n"/>
      <c r="P23" s="36">
        <f>G23+J23+M23</f>
        <v/>
      </c>
      <c r="Q23" s="24">
        <f>H23+K23+N23</f>
        <v/>
      </c>
      <c r="R23" s="24">
        <f>I23+L23+O23</f>
        <v/>
      </c>
      <c r="S23" s="38">
        <f>IF(Q23&gt;0,P23/Q23,"")</f>
        <v/>
      </c>
      <c r="T23" s="25">
        <f>IF(Q23&gt;0,R23/Q23,"")</f>
        <v/>
      </c>
      <c r="U23" s="25">
        <f>(R23+Assumptions!$D$108*E23)/(Q23+Assumptions!$D$108)</f>
        <v/>
      </c>
      <c r="V23" s="36">
        <f>IF(U23&gt;0,IF(Q23&gt;=Assumptions!$D$86,S23,D23)/U23,0)</f>
        <v/>
      </c>
      <c r="W23" s="47">
        <f>IF(F23&gt;0,V23/F23,"")</f>
        <v/>
      </c>
      <c r="X23" s="2">
        <f>IF(D23=0,"Free – monitor quality",IF(F23=0,"SWITCH OFF – plan expects no qualified applicants",IF(AND(P23&lt;Assumptions!$D$85,Q23&lt;Assumptions!$D$86),"Wait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
      </c>
    </row>
    <row r="24">
      <c r="A24" s="2">
        <f>Channels!A24</f>
        <v/>
      </c>
      <c r="B24" s="2">
        <f>Channels!B24</f>
        <v/>
      </c>
      <c r="C24" s="2">
        <f>Channels!C24</f>
        <v/>
      </c>
      <c r="D24" s="38">
        <f>Channels!H24</f>
        <v/>
      </c>
      <c r="E24" s="25">
        <f>Channels!I24</f>
        <v/>
      </c>
      <c r="F24" s="36">
        <f>Channels!O24</f>
        <v/>
      </c>
      <c r="G24" s="17" t="n"/>
      <c r="H24" s="14" t="n"/>
      <c r="I24" s="14" t="n"/>
      <c r="J24" s="17" t="n"/>
      <c r="K24" s="14" t="n"/>
      <c r="L24" s="14" t="n"/>
      <c r="M24" s="17" t="n"/>
      <c r="N24" s="14" t="n"/>
      <c r="O24" s="14" t="n"/>
      <c r="P24" s="36">
        <f>G24+J24+M24</f>
        <v/>
      </c>
      <c r="Q24" s="24">
        <f>H24+K24+N24</f>
        <v/>
      </c>
      <c r="R24" s="24">
        <f>I24+L24+O24</f>
        <v/>
      </c>
      <c r="S24" s="38">
        <f>IF(Q24&gt;0,P24/Q24,"")</f>
        <v/>
      </c>
      <c r="T24" s="25">
        <f>IF(Q24&gt;0,R24/Q24,"")</f>
        <v/>
      </c>
      <c r="U24" s="25">
        <f>(R24+Assumptions!$D$108*E24)/(Q24+Assumptions!$D$108)</f>
        <v/>
      </c>
      <c r="V24" s="36">
        <f>IF(U24&gt;0,IF(Q24&gt;=Assumptions!$D$86,S24,D24)/U24,0)</f>
        <v/>
      </c>
      <c r="W24" s="47">
        <f>IF(F24&gt;0,V24/F24,"")</f>
        <v/>
      </c>
      <c r="X24" s="2">
        <f>IF(D24=0,"Free – monitor quality",IF(F24=0,"SWITCH OFF – plan expects no qualified applicants",IF(AND(P24&lt;Assumptions!$D$85,Q24&lt;Assumptions!$D$86),"Wait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
      </c>
    </row>
    <row r="25">
      <c r="A25" s="2">
        <f>Channels!A25</f>
        <v/>
      </c>
      <c r="B25" s="2">
        <f>Channels!B25</f>
        <v/>
      </c>
      <c r="C25" s="2">
        <f>Channels!C25</f>
        <v/>
      </c>
      <c r="D25" s="38">
        <f>Channels!H25</f>
        <v/>
      </c>
      <c r="E25" s="25">
        <f>Channels!I25</f>
        <v/>
      </c>
      <c r="F25" s="36">
        <f>Channels!O25</f>
        <v/>
      </c>
      <c r="G25" s="17" t="n"/>
      <c r="H25" s="14" t="n"/>
      <c r="I25" s="14" t="n"/>
      <c r="J25" s="17" t="n"/>
      <c r="K25" s="14" t="n"/>
      <c r="L25" s="14" t="n"/>
      <c r="M25" s="17" t="n"/>
      <c r="N25" s="14" t="n"/>
      <c r="O25" s="14" t="n"/>
      <c r="P25" s="36">
        <f>G25+J25+M25</f>
        <v/>
      </c>
      <c r="Q25" s="24">
        <f>H25+K25+N25</f>
        <v/>
      </c>
      <c r="R25" s="24">
        <f>I25+L25+O25</f>
        <v/>
      </c>
      <c r="S25" s="38">
        <f>IF(Q25&gt;0,P25/Q25,"")</f>
        <v/>
      </c>
      <c r="T25" s="25">
        <f>IF(Q25&gt;0,R25/Q25,"")</f>
        <v/>
      </c>
      <c r="U25" s="25">
        <f>(R25+Assumptions!$D$108*E25)/(Q25+Assumptions!$D$108)</f>
        <v/>
      </c>
      <c r="V25" s="36">
        <f>IF(U25&gt;0,IF(Q25&gt;=Assumptions!$D$86,S25,D25)/U25,0)</f>
        <v/>
      </c>
      <c r="W25" s="47">
        <f>IF(F25&gt;0,V25/F25,"")</f>
        <v/>
      </c>
      <c r="X25" s="2">
        <f>IF(D25=0,"Free – monitor quality",IF(F25=0,"SWITCH OFF – plan expects no qualified applicants",IF(AND(P25&lt;Assumptions!$D$85,Q25&lt;Assumptions!$D$86),"Wait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
      </c>
    </row>
    <row r="26">
      <c r="A26" s="2">
        <f>Channels!A26</f>
        <v/>
      </c>
      <c r="B26" s="2">
        <f>Channels!B26</f>
        <v/>
      </c>
      <c r="C26" s="2">
        <f>Channels!C26</f>
        <v/>
      </c>
      <c r="D26" s="38">
        <f>Channels!H26</f>
        <v/>
      </c>
      <c r="E26" s="25">
        <f>Channels!I26</f>
        <v/>
      </c>
      <c r="F26" s="36">
        <f>Channels!O26</f>
        <v/>
      </c>
      <c r="G26" s="17" t="n"/>
      <c r="H26" s="14" t="n"/>
      <c r="I26" s="14" t="n"/>
      <c r="J26" s="17" t="n"/>
      <c r="K26" s="14" t="n"/>
      <c r="L26" s="14" t="n"/>
      <c r="M26" s="17" t="n"/>
      <c r="N26" s="14" t="n"/>
      <c r="O26" s="14" t="n"/>
      <c r="P26" s="36">
        <f>G26+J26+M26</f>
        <v/>
      </c>
      <c r="Q26" s="24">
        <f>H26+K26+N26</f>
        <v/>
      </c>
      <c r="R26" s="24">
        <f>I26+L26+O26</f>
        <v/>
      </c>
      <c r="S26" s="38">
        <f>IF(Q26&gt;0,P26/Q26,"")</f>
        <v/>
      </c>
      <c r="T26" s="25">
        <f>IF(Q26&gt;0,R26/Q26,"")</f>
        <v/>
      </c>
      <c r="U26" s="25">
        <f>(R26+Assumptions!$D$108*E26)/(Q26+Assumptions!$D$108)</f>
        <v/>
      </c>
      <c r="V26" s="36">
        <f>IF(U26&gt;0,IF(Q26&gt;=Assumptions!$D$86,S26,D26)/U26,0)</f>
        <v/>
      </c>
      <c r="W26" s="47">
        <f>IF(F26&gt;0,V26/F26,"")</f>
        <v/>
      </c>
      <c r="X26" s="2">
        <f>IF(D26=0,"Free – monitor quality",IF(F26=0,"SWITCH OFF – plan expects no qualified applicants",IF(AND(P26&lt;Assumptions!$D$85,Q26&lt;Assumptions!$D$86),"Wait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
      </c>
    </row>
    <row r="27">
      <c r="A27" s="2">
        <f>Channels!A27</f>
        <v/>
      </c>
      <c r="B27" s="2">
        <f>Channels!B27</f>
        <v/>
      </c>
      <c r="C27" s="2">
        <f>Channels!C27</f>
        <v/>
      </c>
      <c r="D27" s="38">
        <f>Channels!H27</f>
        <v/>
      </c>
      <c r="E27" s="25">
        <f>Channels!I27</f>
        <v/>
      </c>
      <c r="F27" s="36">
        <f>Channels!O27</f>
        <v/>
      </c>
      <c r="G27" s="17" t="n"/>
      <c r="H27" s="14" t="n"/>
      <c r="I27" s="14" t="n"/>
      <c r="J27" s="17" t="n"/>
      <c r="K27" s="14" t="n"/>
      <c r="L27" s="14" t="n"/>
      <c r="M27" s="17" t="n"/>
      <c r="N27" s="14" t="n"/>
      <c r="O27" s="14" t="n"/>
      <c r="P27" s="36">
        <f>G27+J27+M27</f>
        <v/>
      </c>
      <c r="Q27" s="24">
        <f>H27+K27+N27</f>
        <v/>
      </c>
      <c r="R27" s="24">
        <f>I27+L27+O27</f>
        <v/>
      </c>
      <c r="S27" s="38">
        <f>IF(Q27&gt;0,P27/Q27,"")</f>
        <v/>
      </c>
      <c r="T27" s="25">
        <f>IF(Q27&gt;0,R27/Q27,"")</f>
        <v/>
      </c>
      <c r="U27" s="25">
        <f>(R27+Assumptions!$D$108*E27)/(Q27+Assumptions!$D$108)</f>
        <v/>
      </c>
      <c r="V27" s="36">
        <f>IF(U27&gt;0,IF(Q27&gt;=Assumptions!$D$86,S27,D27)/U27,0)</f>
        <v/>
      </c>
      <c r="W27" s="47">
        <f>IF(F27&gt;0,V27/F27,"")</f>
        <v/>
      </c>
      <c r="X27" s="2">
        <f>IF(D27=0,"Free – monitor quality",IF(F27=0,"SWITCH OFF – plan expects no qualified applicants",IF(AND(P27&lt;Assumptions!$D$85,Q27&lt;Assumptions!$D$86),"Wait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
      </c>
    </row>
    <row r="28">
      <c r="A28" s="2">
        <f>Channels!A28</f>
        <v/>
      </c>
      <c r="B28" s="2">
        <f>Channels!B28</f>
        <v/>
      </c>
      <c r="C28" s="2">
        <f>Channels!C28</f>
        <v/>
      </c>
      <c r="D28" s="38">
        <f>Channels!H28</f>
        <v/>
      </c>
      <c r="E28" s="25">
        <f>Channels!I28</f>
        <v/>
      </c>
      <c r="F28" s="36">
        <f>Channels!O28</f>
        <v/>
      </c>
      <c r="G28" s="17" t="n"/>
      <c r="H28" s="14" t="n"/>
      <c r="I28" s="14" t="n"/>
      <c r="J28" s="17" t="n"/>
      <c r="K28" s="14" t="n"/>
      <c r="L28" s="14" t="n"/>
      <c r="M28" s="17" t="n"/>
      <c r="N28" s="14" t="n"/>
      <c r="O28" s="14" t="n"/>
      <c r="P28" s="36">
        <f>G28+J28+M28</f>
        <v/>
      </c>
      <c r="Q28" s="24">
        <f>H28+K28+N28</f>
        <v/>
      </c>
      <c r="R28" s="24">
        <f>I28+L28+O28</f>
        <v/>
      </c>
      <c r="S28" s="38">
        <f>IF(Q28&gt;0,P28/Q28,"")</f>
        <v/>
      </c>
      <c r="T28" s="25">
        <f>IF(Q28&gt;0,R28/Q28,"")</f>
        <v/>
      </c>
      <c r="U28" s="25">
        <f>(R28+Assumptions!$D$108*E28)/(Q28+Assumptions!$D$108)</f>
        <v/>
      </c>
      <c r="V28" s="36">
        <f>IF(U28&gt;0,IF(Q28&gt;=Assumptions!$D$86,S28,D28)/U28,0)</f>
        <v/>
      </c>
      <c r="W28" s="47">
        <f>IF(F28&gt;0,V28/F28,"")</f>
        <v/>
      </c>
      <c r="X28" s="2">
        <f>IF(D28=0,"Free – monitor quality",IF(F28=0,"SWITCH OFF – plan expects no qualified applicants",IF(AND(P28&lt;Assumptions!$D$85,Q28&lt;Assumptions!$D$86),"Wait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
      </c>
    </row>
    <row r="29">
      <c r="A29" s="2">
        <f>Channels!A29</f>
        <v/>
      </c>
      <c r="B29" s="2">
        <f>Channels!B29</f>
        <v/>
      </c>
      <c r="C29" s="2">
        <f>Channels!C29</f>
        <v/>
      </c>
      <c r="D29" s="38">
        <f>Channels!H29</f>
        <v/>
      </c>
      <c r="E29" s="25">
        <f>Channels!I29</f>
        <v/>
      </c>
      <c r="F29" s="36">
        <f>Channels!O29</f>
        <v/>
      </c>
      <c r="G29" s="17" t="n"/>
      <c r="H29" s="14" t="n"/>
      <c r="I29" s="14" t="n"/>
      <c r="J29" s="17" t="n"/>
      <c r="K29" s="14" t="n"/>
      <c r="L29" s="14" t="n"/>
      <c r="M29" s="17" t="n"/>
      <c r="N29" s="14" t="n"/>
      <c r="O29" s="14" t="n"/>
      <c r="P29" s="36">
        <f>G29+J29+M29</f>
        <v/>
      </c>
      <c r="Q29" s="24">
        <f>H29+K29+N29</f>
        <v/>
      </c>
      <c r="R29" s="24">
        <f>I29+L29+O29</f>
        <v/>
      </c>
      <c r="S29" s="38">
        <f>IF(Q29&gt;0,P29/Q29,"")</f>
        <v/>
      </c>
      <c r="T29" s="25">
        <f>IF(Q29&gt;0,R29/Q29,"")</f>
        <v/>
      </c>
      <c r="U29" s="25">
        <f>(R29+Assumptions!$D$108*E29)/(Q29+Assumptions!$D$108)</f>
        <v/>
      </c>
      <c r="V29" s="36">
        <f>IF(U29&gt;0,IF(Q29&gt;=Assumptions!$D$86,S29,D29)/U29,0)</f>
        <v/>
      </c>
      <c r="W29" s="47">
        <f>IF(F29&gt;0,V29/F29,"")</f>
        <v/>
      </c>
      <c r="X29" s="2">
        <f>IF(D29=0,"Free – monitor quality",IF(F29=0,"SWITCH OFF – plan expects no qualified applicants",IF(AND(P29&lt;Assumptions!$D$85,Q29&lt;Assumptions!$D$86),"Wait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
      </c>
    </row>
    <row r="30">
      <c r="A30" s="2">
        <f>Channels!A30</f>
        <v/>
      </c>
      <c r="B30" s="2">
        <f>Channels!B30</f>
        <v/>
      </c>
      <c r="C30" s="2">
        <f>Channels!C30</f>
        <v/>
      </c>
      <c r="D30" s="38">
        <f>Channels!H30</f>
        <v/>
      </c>
      <c r="E30" s="25">
        <f>Channels!I30</f>
        <v/>
      </c>
      <c r="F30" s="36">
        <f>Channels!O30</f>
        <v/>
      </c>
      <c r="G30" s="17" t="n"/>
      <c r="H30" s="14" t="n"/>
      <c r="I30" s="14" t="n"/>
      <c r="J30" s="17" t="n"/>
      <c r="K30" s="14" t="n"/>
      <c r="L30" s="14" t="n"/>
      <c r="M30" s="17" t="n"/>
      <c r="N30" s="14" t="n"/>
      <c r="O30" s="14" t="n"/>
      <c r="P30" s="36">
        <f>G30+J30+M30</f>
        <v/>
      </c>
      <c r="Q30" s="24">
        <f>H30+K30+N30</f>
        <v/>
      </c>
      <c r="R30" s="24">
        <f>I30+L30+O30</f>
        <v/>
      </c>
      <c r="S30" s="38">
        <f>IF(Q30&gt;0,P30/Q30,"")</f>
        <v/>
      </c>
      <c r="T30" s="25">
        <f>IF(Q30&gt;0,R30/Q30,"")</f>
        <v/>
      </c>
      <c r="U30" s="25">
        <f>(R30+Assumptions!$D$108*E30)/(Q30+Assumptions!$D$108)</f>
        <v/>
      </c>
      <c r="V30" s="36">
        <f>IF(U30&gt;0,IF(Q30&gt;=Assumptions!$D$86,S30,D30)/U30,0)</f>
        <v/>
      </c>
      <c r="W30" s="47">
        <f>IF(F30&gt;0,V30/F30,"")</f>
        <v/>
      </c>
      <c r="X30" s="2">
        <f>IF(D30=0,"Free – monitor quality",IF(F30=0,"SWITCH OFF – plan expects no qualified applicants",IF(AND(P30&lt;Assumptions!$D$85,Q30&lt;Assumptions!$D$86),"Wait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
      </c>
    </row>
    <row r="31">
      <c r="A31" s="2">
        <f>Channels!A31</f>
        <v/>
      </c>
      <c r="B31" s="2">
        <f>Channels!B31</f>
        <v/>
      </c>
      <c r="C31" s="2">
        <f>Channels!C31</f>
        <v/>
      </c>
      <c r="D31" s="38">
        <f>Channels!H31</f>
        <v/>
      </c>
      <c r="E31" s="25">
        <f>Channels!I31</f>
        <v/>
      </c>
      <c r="F31" s="36">
        <f>Channels!O31</f>
        <v/>
      </c>
      <c r="G31" s="17" t="n"/>
      <c r="H31" s="14" t="n"/>
      <c r="I31" s="14" t="n"/>
      <c r="J31" s="17" t="n"/>
      <c r="K31" s="14" t="n"/>
      <c r="L31" s="14" t="n"/>
      <c r="M31" s="17" t="n"/>
      <c r="N31" s="14" t="n"/>
      <c r="O31" s="14" t="n"/>
      <c r="P31" s="36">
        <f>G31+J31+M31</f>
        <v/>
      </c>
      <c r="Q31" s="24">
        <f>H31+K31+N31</f>
        <v/>
      </c>
      <c r="R31" s="24">
        <f>I31+L31+O31</f>
        <v/>
      </c>
      <c r="S31" s="38">
        <f>IF(Q31&gt;0,P31/Q31,"")</f>
        <v/>
      </c>
      <c r="T31" s="25">
        <f>IF(Q31&gt;0,R31/Q31,"")</f>
        <v/>
      </c>
      <c r="U31" s="25">
        <f>(R31+Assumptions!$D$108*E31)/(Q31+Assumptions!$D$108)</f>
        <v/>
      </c>
      <c r="V31" s="36">
        <f>IF(U31&gt;0,IF(Q31&gt;=Assumptions!$D$86,S31,D31)/U31,0)</f>
        <v/>
      </c>
      <c r="W31" s="47">
        <f>IF(F31&gt;0,V31/F31,"")</f>
        <v/>
      </c>
      <c r="X31" s="2">
        <f>IF(D31=0,"Free – monitor quality",IF(F31=0,"SWITCH OFF – plan expects no qualified applicants",IF(AND(P31&lt;Assumptions!$D$85,Q31&lt;Assumptions!$D$86),"Wait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
      </c>
    </row>
    <row r="32">
      <c r="A32" s="2">
        <f>Channels!A32</f>
        <v/>
      </c>
      <c r="B32" s="2">
        <f>Channels!B32</f>
        <v/>
      </c>
      <c r="C32" s="2">
        <f>Channels!C32</f>
        <v/>
      </c>
      <c r="D32" s="38">
        <f>Channels!H32</f>
        <v/>
      </c>
      <c r="E32" s="25">
        <f>Channels!I32</f>
        <v/>
      </c>
      <c r="F32" s="36">
        <f>Channels!O32</f>
        <v/>
      </c>
      <c r="G32" s="17" t="n"/>
      <c r="H32" s="14" t="n"/>
      <c r="I32" s="14" t="n"/>
      <c r="J32" s="17" t="n"/>
      <c r="K32" s="14" t="n"/>
      <c r="L32" s="14" t="n"/>
      <c r="M32" s="17" t="n"/>
      <c r="N32" s="14" t="n"/>
      <c r="O32" s="14" t="n"/>
      <c r="P32" s="36">
        <f>G32+J32+M32</f>
        <v/>
      </c>
      <c r="Q32" s="24">
        <f>H32+K32+N32</f>
        <v/>
      </c>
      <c r="R32" s="24">
        <f>I32+L32+O32</f>
        <v/>
      </c>
      <c r="S32" s="38">
        <f>IF(Q32&gt;0,P32/Q32,"")</f>
        <v/>
      </c>
      <c r="T32" s="25">
        <f>IF(Q32&gt;0,R32/Q32,"")</f>
        <v/>
      </c>
      <c r="U32" s="25">
        <f>(R32+Assumptions!$D$108*E32)/(Q32+Assumptions!$D$108)</f>
        <v/>
      </c>
      <c r="V32" s="36">
        <f>IF(U32&gt;0,IF(Q32&gt;=Assumptions!$D$86,S32,D32)/U32,0)</f>
        <v/>
      </c>
      <c r="W32" s="47">
        <f>IF(F32&gt;0,V32/F32,"")</f>
        <v/>
      </c>
      <c r="X32" s="2">
        <f>IF(D32=0,"Free – monitor quality",IF(F32=0,"SWITCH OFF – plan expects no qualified applicants",IF(AND(P32&lt;Assumptions!$D$85,Q32&lt;Assumptions!$D$86),"Wait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
      </c>
    </row>
    <row r="33">
      <c r="A33" s="2">
        <f>Channels!A33</f>
        <v/>
      </c>
      <c r="B33" s="2">
        <f>Channels!B33</f>
        <v/>
      </c>
      <c r="C33" s="2">
        <f>Channels!C33</f>
        <v/>
      </c>
      <c r="D33" s="38">
        <f>Channels!H33</f>
        <v/>
      </c>
      <c r="E33" s="25">
        <f>Channels!I33</f>
        <v/>
      </c>
      <c r="F33" s="36">
        <f>Channels!O33</f>
        <v/>
      </c>
      <c r="G33" s="17" t="n"/>
      <c r="H33" s="14" t="n"/>
      <c r="I33" s="14" t="n"/>
      <c r="J33" s="17" t="n"/>
      <c r="K33" s="14" t="n"/>
      <c r="L33" s="14" t="n"/>
      <c r="M33" s="17" t="n"/>
      <c r="N33" s="14" t="n"/>
      <c r="O33" s="14" t="n"/>
      <c r="P33" s="36">
        <f>G33+J33+M33</f>
        <v/>
      </c>
      <c r="Q33" s="24">
        <f>H33+K33+N33</f>
        <v/>
      </c>
      <c r="R33" s="24">
        <f>I33+L33+O33</f>
        <v/>
      </c>
      <c r="S33" s="38">
        <f>IF(Q33&gt;0,P33/Q33,"")</f>
        <v/>
      </c>
      <c r="T33" s="25">
        <f>IF(Q33&gt;0,R33/Q33,"")</f>
        <v/>
      </c>
      <c r="U33" s="25">
        <f>(R33+Assumptions!$D$108*E33)/(Q33+Assumptions!$D$108)</f>
        <v/>
      </c>
      <c r="V33" s="36">
        <f>IF(U33&gt;0,IF(Q33&gt;=Assumptions!$D$86,S33,D33)/U33,0)</f>
        <v/>
      </c>
      <c r="W33" s="47">
        <f>IF(F33&gt;0,V33/F33,"")</f>
        <v/>
      </c>
      <c r="X33" s="2">
        <f>IF(D33=0,"Free – monitor quality",IF(F33=0,"SWITCH OFF – plan expects no qualified applicants",IF(AND(P33&lt;Assumptions!$D$85,Q33&lt;Assumptions!$D$86),"Wait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
      </c>
    </row>
    <row r="34">
      <c r="A34" s="2">
        <f>Channels!A34</f>
        <v/>
      </c>
      <c r="B34" s="2">
        <f>Channels!B34</f>
        <v/>
      </c>
      <c r="C34" s="2">
        <f>Channels!C34</f>
        <v/>
      </c>
      <c r="D34" s="38">
        <f>Channels!H34</f>
        <v/>
      </c>
      <c r="E34" s="25">
        <f>Channels!I34</f>
        <v/>
      </c>
      <c r="F34" s="36">
        <f>Channels!O34</f>
        <v/>
      </c>
      <c r="G34" s="17" t="n"/>
      <c r="H34" s="14" t="n"/>
      <c r="I34" s="14" t="n"/>
      <c r="J34" s="17" t="n"/>
      <c r="K34" s="14" t="n"/>
      <c r="L34" s="14" t="n"/>
      <c r="M34" s="17" t="n"/>
      <c r="N34" s="14" t="n"/>
      <c r="O34" s="14" t="n"/>
      <c r="P34" s="36">
        <f>G34+J34+M34</f>
        <v/>
      </c>
      <c r="Q34" s="24">
        <f>H34+K34+N34</f>
        <v/>
      </c>
      <c r="R34" s="24">
        <f>I34+L34+O34</f>
        <v/>
      </c>
      <c r="S34" s="38">
        <f>IF(Q34&gt;0,P34/Q34,"")</f>
        <v/>
      </c>
      <c r="T34" s="25">
        <f>IF(Q34&gt;0,R34/Q34,"")</f>
        <v/>
      </c>
      <c r="U34" s="25">
        <f>(R34+Assumptions!$D$108*E34)/(Q34+Assumptions!$D$108)</f>
        <v/>
      </c>
      <c r="V34" s="36">
        <f>IF(U34&gt;0,IF(Q34&gt;=Assumptions!$D$86,S34,D34)/U34,0)</f>
        <v/>
      </c>
      <c r="W34" s="47">
        <f>IF(F34&gt;0,V34/F34,"")</f>
        <v/>
      </c>
      <c r="X34" s="2">
        <f>IF(D34=0,"Free – monitor quality",IF(F34=0,"SWITCH OFF – plan expects no qualified applicants",IF(AND(P34&lt;Assumptions!$D$85,Q34&lt;Assumptions!$D$86),"Wait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
      </c>
    </row>
    <row r="35">
      <c r="B35" s="23" t="inlineStr">
        <is>
          <t>Total</t>
        </is>
      </c>
      <c r="G35" s="37">
        <f>SUM(G5:G34)</f>
        <v/>
      </c>
      <c r="H35" s="28">
        <f>SUM(H5:H34)</f>
        <v/>
      </c>
      <c r="I35" s="28">
        <f>SUM(I5:I34)</f>
        <v/>
      </c>
      <c r="J35" s="37">
        <f>SUM(J5:J34)</f>
        <v/>
      </c>
      <c r="K35" s="28">
        <f>SUM(K5:K34)</f>
        <v/>
      </c>
      <c r="L35" s="28">
        <f>SUM(L5:L34)</f>
        <v/>
      </c>
      <c r="M35" s="37">
        <f>SUM(M5:M34)</f>
        <v/>
      </c>
      <c r="N35" s="28">
        <f>SUM(N5:N34)</f>
        <v/>
      </c>
      <c r="O35" s="28">
        <f>SUM(O5:O34)</f>
        <v/>
      </c>
      <c r="P35" s="37">
        <f>SUM(P5:P34)</f>
        <v/>
      </c>
      <c r="Q35" s="28">
        <f>SUM(Q5:Q34)</f>
        <v/>
      </c>
      <c r="R35" s="28">
        <f>SUM(R5:R34)</f>
        <v/>
      </c>
    </row>
    <row r="36"/>
    <row r="37"/>
    <row r="38">
      <c r="A38" s="23" t="inlineStr">
        <is>
          <t>Role-level funnel actuals (cumulative) → re-forecast hires</t>
        </is>
      </c>
    </row>
    <row r="39" ht="45" customHeight="1">
      <c r="A39" s="12" t="inlineStr"/>
      <c r="B39" s="12" t="inlineStr">
        <is>
          <t>Role</t>
        </is>
      </c>
      <c r="C39" s="12" t="inlineStr">
        <is>
          <t>Qualified assessed</t>
        </is>
      </c>
      <c r="D39" s="12" t="inlineStr">
        <is>
          <t>Interviewed (result known)</t>
        </is>
      </c>
      <c r="E39" s="12" t="inlineStr">
        <is>
          <t>Passed</t>
        </is>
      </c>
      <c r="F39" s="12" t="inlineStr">
        <is>
          <t>Offers</t>
        </is>
      </c>
      <c r="G39" s="12" t="inlineStr">
        <is>
          <t>Signed</t>
        </is>
      </c>
      <c r="H39" s="12" t="inlineStr">
        <is>
          <t>Plan pass</t>
        </is>
      </c>
      <c r="I39" s="12" t="inlineStr">
        <is>
          <t>Actual pass</t>
        </is>
      </c>
      <c r="J39" s="12" t="inlineStr">
        <is>
          <t>Plan offer→signed</t>
        </is>
      </c>
      <c r="K39" s="12" t="inlineStr">
        <is>
          <t>Actual offer→signed</t>
        </is>
      </c>
      <c r="L39" s="12" t="inlineStr">
        <is>
          <t>Updated qual.→signed (plan mix)</t>
        </is>
      </c>
      <c r="M39" s="12" t="inlineStr">
        <is>
          <t>Remaining planned qualified</t>
        </is>
      </c>
      <c r="N39" s="12" t="inlineStr">
        <is>
          <t>Re-forecast hires</t>
        </is>
      </c>
      <c r="O39" s="12" t="inlineStr">
        <is>
          <t>Openings</t>
        </is>
      </c>
      <c r="P39" s="12" t="inlineStr">
        <is>
          <t>Gap</t>
        </is>
      </c>
    </row>
    <row r="40">
      <c r="B40" s="2" t="inlineStr">
        <is>
          <t>Electricians</t>
        </is>
      </c>
      <c r="C40" s="14" t="n"/>
      <c r="D40" s="14" t="n"/>
      <c r="E40" s="14" t="n"/>
      <c r="F40" s="14" t="n"/>
      <c r="G40" s="14" t="n"/>
      <c r="H40" s="25">
        <f>Assumptions!$D$33</f>
        <v/>
      </c>
      <c r="I40" s="25">
        <f>IF(D40&gt;=Assumptions!$D$101,E40/D40,H40)</f>
        <v/>
      </c>
      <c r="J40" s="25">
        <f>Assumptions!$D$41</f>
        <v/>
      </c>
      <c r="K40" s="25">
        <f>IF(F40&gt;=Assumptions!$D$102,G40/F40,J40)</f>
        <v/>
      </c>
      <c r="L40" s="26">
        <f>IF(Funnel!O5*Funnel!G5&gt;0,I40*Assumptions!$D$37*K40*Budget!G21/(Funnel!O5*Funnel!G5),0)</f>
        <v/>
      </c>
      <c r="M40" s="27">
        <f>MAX(0,Funnel!O5-C40)</f>
        <v/>
      </c>
      <c r="N40" s="41">
        <f>MIN(O40,G40+(F40-G40)*K40+(E40-F40)*Assumptions!$D$37*K40+(C40-D40)*L40+M40*L40)</f>
        <v/>
      </c>
      <c r="O40" s="24">
        <f>Funnel!B5</f>
        <v/>
      </c>
      <c r="P40" s="27">
        <f>O40-N40</f>
        <v/>
      </c>
    </row>
    <row r="41">
      <c r="B41" s="2" t="inlineStr">
        <is>
          <t>Mechatronics</t>
        </is>
      </c>
      <c r="C41" s="14" t="n"/>
      <c r="D41" s="14" t="n"/>
      <c r="E41" s="14" t="n"/>
      <c r="F41" s="14" t="n"/>
      <c r="G41" s="14" t="n"/>
      <c r="H41" s="25">
        <f>Assumptions!$D$34</f>
        <v/>
      </c>
      <c r="I41" s="25">
        <f>IF(D41&gt;=Assumptions!$D$101,E41/D41,H41)</f>
        <v/>
      </c>
      <c r="J41" s="25">
        <f>Assumptions!$D$42</f>
        <v/>
      </c>
      <c r="K41" s="25">
        <f>IF(F41&gt;=Assumptions!$D$102,G41/F41,J41)</f>
        <v/>
      </c>
      <c r="L41" s="26">
        <f>IF(Funnel!O6*Funnel!G6&gt;0,I41*Assumptions!$D$38*K41*Budget!G22/(Funnel!O6*Funnel!G6),0)</f>
        <v/>
      </c>
      <c r="M41" s="27">
        <f>MAX(0,Funnel!O6-C41)</f>
        <v/>
      </c>
      <c r="N41" s="41">
        <f>MIN(O41,G41+(F41-G41)*K41+(E41-F41)*Assumptions!$D$38*K41+(C41-D41)*L41+M41*L41)</f>
        <v/>
      </c>
      <c r="O41" s="24">
        <f>Funnel!B6</f>
        <v/>
      </c>
      <c r="P41" s="27">
        <f>O41-N41</f>
        <v/>
      </c>
    </row>
    <row r="42">
      <c r="B42" s="2" t="inlineStr">
        <is>
          <t>Automation</t>
        </is>
      </c>
      <c r="C42" s="14" t="n"/>
      <c r="D42" s="14" t="n"/>
      <c r="E42" s="14" t="n"/>
      <c r="F42" s="14" t="n"/>
      <c r="G42" s="14" t="n"/>
      <c r="H42" s="25">
        <f>Assumptions!$D$35</f>
        <v/>
      </c>
      <c r="I42" s="25">
        <f>IF(D42&gt;=Assumptions!$D$101,E42/D42,H42)</f>
        <v/>
      </c>
      <c r="J42" s="25">
        <f>Assumptions!$D$43</f>
        <v/>
      </c>
      <c r="K42" s="25">
        <f>IF(F42&gt;=Assumptions!$D$102,G42/F42,J42)</f>
        <v/>
      </c>
      <c r="L42" s="26">
        <f>IF(Funnel!O7*Funnel!G7&gt;0,I42*Assumptions!$D$39*K42*Budget!G23/(Funnel!O7*Funnel!G7),0)</f>
        <v/>
      </c>
      <c r="M42" s="27">
        <f>MAX(0,Funnel!O7-C42)</f>
        <v/>
      </c>
      <c r="N42" s="41">
        <f>MIN(O42,G42+(F42-G42)*K42+(E42-F42)*Assumptions!$D$39*K42+(C42-D42)*L42+M42*L42)</f>
        <v/>
      </c>
      <c r="O42" s="24">
        <f>Funnel!B7</f>
        <v/>
      </c>
      <c r="P42" s="27">
        <f>O42-N42</f>
        <v/>
      </c>
    </row>
    <row r="43">
      <c r="B43" s="2" t="inlineStr">
        <is>
          <t>Supervisors</t>
        </is>
      </c>
      <c r="C43" s="14" t="n"/>
      <c r="D43" s="14" t="n"/>
      <c r="E43" s="14" t="n"/>
      <c r="F43" s="14" t="n"/>
      <c r="G43" s="14" t="n"/>
      <c r="H43" s="25">
        <f>Assumptions!$D$36</f>
        <v/>
      </c>
      <c r="I43" s="25">
        <f>IF(D43&gt;=Assumptions!$D$101,E43/D43,H43)</f>
        <v/>
      </c>
      <c r="J43" s="25">
        <f>Assumptions!$D$44</f>
        <v/>
      </c>
      <c r="K43" s="25">
        <f>IF(F43&gt;=Assumptions!$D$102,G43/F43,J43)</f>
        <v/>
      </c>
      <c r="L43" s="26">
        <f>IF(Funnel!O8*Funnel!G8&gt;0,I43*Assumptions!$D$40*K43*Budget!G24/(Funnel!O8*Funnel!G8),0)</f>
        <v/>
      </c>
      <c r="M43" s="27">
        <f>MAX(0,Funnel!O8-C43)</f>
        <v/>
      </c>
      <c r="N43" s="41">
        <f>MIN(O43,G43+(F43-G43)*K43+(E43-F43)*Assumptions!$D$40*K43+(C43-D43)*L43+M43*L43)</f>
        <v/>
      </c>
      <c r="O43" s="24">
        <f>Funnel!B8</f>
        <v/>
      </c>
      <c r="P43" s="27">
        <f>O43-N43</f>
        <v/>
      </c>
    </row>
    <row r="44">
      <c r="B44" s="23" t="inlineStr">
        <is>
          <t>Total</t>
        </is>
      </c>
      <c r="C44" s="30">
        <f>SUM(C40:C43)</f>
        <v/>
      </c>
      <c r="D44" s="30">
        <f>SUM(D40:D43)</f>
        <v/>
      </c>
      <c r="E44" s="30">
        <f>SUM(E40:E43)</f>
        <v/>
      </c>
      <c r="F44" s="30">
        <f>SUM(F40:F43)</f>
        <v/>
      </c>
      <c r="G44" s="30">
        <f>SUM(G40:G43)</f>
        <v/>
      </c>
      <c r="M44" s="30">
        <f>SUM(M40:M43)</f>
        <v/>
      </c>
      <c r="N44" s="30">
        <f>SUM(N40:N43)</f>
        <v/>
      </c>
      <c r="O44" s="30">
        <f>SUM(O40:O43)</f>
        <v/>
      </c>
      <c r="P44" s="30">
        <f>SUM(P40:P43)</f>
        <v/>
      </c>
    </row>
    <row r="45"/>
    <row r="46">
      <c r="A46" s="9" t="inlineStr">
        <is>
          <t>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is>
      </c>
    </row>
    <row r="47"/>
    <row r="48"/>
  </sheetData>
  <mergeCells count="1">
    <mergeCell ref="A46:P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2026-10-09T06:14:19Z</dcterms:created>
  <dcterms:modified xmlns:dcterms="http://purl.org/dc/terms/" xmlns:xsi="http://www.w3.org/2001/XMLSchema-instance" xsi:type="dcterms:W3CDTF">2026-10-09T06:14:19Z</dcterms:modified>
</cp:coreProperties>
</file>