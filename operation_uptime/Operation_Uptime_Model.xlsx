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<sst xmlns="http://schemas.openxmlformats.org/spreadsheetml/2006/main" count="1463" uniqueCount="758">
  <si>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</si>
  <si>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</si>
  <si>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</si>
  <si>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</si>
  <si>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</si>
  <si>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</si>
  <si>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</si>
  <si>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</si>
  <si>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</si>
  <si>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</si>
  <si>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</si>
  <si>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</si>
  <si>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</si>
  <si>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</si>
  <si>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</si>
  <si>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</si>
  <si>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</si>
  <si>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</si>
  <si>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</si>
  <si>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</si>
  <si>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my judgement, with the reason beside it; Researched + Own estimate = a linked benchmark that I adapted.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</si>
  <si>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</si>
  <si>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</si>
  <si>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</si>
  <si>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</si>
  <si>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</si>
  <si>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</si>
  <si>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</si>
  <si>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</si>
  <si>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</si>
  <si>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</si>
  <si>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</si>
  <si>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</si>
  <si>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</si>
  <si>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</si>
  <si>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</si>
  <si>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</si>
  <si>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</si>
  <si>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</si>
  <si>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</si>
  <si>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</si>
  <si>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</si>
  <si>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</si>
  <si>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</si>
  <si>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</si>
  <si>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</si>
  <si>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</si>
  <si>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</si>
  <si>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</si>
  <si>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</si>
  <si>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</si>
  <si>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</si>
  <si>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</si>
  <si>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</si>
  <si>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</si>
  <si>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</si>
  <si>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</si>
  <si>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</si>
  <si>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</si>
  <si>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</si>
  <si>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</si>
  <si>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</si>
  <si>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</si>
  <si>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</si>
  <si>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Re-applicants were screened before, so the first assessments can run on day 2.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</si>
  <si>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</si>
  <si>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</si>
  <si>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</si>
  <si>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searching drops ~45%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</si>
  <si>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</si>
  <si>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</si>
  <si>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German median: 6 days to review an application (SmartRecruiters 2025).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</si>
  <si>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</si>
  <si>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</si>
  <si>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Researched + Own estimate</t>
  </si>
  <si>
    <t xml:space="preserve">German median: 14 days from application to interview, minus the 6 above (SmartRecruiters 2025).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</si>
  <si>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</si>
  <si>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</si>
  <si>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</si>
  <si>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</si>
  <si>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</si>
  <si>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</si>
  <si>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</si>
  <si>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</si>
  <si>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</si>
  <si>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</si>
  <si>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</si>
  <si>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</si>
  <si>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</si>
  <si>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</si>
  <si>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</si>
  <si>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</si>
  <si>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</si>
  <si>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</si>
  <si>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About a third of final interviews lead to an offer (Gem 2025); higher here because candidates are pre-qualified. Hardest for automation and supervisors. https://lp.gem.com/rs/972-IVV-330/images/2025%20Recruiting%20Benchmarks%20-%20Gem.pdf</t>
  </si>
  <si>
    <t xml:space="preserve">PM</t>
  </si>
  <si>
    <t xml:space="preserve">PA</t>
  </si>
  <si>
    <t xml:space="preserve">PS</t>
  </si>
  <si>
    <t xml:space="preserve">BA employment for these trades: all of Berlin plus ~60% of Brandenburg (within 75 km). https://statistik.arbeitsagentur.de/Statistikdaten/Detail/202512/iiia6/beschaeftigung-sozbe-bo-heft/bo-heft-12-0-202512-xlsx.xlsx?__blob=publicationFile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</si>
  <si>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</si>
  <si>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</si>
  <si>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</si>
  <si>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</si>
  <si>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</si>
  <si>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</si>
  <si>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</si>
  <si>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</si>
  <si>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is ~71–78% (Königsteiner, StepStone surveys).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</si>
  <si>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</si>
  <si>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</si>
  <si>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</si>
  <si>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</si>
  <si>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</si>
  <si>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</si>
  <si>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</si>
  <si>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</si>
  <si>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</si>
  <si>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</si>
  <si>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</si>
  <si>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</si>
  <si>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</si>
  <si>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</si>
  <si>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</si>
  <si>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</si>
  <si>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</si>
  <si>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</si>
  <si>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</si>
  <si>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</si>
  <si>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</si>
  <si>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</si>
  <si>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</si>
  <si>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that no week needs more than the 55 assessments (Weekly tab).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</si>
  <si>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</si>
  <si>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</si>
  <si>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</si>
  <si>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</si>
  <si>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</si>
  <si>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</si>
  <si>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</si>
  <si>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</si>
  <si>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</si>
  <si>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</si>
  <si>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</si>
  <si>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</si>
  <si>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</si>
  <si>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</si>
  <si>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</si>
  <si>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</si>
  <si>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</si>
  <si>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</si>
  <si>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</si>
  <si>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</si>
  <si>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</si>
  <si>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</si>
  <si>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</si>
  <si>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</si>
  <si>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</si>
  <si>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</si>
  <si>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</si>
  <si>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PSM</t>
  </si>
  <si>
    <t xml:space="preserve">PSA</t>
  </si>
  <si>
    <t xml:space="preserve">PSS</t>
  </si>
  <si>
    <t xml:space="preserve">PIE</t>
  </si>
  <si>
    <t xml:space="preserve">Share in-market or persuadable during the 6-week window</t>
  </si>
  <si>
    <t xml:space="preserve">~11% of employees are actively looking for a new job (Gallup 2024).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</si>
  <si>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</si>
  <si>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</si>
  <si>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</si>
  <si>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</si>
  <si>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</si>
  <si>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Few trades workers move across Germany for a job: national headcount × yearly move rate × share moving to Berlin-Brandenburg (Destatis, IAB). https://www.destatis.de/DE/Themen/Gesellschaft-Umwelt/Bevoelkerung/Wanderungen/Tabellen/_tabellen-liste-nach-bundeslaendern-jahr.html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</si>
  <si>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</si>
  <si>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</si>
  <si>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</si>
  <si>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</si>
  <si>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</si>
  <si>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</si>
  <si>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</si>
  <si>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</si>
  <si>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</si>
  <si>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</si>
  <si>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</si>
  <si>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</si>
  <si>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</si>
  <si>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</si>
  <si>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</si>
  <si>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</si>
  <si>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</si>
  <si>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50% dearer than plan → halve the budget (common ad practice). https://sparkugc.com/resources/when-to-kill-a-meta-ad-cpa-rule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</si>
  <si>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</si>
  <si>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</si>
  <si>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</si>
  <si>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</si>
  <si>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</si>
  <si>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</si>
  <si>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</si>
  <si>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</si>
  <si>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</si>
  <si>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</si>
  <si>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</si>
  <si>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</si>
  <si>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</si>
  <si>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</si>
  <si>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</si>
  <si>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</si>
  <si>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</si>
  <si>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</si>
  <si>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</si>
  <si>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</si>
  <si>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</si>
  <si>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</si>
  <si>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</si>
  <si>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</si>
  <si>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</si>
  <si>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</si>
  <si>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</si>
  <si>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</si>
  <si>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</si>
  <si>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+25% a week: big enough to matter, small enough not to upset ad bidding.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</si>
  <si>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</si>
  <si>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</si>
  <si>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</si>
  <si>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</si>
  <si>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</si>
  <si>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</si>
  <si>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</si>
  <si>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</si>
  <si>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</si>
  <si>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</si>
  <si>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</si>
  <si>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</si>
  <si>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</si>
  <si>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</si>
  <si>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</si>
  <si>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</si>
  <si>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</si>
  <si>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</si>
  <si>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</si>
  <si>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</si>
  <si>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</si>
  <si>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</si>
  <si>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</si>
  <si>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</si>
  <si>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</si>
  <si>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</si>
  <si>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</si>
  <si>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</si>
  <si>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</si>
  <si>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</si>
  <si>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</si>
  <si>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</si>
  <si>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</si>
  <si>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How often each channel was decisive for a hire, from IAB's 2025 employer survey.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</si>
  <si>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</si>
  <si>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</si>
  <si>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CXS</t>
  </si>
  <si>
    <t xml:space="preserve">Channel quality index: social media (Meta)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</si>
  <si>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</si>
  <si>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</si>
  <si>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</si>
  <si>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</si>
  <si>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</si>
  <si>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</si>
  <si>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</si>
  <si>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</si>
  <si>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</si>
  <si>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</si>
  <si>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</si>
  <si>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</si>
  <si>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</si>
  <si>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</si>
  <si>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</si>
  <si>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</si>
  <si>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</si>
  <si>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</si>
  <si>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</si>
  <si>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</si>
  <si>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</si>
  <si>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</si>
  <si>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</si>
  <si>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</si>
  <si>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</si>
  <si>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</si>
  <si>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</si>
  <si>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</si>
  <si>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Average social campaign for electricians brings ~30 qualified applications (Redline). https://redline-grow.de/fachkraeftemangel-handwerk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</si>
  <si>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</si>
  <si>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</si>
  <si>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</si>
  <si>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</si>
  <si>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</si>
  <si>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</si>
  <si>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</si>
  <si>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</si>
  <si>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</si>
  <si>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</si>
  <si>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Maintenance trades are ~7.8% of production jobs in Germany (BA employment data).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</si>
  <si>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</si>
  <si>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</si>
  <si>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Brandenburg firms turn over ~12% of staff a year (IAB-Betriebspanel 2024).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</si>
  <si>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</si>
  <si>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</si>
  <si>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</si>
  <si>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</si>
  <si>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</si>
  <si>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</si>
  <si>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</si>
  <si>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</si>
  <si>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</si>
  <si>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</si>
  <si>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</si>
  <si>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</si>
  <si>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</si>
  <si>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</si>
  <si>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</si>
  <si>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</si>
  <si>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</si>
  <si>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</si>
  <si>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</si>
  <si>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</si>
  <si>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</si>
  <si>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</si>
  <si>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</si>
  <si>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charges per application in Germany; DACH median €161 (TalentBait).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</si>
  <si>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</si>
  <si>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</si>
  <si>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</si>
  <si>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</si>
  <si>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</si>
  <si>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</si>
  <si>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€1,449 per 30-day ad (StepStone price list); ~12 applications per ad (StepStone study). https://www.stepstone.de/e-recruiting/stellenanzeige-aufgeben/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</si>
  <si>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</si>
  <si>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</si>
  <si>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</si>
  <si>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</si>
  <si>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</si>
  <si>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</si>
  <si>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</si>
  <si>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</si>
  <si>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</si>
  <si>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Social ads for trades ~€84 per application (TalentBait);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</si>
  <si>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</si>
  <si>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</si>
  <si>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</si>
  <si>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</si>
  <si>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</si>
  <si>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</si>
  <si>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</si>
  <si>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</si>
  <si>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</si>
  <si>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</si>
  <si>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</si>
  <si>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Calculated: last year's maintenance hires (STAFF × MSH × TURN × this role's share) × qualified runners-up per hire (1 ÷ qualified→signed − 1).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</si>
  <si>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</si>
  <si>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</si>
  <si>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</si>
  <si>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</si>
  <si>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</si>
  <si>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Past applicants respond more than cold contacts (~5%) and less than warm outreach (~29%); I use 12% (Pin 2026, Gem).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</si>
  <si>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</si>
  <si>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</si>
  <si>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</si>
  <si>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</si>
  <si>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</si>
  <si>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referrals give REFSH (11%) of this role's hires: REFSH × openings ÷ (I1FQ × qualified→signed × I1A).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</si>
  <si>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</si>
  <si>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</si>
  <si>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</si>
  <si>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</si>
  <si>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</si>
  <si>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</si>
  <si>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</si>
  <si>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</si>
  <si>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~€0.08–0.11 each, plus email. https://www.seven.io/en/prices/</t>
  </si>
  <si>
    <t xml:space="preserve">I1B</t>
  </si>
  <si>
    <t xml:space="preserve">I1: referral bonus per signed referred hire (paid from this budget)</t>
  </si>
  <si>
    <t xml:space="preserve">Most German firms pay €501–1,000 per successful referral.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</si>
  <si>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</si>
  <si>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</si>
  <si>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</si>
  <si>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</si>
  <si>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</si>
  <si>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employment: ~10,000 construction electricians within 75 km.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</si>
  <si>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</si>
  <si>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</si>
  <si>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Calculated: RD2 (Redline, ~30 qualified per electrician campaign) ÷ I2Q ÷ I2P.</t>
  </si>
  <si>
    <t xml:space="preserve">I2C</t>
  </si>
  <si>
    <t xml:space="preserve">I2: cost per application (Meta/Google + 6-question quiz funnel)</t>
  </si>
  <si>
    <t xml:space="preserve">Social ads for trades cost ~€84 per application (TalentBait).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</si>
  <si>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</si>
  <si>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</si>
  <si>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</si>
  <si>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</si>
  <si>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</si>
  <si>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</si>
  <si>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</si>
  <si>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</si>
  <si>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</si>
  <si>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</si>
  <si>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</si>
  <si>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</si>
  <si>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</si>
  <si>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</si>
  <si>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~14% of vocationally trained Poles speak a foreign language well (Eurostat 2022); language is the filter. https://ec.europa.eu/eurostat/statistics-explained/index.php?title=Foreign_language_skills_statistics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</si>
  <si>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</si>
  <si>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</si>
  <si>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</si>
  <si>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</si>
  <si>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</si>
  <si>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</si>
  <si>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</si>
  <si>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</si>
  <si>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</si>
  <si>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</si>
  <si>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</si>
  <si>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</si>
  <si>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</si>
  <si>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</si>
  <si>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</si>
  <si>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</si>
  <si>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</si>
  <si>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</si>
  <si>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</si>
  <si>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</si>
  <si>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</si>
  <si>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</si>
  <si>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</si>
  <si>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</si>
  <si>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</si>
  <si>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</si>
  <si>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</si>
  <si>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</si>
  <si>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</si>
  <si>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</si>
  <si>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</si>
  <si>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</si>
  <si>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</si>
  <si>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</si>
  <si>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</si>
  <si>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</si>
  <si>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</si>
  <si>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</si>
  <si>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</si>
  <si>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</si>
  <si>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</si>
  <si>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</si>
  <si>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</si>
  <si>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</si>
  <si>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</si>
  <si>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</si>
  <si>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</si>
  <si>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</si>
  <si>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</si>
  <si>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</si>
  <si>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</si>
  <si>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</si>
  <si>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</si>
  <si>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</si>
  <si>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</si>
  <si>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</si>
  <si>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</si>
  <si>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</si>
  <si>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</si>
  <si>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</si>
  <si>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</si>
  <si>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</si>
  <si>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</si>
  <si>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</si>
  <si>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</si>
  <si>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</si>
  <si>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</si>
  <si>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</si>
  <si>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</si>
  <si>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</si>
  <si>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</si>
  <si>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</si>
  <si>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</si>
  <si>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</si>
  <si>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</si>
  <si>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</si>
  <si>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</si>
  <si>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</si>
  <si>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</si>
  <si>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</si>
  <si>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(≈38/week), given in the brief, shown for context</t>
  </si>
  <si>
    <t xml:space="preserve">Fewer slots: hires capped by capacity. Not ranked: 55/week is given, not assumed.</t>
  </si>
  <si>
    <t xml:space="preserve">Most sensitive assumption (largest hire loss; capacity excluded as it is given):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</si>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</sst>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www.destatis.de/DE/Themen/Gesellschaft-Umwelt/Bevoelkerung/Wanderungen/Tabellen/_tabellen-liste-nach-bundeslaendern-jahr.html" TargetMode="External"/><Relationship Id="rId29" Type="http://schemas.openxmlformats.org/officeDocument/2006/relationships/hyperlink" Target="https://www.destatis.de/DE/Themen/Gesellschaft-Umwelt/Bevoelkerung/Wanderungen/Tabellen/_tabellen-liste-nach-bundeslaendern-jahr.html" TargetMode="External"/><Relationship Id="rId30" Type="http://schemas.openxmlformats.org/officeDocument/2006/relationships/hyperlink" Target="https://www.destatis.de/DE/Themen/Gesellschaft-Umwelt/Bevoelkerung/Wanderungen/Tabellen/_tabellen-liste-nach-bundeslaendern-jahr.html" TargetMode="External"/><Relationship Id="rId31" Type="http://schemas.openxmlformats.org/officeDocument/2006/relationships/hyperlink" Target="https://www.destatis.de/DE/Themen/Gesellschaft-Umwelt/Bevoelkerung/Wanderungen/Tabellen/_tabellen-liste-nach-bundeslaendern-jahr.html" TargetMode="External"/><Relationship Id="rId32" Type="http://schemas.openxmlformats.org/officeDocument/2006/relationships/hyperlink" Target="https://sparkugc.com/resources/when-to-kill-a-meta-ad-cpa-rule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www.pin.com/blog/recruiting-outreach-benchmark-report/" TargetMode="External"/><Relationship Id="rId35" Type="http://schemas.openxmlformats.org/officeDocument/2006/relationships/hyperlink" Target="https://www.pin.com/blog/recruiting-outreach-benchmark-report/" TargetMode="External"/><Relationship Id="rId36" Type="http://schemas.openxmlformats.org/officeDocument/2006/relationships/hyperlink" Target="https://www.pin.com/blog/recruiting-outreach-benchmark-report/" TargetMode="External"/><Relationship Id="rId37" Type="http://schemas.openxmlformats.org/officeDocument/2006/relationships/hyperlink" Target="https://roaspig.com/blog/automated-rules-manage-meta-budgets/" TargetMode="External"/><Relationship Id="rId38" Type="http://schemas.openxmlformats.org/officeDocument/2006/relationships/hyperlink" Target="https://pubmed.ncbi.nlm.nih.gov/10406748/" TargetMode="External"/><Relationship Id="rId39" Type="http://schemas.openxmlformats.org/officeDocument/2006/relationships/hyperlink" Target="https://pubmed.ncbi.nlm.nih.gov/10406748/" TargetMode="External"/><Relationship Id="rId40" Type="http://schemas.openxmlformats.org/officeDocument/2006/relationships/hyperlink" Target="https://iab-forum.de/online-medien-sind-bei-der-personalsuche-auf-dem-vormarsch/" TargetMode="External"/><Relationship Id="rId41" Type="http://schemas.openxmlformats.org/officeDocument/2006/relationships/hyperlink" Target="https://iab-forum.de/online-medien-sind-bei-der-personalsuche-auf-dem-vormarsch/" TargetMode="External"/><Relationship Id="rId42" Type="http://schemas.openxmlformats.org/officeDocument/2006/relationships/hyperlink" Target="https://iab-forum.de/online-medien-sind-bei-der-personalsuche-auf-dem-vormarsch/" TargetMode="External"/><Relationship Id="rId43" Type="http://schemas.openxmlformats.org/officeDocument/2006/relationships/hyperlink" Target="https://www.personalwirtschaft.de/?p=157882" TargetMode="External"/><Relationship Id="rId44" Type="http://schemas.openxmlformats.org/officeDocument/2006/relationships/hyperlink" Target="https://www.personalwirtschaft.de/?p=157882" TargetMode="External"/><Relationship Id="rId45" Type="http://schemas.openxmlformats.org/officeDocument/2006/relationships/hyperlink" Target="https://www.personalwirtschaft.de/news/recruiting/jeder-zehnte-nutzt-google-zur-jobsuche-97400/" TargetMode="External"/><Relationship Id="rId46" Type="http://schemas.openxmlformats.org/officeDocument/2006/relationships/hyperlink" Target="https://iab-forum.de/iab-stellenerhebung-2-2026-fast-drei-von-vier-bewerbungen-sind-aus-betrieblicher-sicht-ungeeignet/" TargetMode="External"/><Relationship Id="rId47" Type="http://schemas.openxmlformats.org/officeDocument/2006/relationships/hyperlink" Target="https://www.careerplug.com/wp-content/uploads/2025/04/Recruiting-Metrics-Report.pdf" TargetMode="External"/><Relationship Id="rId48" Type="http://schemas.openxmlformats.org/officeDocument/2006/relationships/hyperlink" Target="https://redline-grow.de/bewerbungen-pro-stelle" TargetMode="External"/><Relationship Id="rId49" Type="http://schemas.openxmlformats.org/officeDocument/2006/relationships/hyperlink" Target="https://redline-grow.de/bewerbungen-pro-stelle" TargetMode="External"/><Relationship Id="rId50" Type="http://schemas.openxmlformats.org/officeDocument/2006/relationships/hyperlink" Target="https://redline-grow.de/fachkraeftemangel-handwerk" TargetMode="External"/><Relationship Id="rId51" Type="http://schemas.openxmlformats.org/officeDocument/2006/relationships/hyperlink" Target="https://www.stepstone.de/e-recruiting/stellenanzeige-aufgeben/" TargetMode="External"/><Relationship Id="rId52" Type="http://schemas.openxmlformats.org/officeDocument/2006/relationships/hyperlink" Target="https://electrek.co/2026/03/04/tesla-giga-berlin-ig-metall-union-vote-collapse/" TargetMode="External"/><Relationship Id="rId5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4" Type="http://schemas.openxmlformats.org/officeDocument/2006/relationships/hyperlink" Target="https://mweke.brandenburg.de/media/bb1.a.3814.de/Betriebspanel%20Brandenburg%202024%20-%20final.pdf" TargetMode="External"/><Relationship Id="rId55" Type="http://schemas.openxmlformats.org/officeDocument/2006/relationships/hyperlink" Target="https://www.careerplug.com/wp-content/uploads/2025/04/Recruiting-Metrics-Report.pdf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arbeitsagentur.de/faktor-a/mitarbeiter-finden/so-funktioniert-deutschlands-groesste-jobboerse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stepstone.de/e-recruiting/stellenanzeige-aufgeben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social-media-recruiting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talentbait.de/recruiting-kanaele-uebersicht/" TargetMode="External"/><Relationship Id="rId76" Type="http://schemas.openxmlformats.org/officeDocument/2006/relationships/hyperlink" Target="https://www.pin.com/blog/recruiting-outreach-benchmark-report/" TargetMode="External"/><Relationship Id="rId77" Type="http://schemas.openxmlformats.org/officeDocument/2006/relationships/hyperlink" Target="https://www.shrm.org/mena/topics-tools/news/technology/talent-rediscovery-tools-help-address-labor-shortages" TargetMode="External"/><Relationship Id="rId78" Type="http://schemas.openxmlformats.org/officeDocument/2006/relationships/hyperlink" Target="https://iab-forum.de/online-medien-sind-bei-der-personalsuche-auf-dem-vormarsch/" TargetMode="External"/><Relationship Id="rId79" Type="http://schemas.openxmlformats.org/officeDocument/2006/relationships/hyperlink" Target="https://www.seven.io/en/prices/" TargetMode="External"/><Relationship Id="rId80" Type="http://schemas.openxmlformats.org/officeDocument/2006/relationships/hyperlink" Target="https://www.personalwirtschaft.de/?p=166393" TargetMode="External"/><Relationship Id="rId81" Type="http://schemas.openxmlformats.org/officeDocument/2006/relationships/hyperlink" Target="https://www.metaview.ai/resources/blog/do-referred-candidates-interview-better" TargetMode="External"/><Relationship Id="rId8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freelancermap.de/freelancer/texterstellung" TargetMode="External"/><Relationship Id="rId85" Type="http://schemas.openxmlformats.org/officeDocument/2006/relationships/hyperlink" Target="https://dlafirm.pracuj.pl/cennik-uslug/pakiety-ogloszen" TargetMode="External"/><Relationship Id="rId86" Type="http://schemas.openxmlformats.org/officeDocument/2006/relationships/hyperlink" Target="https://ec.europa.eu/eurostat/statistics-explained/index.php?title=Foreign_language_skills_statistics" TargetMode="External"/><Relationship Id="rId87" Type="http://schemas.openxmlformats.org/officeDocument/2006/relationships/hyperlink" Target="https://www.indeed.com/hire/c/info/what-is-a-phone-screen" TargetMode="External"/><Relationship Id="rId88" Type="http://schemas.openxmlformats.org/officeDocument/2006/relationships/hyperlink" Target="https://rocketjobs.pl/oferta-pracy/intent-tech-recruiter-freelance--warszawa-hr-recruitment-9e0cdcee" TargetMode="External"/><Relationship Id="rId89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99787.7142048161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17712.2857951839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997.877142048161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(€38.0k,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86.6379696262294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1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74</v>
      </c>
      <c r="G22" s="17" t="s">
        <v>75</v>
      </c>
    </row>
    <row r="23" customFormat="false" ht="15" hidden="false" customHeight="false" outlineLevel="0" collapsed="false">
      <c r="A23" s="2" t="s">
        <v>76</v>
      </c>
      <c r="B23" s="13" t="s">
        <v>77</v>
      </c>
      <c r="C23" s="2" t="s">
        <v>31</v>
      </c>
      <c r="D23" s="15" t="n">
        <v>3</v>
      </c>
      <c r="E23" s="2" t="s">
        <v>62</v>
      </c>
      <c r="F23" s="2" t="s">
        <v>63</v>
      </c>
      <c r="G23" s="13" t="s">
        <v>78</v>
      </c>
    </row>
    <row r="24" customFormat="false" ht="15" hidden="false" customHeight="false" outlineLevel="0" collapsed="false">
      <c r="A24" s="2" t="s">
        <v>79</v>
      </c>
      <c r="B24" s="13" t="s">
        <v>80</v>
      </c>
      <c r="C24" s="2" t="s">
        <v>31</v>
      </c>
      <c r="D24" s="15" t="n">
        <v>7</v>
      </c>
      <c r="E24" s="2" t="s">
        <v>62</v>
      </c>
      <c r="F24" s="2" t="s">
        <v>74</v>
      </c>
      <c r="G24" s="17" t="s">
        <v>81</v>
      </c>
    </row>
    <row r="25" customFormat="false" ht="26.85" hidden="false" customHeight="false" outlineLevel="0" collapsed="false">
      <c r="A25" s="2" t="s">
        <v>82</v>
      </c>
      <c r="B25" s="13" t="s">
        <v>83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84</v>
      </c>
    </row>
    <row r="27" customFormat="false" ht="15" hidden="false" customHeight="false" outlineLevel="0" collapsed="false">
      <c r="A27" s="10" t="s">
        <v>85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86</v>
      </c>
      <c r="B29" s="13" t="s">
        <v>87</v>
      </c>
      <c r="C29" s="2" t="s">
        <v>48</v>
      </c>
      <c r="D29" s="16" t="n">
        <v>0.25</v>
      </c>
      <c r="E29" s="2" t="s">
        <v>44</v>
      </c>
      <c r="F29" s="2" t="s">
        <v>74</v>
      </c>
      <c r="G29" s="17" t="s">
        <v>88</v>
      </c>
    </row>
    <row r="30" customFormat="false" ht="15" hidden="false" customHeight="false" outlineLevel="0" collapsed="false">
      <c r="A30" s="2" t="s">
        <v>89</v>
      </c>
      <c r="B30" s="13" t="s">
        <v>87</v>
      </c>
      <c r="C30" s="2" t="s">
        <v>43</v>
      </c>
      <c r="D30" s="16" t="n">
        <v>0.25</v>
      </c>
      <c r="E30" s="2" t="s">
        <v>44</v>
      </c>
      <c r="F30" s="2" t="s">
        <v>74</v>
      </c>
      <c r="G30" s="17" t="s">
        <v>88</v>
      </c>
    </row>
    <row r="31" customFormat="false" ht="15" hidden="false" customHeight="false" outlineLevel="0" collapsed="false">
      <c r="A31" s="2" t="s">
        <v>90</v>
      </c>
      <c r="B31" s="13" t="s">
        <v>87</v>
      </c>
      <c r="C31" s="2" t="s">
        <v>52</v>
      </c>
      <c r="D31" s="16" t="n">
        <v>0.25</v>
      </c>
      <c r="E31" s="2" t="s">
        <v>44</v>
      </c>
      <c r="F31" s="2" t="s">
        <v>74</v>
      </c>
      <c r="G31" s="17" t="s">
        <v>88</v>
      </c>
    </row>
    <row r="32" customFormat="false" ht="15" hidden="false" customHeight="false" outlineLevel="0" collapsed="false">
      <c r="A32" s="2" t="s">
        <v>91</v>
      </c>
      <c r="B32" s="13" t="s">
        <v>87</v>
      </c>
      <c r="C32" s="2" t="s">
        <v>54</v>
      </c>
      <c r="D32" s="16" t="n">
        <v>0.23</v>
      </c>
      <c r="E32" s="2" t="s">
        <v>44</v>
      </c>
      <c r="F32" s="2" t="s">
        <v>74</v>
      </c>
      <c r="G32" s="17" t="s">
        <v>88</v>
      </c>
    </row>
    <row r="33" customFormat="false" ht="15" hidden="false" customHeight="false" outlineLevel="0" collapsed="false">
      <c r="A33" s="2" t="s">
        <v>92</v>
      </c>
      <c r="B33" s="13" t="s">
        <v>93</v>
      </c>
      <c r="C33" s="2" t="s">
        <v>48</v>
      </c>
      <c r="D33" s="16" t="n">
        <v>0.5</v>
      </c>
      <c r="E33" s="2" t="s">
        <v>44</v>
      </c>
      <c r="F33" s="2" t="s">
        <v>74</v>
      </c>
      <c r="G33" s="17" t="s">
        <v>94</v>
      </c>
    </row>
    <row r="34" customFormat="false" ht="15" hidden="false" customHeight="false" outlineLevel="0" collapsed="false">
      <c r="A34" s="2" t="s">
        <v>95</v>
      </c>
      <c r="B34" s="13" t="s">
        <v>93</v>
      </c>
      <c r="C34" s="2" t="s">
        <v>43</v>
      </c>
      <c r="D34" s="16" t="n">
        <v>0.55</v>
      </c>
      <c r="E34" s="2" t="s">
        <v>44</v>
      </c>
      <c r="F34" s="2" t="s">
        <v>74</v>
      </c>
      <c r="G34" s="17" t="s">
        <v>94</v>
      </c>
    </row>
    <row r="35" customFormat="false" ht="15" hidden="false" customHeight="false" outlineLevel="0" collapsed="false">
      <c r="A35" s="2" t="s">
        <v>96</v>
      </c>
      <c r="B35" s="13" t="s">
        <v>93</v>
      </c>
      <c r="C35" s="2" t="s">
        <v>52</v>
      </c>
      <c r="D35" s="16" t="n">
        <v>0.45</v>
      </c>
      <c r="E35" s="2" t="s">
        <v>44</v>
      </c>
      <c r="F35" s="2" t="s">
        <v>74</v>
      </c>
      <c r="G35" s="17" t="s">
        <v>94</v>
      </c>
    </row>
    <row r="36" customFormat="false" ht="15" hidden="false" customHeight="false" outlineLevel="0" collapsed="false">
      <c r="A36" s="2" t="s">
        <v>97</v>
      </c>
      <c r="B36" s="13" t="s">
        <v>93</v>
      </c>
      <c r="C36" s="2" t="s">
        <v>54</v>
      </c>
      <c r="D36" s="16" t="n">
        <v>0.4</v>
      </c>
      <c r="E36" s="2" t="s">
        <v>44</v>
      </c>
      <c r="F36" s="2" t="s">
        <v>74</v>
      </c>
      <c r="G36" s="17" t="s">
        <v>98</v>
      </c>
    </row>
    <row r="37" customFormat="false" ht="26.85" hidden="false" customHeight="false" outlineLevel="0" collapsed="false">
      <c r="A37" s="2" t="s">
        <v>99</v>
      </c>
      <c r="B37" s="13" t="s">
        <v>100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101</v>
      </c>
    </row>
    <row r="38" customFormat="false" ht="26.85" hidden="false" customHeight="false" outlineLevel="0" collapsed="false">
      <c r="A38" s="2" t="s">
        <v>102</v>
      </c>
      <c r="B38" s="13" t="s">
        <v>100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101</v>
      </c>
    </row>
    <row r="39" customFormat="false" ht="26.85" hidden="false" customHeight="false" outlineLevel="0" collapsed="false">
      <c r="A39" s="2" t="s">
        <v>103</v>
      </c>
      <c r="B39" s="13" t="s">
        <v>100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101</v>
      </c>
    </row>
    <row r="40" customFormat="false" ht="26.85" hidden="false" customHeight="false" outlineLevel="0" collapsed="false">
      <c r="A40" s="2" t="s">
        <v>104</v>
      </c>
      <c r="B40" s="13" t="s">
        <v>100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101</v>
      </c>
    </row>
    <row r="41" customFormat="false" ht="15" hidden="false" customHeight="false" outlineLevel="0" collapsed="false">
      <c r="A41" s="2" t="s">
        <v>105</v>
      </c>
      <c r="B41" s="13" t="s">
        <v>106</v>
      </c>
      <c r="C41" s="2" t="s">
        <v>48</v>
      </c>
      <c r="D41" s="16" t="n">
        <v>0.7</v>
      </c>
      <c r="E41" s="2" t="s">
        <v>44</v>
      </c>
      <c r="F41" s="2" t="s">
        <v>74</v>
      </c>
      <c r="G41" s="17" t="s">
        <v>107</v>
      </c>
    </row>
    <row r="42" customFormat="false" ht="15" hidden="false" customHeight="false" outlineLevel="0" collapsed="false">
      <c r="A42" s="2" t="s">
        <v>108</v>
      </c>
      <c r="B42" s="13" t="s">
        <v>106</v>
      </c>
      <c r="C42" s="2" t="s">
        <v>43</v>
      </c>
      <c r="D42" s="16" t="n">
        <v>0.75</v>
      </c>
      <c r="E42" s="2" t="s">
        <v>44</v>
      </c>
      <c r="F42" s="2" t="s">
        <v>74</v>
      </c>
      <c r="G42" s="17" t="s">
        <v>107</v>
      </c>
    </row>
    <row r="43" customFormat="false" ht="15" hidden="false" customHeight="false" outlineLevel="0" collapsed="false">
      <c r="A43" s="2" t="s">
        <v>109</v>
      </c>
      <c r="B43" s="13" t="s">
        <v>106</v>
      </c>
      <c r="C43" s="2" t="s">
        <v>52</v>
      </c>
      <c r="D43" s="16" t="n">
        <v>0.7</v>
      </c>
      <c r="E43" s="2" t="s">
        <v>44</v>
      </c>
      <c r="F43" s="2" t="s">
        <v>74</v>
      </c>
      <c r="G43" s="17" t="s">
        <v>107</v>
      </c>
    </row>
    <row r="44" customFormat="false" ht="15" hidden="false" customHeight="false" outlineLevel="0" collapsed="false">
      <c r="A44" s="2" t="s">
        <v>110</v>
      </c>
      <c r="B44" s="13" t="s">
        <v>106</v>
      </c>
      <c r="C44" s="2" t="s">
        <v>54</v>
      </c>
      <c r="D44" s="16" t="n">
        <v>0.7</v>
      </c>
      <c r="E44" s="2" t="s">
        <v>44</v>
      </c>
      <c r="F44" s="2" t="s">
        <v>74</v>
      </c>
      <c r="G44" s="17" t="s">
        <v>107</v>
      </c>
    </row>
    <row r="46" customFormat="false" ht="15" hidden="false" customHeight="false" outlineLevel="0" collapsed="false">
      <c r="A46" s="10" t="s">
        <v>111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112</v>
      </c>
      <c r="B48" s="13" t="s">
        <v>113</v>
      </c>
      <c r="C48" s="2" t="s">
        <v>31</v>
      </c>
      <c r="D48" s="16" t="n">
        <v>0.15</v>
      </c>
      <c r="E48" s="2" t="s">
        <v>44</v>
      </c>
      <c r="F48" s="2" t="s">
        <v>74</v>
      </c>
      <c r="G48" s="17" t="s">
        <v>114</v>
      </c>
    </row>
    <row r="49" customFormat="false" ht="26.85" hidden="false" customHeight="false" outlineLevel="0" collapsed="false">
      <c r="A49" s="2" t="s">
        <v>115</v>
      </c>
      <c r="B49" s="13" t="s">
        <v>116</v>
      </c>
      <c r="C49" s="2" t="s">
        <v>117</v>
      </c>
      <c r="D49" s="18" t="n">
        <v>750</v>
      </c>
      <c r="E49" s="2" t="s">
        <v>118</v>
      </c>
      <c r="F49" s="2" t="s">
        <v>63</v>
      </c>
      <c r="G49" s="13" t="s">
        <v>119</v>
      </c>
    </row>
    <row r="50" customFormat="false" ht="26.85" hidden="false" customHeight="false" outlineLevel="0" collapsed="false">
      <c r="A50" s="2" t="s">
        <v>120</v>
      </c>
      <c r="B50" s="13" t="s">
        <v>121</v>
      </c>
      <c r="C50" s="2" t="s">
        <v>117</v>
      </c>
      <c r="D50" s="16" t="n">
        <v>0.4</v>
      </c>
      <c r="E50" s="2" t="s">
        <v>44</v>
      </c>
      <c r="F50" s="2" t="s">
        <v>63</v>
      </c>
      <c r="G50" s="13" t="s">
        <v>122</v>
      </c>
    </row>
    <row r="51" customFormat="false" ht="15" hidden="false" customHeight="false" outlineLevel="0" collapsed="false">
      <c r="A51" s="2" t="s">
        <v>123</v>
      </c>
      <c r="B51" s="13" t="s">
        <v>124</v>
      </c>
      <c r="C51" s="2" t="s">
        <v>31</v>
      </c>
      <c r="D51" s="18" t="n">
        <v>2500</v>
      </c>
      <c r="E51" s="2" t="s">
        <v>118</v>
      </c>
      <c r="F51" s="2" t="s">
        <v>63</v>
      </c>
      <c r="G51" s="13" t="s">
        <v>125</v>
      </c>
    </row>
    <row r="52" customFormat="false" ht="15" hidden="false" customHeight="false" outlineLevel="0" collapsed="false">
      <c r="A52" s="2" t="s">
        <v>126</v>
      </c>
      <c r="B52" s="13" t="s">
        <v>127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15" hidden="false" customHeight="false" outlineLevel="0" collapsed="false">
      <c r="A53" s="2" t="s">
        <v>128</v>
      </c>
      <c r="B53" s="13" t="s">
        <v>129</v>
      </c>
      <c r="C53" s="2" t="s">
        <v>130</v>
      </c>
      <c r="D53" s="16" t="n">
        <v>0.09</v>
      </c>
      <c r="E53" s="2" t="s">
        <v>44</v>
      </c>
      <c r="F53" s="2" t="s">
        <v>63</v>
      </c>
      <c r="G53" s="13" t="s">
        <v>131</v>
      </c>
    </row>
    <row r="54" customFormat="false" ht="15" hidden="false" customHeight="false" outlineLevel="0" collapsed="false">
      <c r="A54" s="2" t="s">
        <v>132</v>
      </c>
      <c r="B54" s="13" t="s">
        <v>133</v>
      </c>
      <c r="C54" s="2" t="s">
        <v>130</v>
      </c>
      <c r="D54" s="16" t="n">
        <v>0.145</v>
      </c>
      <c r="E54" s="2" t="s">
        <v>44</v>
      </c>
      <c r="F54" s="2" t="s">
        <v>63</v>
      </c>
      <c r="G54" s="13" t="s">
        <v>131</v>
      </c>
    </row>
    <row r="55" customFormat="false" ht="15" hidden="false" customHeight="false" outlineLevel="0" collapsed="false">
      <c r="A55" s="2" t="s">
        <v>134</v>
      </c>
      <c r="B55" s="13" t="s">
        <v>135</v>
      </c>
      <c r="C55" s="2" t="s">
        <v>130</v>
      </c>
      <c r="D55" s="16" t="n">
        <v>0.18</v>
      </c>
      <c r="E55" s="2" t="s">
        <v>44</v>
      </c>
      <c r="F55" s="2" t="s">
        <v>63</v>
      </c>
      <c r="G55" s="13" t="s">
        <v>131</v>
      </c>
    </row>
    <row r="56" customFormat="false" ht="15" hidden="false" customHeight="false" outlineLevel="0" collapsed="false">
      <c r="A56" s="2" t="s">
        <v>136</v>
      </c>
      <c r="B56" s="13" t="s">
        <v>137</v>
      </c>
      <c r="C56" s="2" t="s">
        <v>130</v>
      </c>
      <c r="D56" s="16" t="n">
        <v>0.18</v>
      </c>
      <c r="E56" s="2" t="s">
        <v>44</v>
      </c>
      <c r="F56" s="2" t="s">
        <v>63</v>
      </c>
      <c r="G56" s="13" t="s">
        <v>131</v>
      </c>
    </row>
    <row r="57" customFormat="false" ht="15" hidden="false" customHeight="false" outlineLevel="0" collapsed="false">
      <c r="A57" s="2" t="s">
        <v>138</v>
      </c>
      <c r="B57" s="13" t="s">
        <v>139</v>
      </c>
      <c r="C57" s="2" t="s">
        <v>130</v>
      </c>
      <c r="D57" s="16" t="n">
        <v>0.185</v>
      </c>
      <c r="E57" s="2" t="s">
        <v>44</v>
      </c>
      <c r="F57" s="2" t="s">
        <v>63</v>
      </c>
      <c r="G57" s="13" t="s">
        <v>131</v>
      </c>
    </row>
    <row r="58" customFormat="false" ht="15" hidden="false" customHeight="false" outlineLevel="0" collapsed="false">
      <c r="A58" s="2" t="s">
        <v>140</v>
      </c>
      <c r="B58" s="13" t="s">
        <v>141</v>
      </c>
      <c r="C58" s="2" t="s">
        <v>130</v>
      </c>
      <c r="D58" s="16" t="n">
        <v>0.22</v>
      </c>
      <c r="E58" s="2" t="s">
        <v>44</v>
      </c>
      <c r="F58" s="2" t="s">
        <v>63</v>
      </c>
      <c r="G58" s="13" t="s">
        <v>131</v>
      </c>
    </row>
    <row r="59" customFormat="false" ht="15" hidden="false" customHeight="false" outlineLevel="0" collapsed="false">
      <c r="A59" s="2" t="s">
        <v>142</v>
      </c>
      <c r="B59" s="13" t="s">
        <v>143</v>
      </c>
      <c r="C59" s="2" t="s">
        <v>130</v>
      </c>
      <c r="D59" s="16" t="n">
        <v>0</v>
      </c>
      <c r="E59" s="2" t="s">
        <v>44</v>
      </c>
      <c r="F59" s="2" t="s">
        <v>63</v>
      </c>
      <c r="G59" s="13" t="s">
        <v>144</v>
      </c>
    </row>
    <row r="60" customFormat="false" ht="15" hidden="false" customHeight="false" outlineLevel="0" collapsed="false">
      <c r="A60" s="2" t="s">
        <v>145</v>
      </c>
      <c r="B60" s="13" t="s">
        <v>146</v>
      </c>
      <c r="C60" s="2" t="s">
        <v>130</v>
      </c>
      <c r="D60" s="16" t="n">
        <v>0</v>
      </c>
      <c r="E60" s="2" t="s">
        <v>44</v>
      </c>
      <c r="F60" s="2" t="s">
        <v>63</v>
      </c>
      <c r="G60" s="13" t="s">
        <v>144</v>
      </c>
    </row>
    <row r="61" customFormat="false" ht="15" hidden="false" customHeight="false" outlineLevel="0" collapsed="false">
      <c r="A61" s="2" t="s">
        <v>147</v>
      </c>
      <c r="B61" s="13" t="s">
        <v>148</v>
      </c>
      <c r="C61" s="2" t="s">
        <v>130</v>
      </c>
      <c r="D61" s="16" t="n">
        <v>0</v>
      </c>
      <c r="E61" s="2" t="s">
        <v>44</v>
      </c>
      <c r="F61" s="2" t="s">
        <v>63</v>
      </c>
      <c r="G61" s="13" t="s">
        <v>144</v>
      </c>
    </row>
    <row r="62" customFormat="false" ht="15" hidden="false" customHeight="false" outlineLevel="0" collapsed="false">
      <c r="A62" s="2" t="s">
        <v>149</v>
      </c>
      <c r="B62" s="13" t="s">
        <v>150</v>
      </c>
      <c r="C62" s="2" t="s">
        <v>130</v>
      </c>
      <c r="D62" s="16" t="n">
        <v>0</v>
      </c>
      <c r="E62" s="2" t="s">
        <v>44</v>
      </c>
      <c r="F62" s="2" t="s">
        <v>63</v>
      </c>
      <c r="G62" s="13" t="s">
        <v>144</v>
      </c>
    </row>
    <row r="63" customFormat="false" ht="15" hidden="false" customHeight="false" outlineLevel="0" collapsed="false">
      <c r="A63" s="2" t="s">
        <v>151</v>
      </c>
      <c r="B63" s="13" t="s">
        <v>152</v>
      </c>
      <c r="C63" s="2" t="s">
        <v>130</v>
      </c>
      <c r="D63" s="16" t="n">
        <v>0</v>
      </c>
      <c r="E63" s="2" t="s">
        <v>44</v>
      </c>
      <c r="F63" s="2" t="s">
        <v>63</v>
      </c>
      <c r="G63" s="13" t="s">
        <v>144</v>
      </c>
    </row>
    <row r="64" customFormat="false" ht="15" hidden="false" customHeight="false" outlineLevel="0" collapsed="false">
      <c r="A64" s="2" t="s">
        <v>153</v>
      </c>
      <c r="B64" s="13" t="s">
        <v>154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155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156</v>
      </c>
      <c r="B68" s="13" t="s">
        <v>157</v>
      </c>
      <c r="C68" s="2" t="s">
        <v>48</v>
      </c>
      <c r="D68" s="15" t="n">
        <v>4800</v>
      </c>
      <c r="E68" s="2" t="s">
        <v>158</v>
      </c>
      <c r="F68" s="2" t="s">
        <v>67</v>
      </c>
      <c r="G68" s="17" t="s">
        <v>98</v>
      </c>
    </row>
    <row r="69" customFormat="false" ht="26.85" hidden="false" customHeight="false" outlineLevel="0" collapsed="false">
      <c r="A69" s="2" t="s">
        <v>159</v>
      </c>
      <c r="B69" s="13" t="s">
        <v>157</v>
      </c>
      <c r="C69" s="2" t="s">
        <v>43</v>
      </c>
      <c r="D69" s="15" t="n">
        <v>26400</v>
      </c>
      <c r="E69" s="2" t="s">
        <v>158</v>
      </c>
      <c r="F69" s="2" t="s">
        <v>67</v>
      </c>
      <c r="G69" s="17" t="s">
        <v>98</v>
      </c>
    </row>
    <row r="70" customFormat="false" ht="26.85" hidden="false" customHeight="false" outlineLevel="0" collapsed="false">
      <c r="A70" s="2" t="s">
        <v>160</v>
      </c>
      <c r="B70" s="13" t="s">
        <v>157</v>
      </c>
      <c r="C70" s="2" t="s">
        <v>52</v>
      </c>
      <c r="D70" s="15" t="n">
        <v>2000</v>
      </c>
      <c r="E70" s="2" t="s">
        <v>158</v>
      </c>
      <c r="F70" s="2" t="s">
        <v>67</v>
      </c>
      <c r="G70" s="17" t="s">
        <v>98</v>
      </c>
    </row>
    <row r="71" customFormat="false" ht="26.85" hidden="false" customHeight="false" outlineLevel="0" collapsed="false">
      <c r="A71" s="2" t="s">
        <v>161</v>
      </c>
      <c r="B71" s="13" t="s">
        <v>157</v>
      </c>
      <c r="C71" s="2" t="s">
        <v>54</v>
      </c>
      <c r="D71" s="15" t="n">
        <v>2200</v>
      </c>
      <c r="E71" s="2" t="s">
        <v>158</v>
      </c>
      <c r="F71" s="2" t="s">
        <v>67</v>
      </c>
      <c r="G71" s="17" t="s">
        <v>98</v>
      </c>
    </row>
    <row r="72" customFormat="false" ht="26.85" hidden="false" customHeight="false" outlineLevel="0" collapsed="false">
      <c r="A72" s="2" t="s">
        <v>162</v>
      </c>
      <c r="B72" s="13" t="s">
        <v>163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164</v>
      </c>
    </row>
    <row r="73" customFormat="false" ht="26.85" hidden="false" customHeight="false" outlineLevel="0" collapsed="false">
      <c r="A73" s="2" t="s">
        <v>165</v>
      </c>
      <c r="B73" s="13" t="s">
        <v>163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164</v>
      </c>
    </row>
    <row r="74" customFormat="false" ht="26.85" hidden="false" customHeight="false" outlineLevel="0" collapsed="false">
      <c r="A74" s="2" t="s">
        <v>166</v>
      </c>
      <c r="B74" s="13" t="s">
        <v>163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164</v>
      </c>
    </row>
    <row r="75" customFormat="false" ht="26.85" hidden="false" customHeight="false" outlineLevel="0" collapsed="false">
      <c r="A75" s="2" t="s">
        <v>167</v>
      </c>
      <c r="B75" s="13" t="s">
        <v>163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164</v>
      </c>
    </row>
    <row r="76" customFormat="false" ht="26.85" hidden="false" customHeight="false" outlineLevel="0" collapsed="false">
      <c r="A76" s="2" t="s">
        <v>168</v>
      </c>
      <c r="B76" s="13" t="s">
        <v>169</v>
      </c>
      <c r="C76" s="2" t="s">
        <v>48</v>
      </c>
      <c r="D76" s="15" t="n">
        <v>41</v>
      </c>
      <c r="E76" s="2" t="s">
        <v>158</v>
      </c>
      <c r="F76" s="2" t="s">
        <v>67</v>
      </c>
      <c r="G76" s="17" t="s">
        <v>170</v>
      </c>
    </row>
    <row r="77" customFormat="false" ht="26.85" hidden="false" customHeight="false" outlineLevel="0" collapsed="false">
      <c r="A77" s="2" t="s">
        <v>171</v>
      </c>
      <c r="B77" s="13" t="s">
        <v>169</v>
      </c>
      <c r="C77" s="2" t="s">
        <v>43</v>
      </c>
      <c r="D77" s="15" t="n">
        <v>28</v>
      </c>
      <c r="E77" s="2" t="s">
        <v>158</v>
      </c>
      <c r="F77" s="2" t="s">
        <v>67</v>
      </c>
      <c r="G77" s="17" t="s">
        <v>170</v>
      </c>
    </row>
    <row r="78" customFormat="false" ht="26.85" hidden="false" customHeight="false" outlineLevel="0" collapsed="false">
      <c r="A78" s="2" t="s">
        <v>172</v>
      </c>
      <c r="B78" s="13" t="s">
        <v>169</v>
      </c>
      <c r="C78" s="2" t="s">
        <v>52</v>
      </c>
      <c r="D78" s="15" t="n">
        <v>16</v>
      </c>
      <c r="E78" s="2" t="s">
        <v>158</v>
      </c>
      <c r="F78" s="2" t="s">
        <v>67</v>
      </c>
      <c r="G78" s="17" t="s">
        <v>170</v>
      </c>
    </row>
    <row r="79" customFormat="false" ht="26.85" hidden="false" customHeight="false" outlineLevel="0" collapsed="false">
      <c r="A79" s="2" t="s">
        <v>173</v>
      </c>
      <c r="B79" s="13" t="s">
        <v>169</v>
      </c>
      <c r="C79" s="2" t="s">
        <v>54</v>
      </c>
      <c r="D79" s="15" t="n">
        <v>4</v>
      </c>
      <c r="E79" s="2" t="s">
        <v>158</v>
      </c>
      <c r="F79" s="2" t="s">
        <v>67</v>
      </c>
      <c r="G79" s="17" t="s">
        <v>170</v>
      </c>
    </row>
    <row r="81" customFormat="false" ht="15" hidden="false" customHeight="false" outlineLevel="0" collapsed="false">
      <c r="A81" s="10" t="s">
        <v>174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175</v>
      </c>
      <c r="B83" s="13" t="s">
        <v>176</v>
      </c>
      <c r="C83" s="2" t="s">
        <v>177</v>
      </c>
      <c r="D83" s="18" t="n">
        <v>500</v>
      </c>
      <c r="E83" s="2" t="s">
        <v>118</v>
      </c>
      <c r="F83" s="2" t="s">
        <v>63</v>
      </c>
      <c r="G83" s="13" t="s">
        <v>178</v>
      </c>
    </row>
    <row r="84" customFormat="false" ht="15" hidden="false" customHeight="false" outlineLevel="0" collapsed="false">
      <c r="A84" s="2" t="s">
        <v>179</v>
      </c>
      <c r="B84" s="13" t="s">
        <v>180</v>
      </c>
      <c r="C84" s="2" t="s">
        <v>177</v>
      </c>
      <c r="D84" s="15" t="n">
        <v>30</v>
      </c>
      <c r="E84" s="2" t="s">
        <v>181</v>
      </c>
      <c r="F84" s="2" t="s">
        <v>63</v>
      </c>
      <c r="G84" s="13" t="s">
        <v>178</v>
      </c>
    </row>
    <row r="85" customFormat="false" ht="26.85" hidden="false" customHeight="false" outlineLevel="0" collapsed="false">
      <c r="A85" s="2" t="s">
        <v>182</v>
      </c>
      <c r="B85" s="13" t="s">
        <v>183</v>
      </c>
      <c r="C85" s="2" t="s">
        <v>177</v>
      </c>
      <c r="D85" s="19" t="n">
        <v>0.8</v>
      </c>
      <c r="E85" s="2" t="s">
        <v>184</v>
      </c>
      <c r="F85" s="2" t="s">
        <v>63</v>
      </c>
      <c r="G85" s="13" t="s">
        <v>185</v>
      </c>
    </row>
    <row r="86" customFormat="false" ht="26.85" hidden="false" customHeight="false" outlineLevel="0" collapsed="false">
      <c r="A86" s="2" t="s">
        <v>186</v>
      </c>
      <c r="B86" s="13" t="s">
        <v>187</v>
      </c>
      <c r="C86" s="2" t="s">
        <v>177</v>
      </c>
      <c r="D86" s="19" t="n">
        <v>1.5</v>
      </c>
      <c r="E86" s="2" t="s">
        <v>184</v>
      </c>
      <c r="F86" s="2" t="s">
        <v>74</v>
      </c>
      <c r="G86" s="17" t="s">
        <v>188</v>
      </c>
    </row>
    <row r="87" customFormat="false" ht="15" hidden="false" customHeight="false" outlineLevel="0" collapsed="false">
      <c r="A87" s="2" t="s">
        <v>189</v>
      </c>
      <c r="B87" s="13" t="s">
        <v>190</v>
      </c>
      <c r="C87" s="2" t="s">
        <v>177</v>
      </c>
      <c r="D87" s="19" t="n">
        <v>2</v>
      </c>
      <c r="E87" s="2" t="s">
        <v>184</v>
      </c>
      <c r="F87" s="2" t="s">
        <v>74</v>
      </c>
      <c r="G87" s="17" t="s">
        <v>191</v>
      </c>
    </row>
    <row r="88" customFormat="false" ht="26.85" hidden="false" customHeight="false" outlineLevel="0" collapsed="false">
      <c r="A88" s="2" t="s">
        <v>192</v>
      </c>
      <c r="B88" s="13" t="s">
        <v>193</v>
      </c>
      <c r="C88" s="2" t="s">
        <v>177</v>
      </c>
      <c r="D88" s="18" t="n">
        <v>750</v>
      </c>
      <c r="E88" s="2" t="s">
        <v>118</v>
      </c>
      <c r="F88" s="2" t="s">
        <v>63</v>
      </c>
      <c r="G88" s="13" t="s">
        <v>194</v>
      </c>
    </row>
    <row r="89" customFormat="false" ht="26.85" hidden="false" customHeight="false" outlineLevel="0" collapsed="false">
      <c r="A89" s="2" t="s">
        <v>195</v>
      </c>
      <c r="B89" s="13" t="s">
        <v>196</v>
      </c>
      <c r="C89" s="2" t="s">
        <v>197</v>
      </c>
      <c r="D89" s="16" t="n">
        <v>0.6</v>
      </c>
      <c r="E89" s="2" t="s">
        <v>44</v>
      </c>
      <c r="F89" s="2" t="s">
        <v>63</v>
      </c>
      <c r="G89" s="13" t="s">
        <v>198</v>
      </c>
    </row>
    <row r="90" customFormat="false" ht="26.85" hidden="false" customHeight="false" outlineLevel="0" collapsed="false">
      <c r="A90" s="2" t="s">
        <v>199</v>
      </c>
      <c r="B90" s="13" t="s">
        <v>200</v>
      </c>
      <c r="C90" s="2" t="s">
        <v>197</v>
      </c>
      <c r="D90" s="19" t="n">
        <v>1.5</v>
      </c>
      <c r="E90" s="2" t="s">
        <v>184</v>
      </c>
      <c r="F90" s="2" t="s">
        <v>63</v>
      </c>
      <c r="G90" s="13" t="s">
        <v>201</v>
      </c>
    </row>
    <row r="91" customFormat="false" ht="26.85" hidden="false" customHeight="false" outlineLevel="0" collapsed="false">
      <c r="A91" s="2" t="s">
        <v>202</v>
      </c>
      <c r="B91" s="13" t="s">
        <v>203</v>
      </c>
      <c r="C91" s="2" t="s">
        <v>197</v>
      </c>
      <c r="D91" s="16" t="n">
        <v>0.3</v>
      </c>
      <c r="E91" s="2" t="s">
        <v>44</v>
      </c>
      <c r="F91" s="2" t="s">
        <v>63</v>
      </c>
      <c r="G91" s="13" t="s">
        <v>204</v>
      </c>
    </row>
    <row r="92" customFormat="false" ht="26.85" hidden="false" customHeight="false" outlineLevel="0" collapsed="false">
      <c r="A92" s="2" t="s">
        <v>205</v>
      </c>
      <c r="B92" s="13" t="s">
        <v>206</v>
      </c>
      <c r="C92" s="2" t="s">
        <v>197</v>
      </c>
      <c r="D92" s="19" t="n">
        <v>2</v>
      </c>
      <c r="E92" s="2" t="s">
        <v>184</v>
      </c>
      <c r="F92" s="2" t="s">
        <v>63</v>
      </c>
      <c r="G92" s="13" t="s">
        <v>207</v>
      </c>
    </row>
    <row r="93" customFormat="false" ht="26.85" hidden="false" customHeight="false" outlineLevel="0" collapsed="false">
      <c r="A93" s="2" t="s">
        <v>208</v>
      </c>
      <c r="B93" s="13" t="s">
        <v>209</v>
      </c>
      <c r="C93" s="2" t="s">
        <v>210</v>
      </c>
      <c r="D93" s="16" t="n">
        <v>0.6</v>
      </c>
      <c r="E93" s="2" t="s">
        <v>44</v>
      </c>
      <c r="F93" s="2" t="s">
        <v>67</v>
      </c>
      <c r="G93" s="17" t="s">
        <v>211</v>
      </c>
    </row>
    <row r="94" customFormat="false" ht="15" hidden="false" customHeight="false" outlineLevel="0" collapsed="false">
      <c r="A94" s="2" t="s">
        <v>212</v>
      </c>
      <c r="B94" s="13" t="s">
        <v>213</v>
      </c>
      <c r="C94" s="2" t="s">
        <v>210</v>
      </c>
      <c r="D94" s="16" t="n">
        <v>0.29</v>
      </c>
      <c r="E94" s="2" t="s">
        <v>44</v>
      </c>
      <c r="F94" s="2" t="s">
        <v>67</v>
      </c>
      <c r="G94" s="17" t="s">
        <v>211</v>
      </c>
    </row>
    <row r="95" customFormat="false" ht="15" hidden="false" customHeight="false" outlineLevel="0" collapsed="false">
      <c r="A95" s="2" t="s">
        <v>214</v>
      </c>
      <c r="B95" s="13" t="s">
        <v>215</v>
      </c>
      <c r="C95" s="2" t="s">
        <v>210</v>
      </c>
      <c r="D95" s="16" t="n">
        <v>0.11</v>
      </c>
      <c r="E95" s="2" t="s">
        <v>44</v>
      </c>
      <c r="F95" s="2" t="s">
        <v>67</v>
      </c>
      <c r="G95" s="17" t="s">
        <v>211</v>
      </c>
    </row>
    <row r="96" customFormat="false" ht="15" hidden="false" customHeight="false" outlineLevel="0" collapsed="false">
      <c r="A96" s="2" t="s">
        <v>216</v>
      </c>
      <c r="B96" s="13" t="s">
        <v>217</v>
      </c>
      <c r="C96" s="2" t="s">
        <v>177</v>
      </c>
      <c r="D96" s="16" t="n">
        <v>0.25</v>
      </c>
      <c r="E96" s="2" t="s">
        <v>44</v>
      </c>
      <c r="F96" s="2" t="s">
        <v>74</v>
      </c>
      <c r="G96" s="17" t="s">
        <v>218</v>
      </c>
    </row>
    <row r="97" customFormat="false" ht="26.85" hidden="false" customHeight="false" outlineLevel="0" collapsed="false">
      <c r="A97" s="2" t="s">
        <v>219</v>
      </c>
      <c r="B97" s="13" t="s">
        <v>220</v>
      </c>
      <c r="C97" s="2" t="s">
        <v>221</v>
      </c>
      <c r="D97" s="15" t="n">
        <v>10</v>
      </c>
      <c r="E97" s="2" t="s">
        <v>222</v>
      </c>
      <c r="F97" s="2" t="s">
        <v>63</v>
      </c>
      <c r="G97" s="13" t="s">
        <v>223</v>
      </c>
    </row>
    <row r="98" customFormat="false" ht="26.85" hidden="false" customHeight="false" outlineLevel="0" collapsed="false">
      <c r="A98" s="2" t="s">
        <v>224</v>
      </c>
      <c r="B98" s="13" t="s">
        <v>225</v>
      </c>
      <c r="C98" s="2" t="s">
        <v>221</v>
      </c>
      <c r="D98" s="15" t="n">
        <v>5</v>
      </c>
      <c r="E98" s="2" t="s">
        <v>226</v>
      </c>
      <c r="F98" s="2" t="s">
        <v>63</v>
      </c>
      <c r="G98" s="13" t="s">
        <v>227</v>
      </c>
    </row>
    <row r="99" customFormat="false" ht="26.85" hidden="false" customHeight="false" outlineLevel="0" collapsed="false">
      <c r="A99" s="2" t="s">
        <v>228</v>
      </c>
      <c r="B99" s="13" t="s">
        <v>229</v>
      </c>
      <c r="C99" s="2" t="s">
        <v>230</v>
      </c>
      <c r="D99" s="16" t="n">
        <v>0.25</v>
      </c>
      <c r="E99" s="2" t="s">
        <v>44</v>
      </c>
      <c r="F99" s="2" t="s">
        <v>63</v>
      </c>
      <c r="G99" s="13" t="s">
        <v>231</v>
      </c>
    </row>
    <row r="100" customFormat="false" ht="15" hidden="false" customHeight="false" outlineLevel="0" collapsed="false">
      <c r="A100" s="2" t="s">
        <v>232</v>
      </c>
      <c r="B100" s="13" t="s">
        <v>233</v>
      </c>
      <c r="C100" s="2" t="s">
        <v>230</v>
      </c>
      <c r="D100" s="16" t="n">
        <v>0.12</v>
      </c>
      <c r="E100" s="2" t="s">
        <v>44</v>
      </c>
      <c r="F100" s="2" t="s">
        <v>63</v>
      </c>
      <c r="G100" s="13" t="s">
        <v>234</v>
      </c>
    </row>
    <row r="101" customFormat="false" ht="15" hidden="false" customHeight="false" outlineLevel="0" collapsed="false">
      <c r="A101" s="2" t="s">
        <v>235</v>
      </c>
      <c r="B101" s="13" t="s">
        <v>236</v>
      </c>
      <c r="C101" s="2" t="s">
        <v>237</v>
      </c>
      <c r="D101" s="16" t="n">
        <v>0.85</v>
      </c>
      <c r="E101" s="2" t="s">
        <v>44</v>
      </c>
      <c r="F101" s="2" t="s">
        <v>67</v>
      </c>
      <c r="G101" s="17" t="s">
        <v>238</v>
      </c>
    </row>
    <row r="102" customFormat="false" ht="26.85" hidden="false" customHeight="false" outlineLevel="0" collapsed="false">
      <c r="A102" s="2" t="s">
        <v>239</v>
      </c>
      <c r="B102" s="13" t="s">
        <v>240</v>
      </c>
      <c r="C102" s="2" t="s">
        <v>241</v>
      </c>
      <c r="D102" s="16" t="n">
        <v>0.9</v>
      </c>
      <c r="E102" s="2" t="s">
        <v>44</v>
      </c>
      <c r="F102" s="2" t="s">
        <v>67</v>
      </c>
      <c r="G102" s="17" t="s">
        <v>242</v>
      </c>
    </row>
    <row r="103" customFormat="false" ht="39.55" hidden="false" customHeight="false" outlineLevel="0" collapsed="false">
      <c r="A103" s="2" t="s">
        <v>243</v>
      </c>
      <c r="B103" s="13" t="s">
        <v>244</v>
      </c>
      <c r="C103" s="2" t="s">
        <v>39</v>
      </c>
      <c r="D103" s="15" t="n">
        <v>50</v>
      </c>
      <c r="E103" s="2" t="s">
        <v>245</v>
      </c>
      <c r="F103" s="2" t="s">
        <v>63</v>
      </c>
      <c r="G103" s="13" t="s">
        <v>246</v>
      </c>
    </row>
    <row r="106" customFormat="false" ht="15" hidden="false" customHeight="false" outlineLevel="0" collapsed="false">
      <c r="A106" s="10" t="s">
        <v>247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248</v>
      </c>
      <c r="B108" s="13" t="s">
        <v>249</v>
      </c>
      <c r="C108" s="2" t="s">
        <v>250</v>
      </c>
      <c r="D108" s="20" t="n">
        <v>0.9</v>
      </c>
      <c r="E108" s="2" t="s">
        <v>251</v>
      </c>
      <c r="F108" s="2" t="s">
        <v>67</v>
      </c>
      <c r="G108" s="17" t="s">
        <v>252</v>
      </c>
    </row>
    <row r="109" customFormat="false" ht="26.85" hidden="false" customHeight="false" outlineLevel="0" collapsed="false">
      <c r="A109" s="2" t="s">
        <v>253</v>
      </c>
      <c r="B109" s="13" t="s">
        <v>254</v>
      </c>
      <c r="C109" s="2" t="s">
        <v>250</v>
      </c>
      <c r="D109" s="20" t="n">
        <v>0.71</v>
      </c>
      <c r="E109" s="2" t="s">
        <v>251</v>
      </c>
      <c r="F109" s="2" t="s">
        <v>67</v>
      </c>
      <c r="G109" s="17" t="s">
        <v>252</v>
      </c>
    </row>
    <row r="110" customFormat="false" ht="15" hidden="false" customHeight="false" outlineLevel="0" collapsed="false">
      <c r="A110" s="2" t="s">
        <v>255</v>
      </c>
      <c r="B110" s="13" t="s">
        <v>256</v>
      </c>
      <c r="C110" s="2" t="s">
        <v>250</v>
      </c>
      <c r="D110" s="20" t="n">
        <v>0.5</v>
      </c>
      <c r="E110" s="2" t="s">
        <v>251</v>
      </c>
      <c r="F110" s="2" t="s">
        <v>67</v>
      </c>
      <c r="G110" s="17" t="s">
        <v>252</v>
      </c>
    </row>
    <row r="111" customFormat="false" ht="26.85" hidden="false" customHeight="false" outlineLevel="0" collapsed="false">
      <c r="A111" s="2" t="s">
        <v>257</v>
      </c>
      <c r="B111" s="13" t="s">
        <v>258</v>
      </c>
      <c r="C111" s="2" t="s">
        <v>250</v>
      </c>
      <c r="D111" s="16" t="n">
        <v>0.36</v>
      </c>
      <c r="E111" s="2" t="s">
        <v>44</v>
      </c>
      <c r="F111" s="2" t="s">
        <v>67</v>
      </c>
      <c r="G111" s="17" t="s">
        <v>259</v>
      </c>
    </row>
    <row r="112" customFormat="false" ht="26.85" hidden="false" customHeight="false" outlineLevel="0" collapsed="false">
      <c r="A112" s="2" t="s">
        <v>260</v>
      </c>
      <c r="B112" s="13" t="s">
        <v>261</v>
      </c>
      <c r="C112" s="2" t="s">
        <v>250</v>
      </c>
      <c r="D112" s="16" t="n">
        <v>0.15</v>
      </c>
      <c r="E112" s="2" t="s">
        <v>44</v>
      </c>
      <c r="F112" s="2" t="s">
        <v>67</v>
      </c>
      <c r="G112" s="17" t="s">
        <v>262</v>
      </c>
    </row>
    <row r="113" customFormat="false" ht="26.85" hidden="false" customHeight="false" outlineLevel="0" collapsed="false">
      <c r="A113" s="2" t="s">
        <v>263</v>
      </c>
      <c r="B113" s="13" t="s">
        <v>264</v>
      </c>
      <c r="C113" s="2" t="s">
        <v>250</v>
      </c>
      <c r="D113" s="21" t="n">
        <v>0.105</v>
      </c>
      <c r="E113" s="2" t="s">
        <v>44</v>
      </c>
      <c r="F113" s="2" t="s">
        <v>67</v>
      </c>
      <c r="G113" s="17" t="s">
        <v>265</v>
      </c>
    </row>
    <row r="114" customFormat="false" ht="15" hidden="false" customHeight="false" outlineLevel="0" collapsed="false">
      <c r="A114" s="2" t="s">
        <v>266</v>
      </c>
      <c r="B114" s="13" t="s">
        <v>267</v>
      </c>
      <c r="C114" s="2" t="s">
        <v>268</v>
      </c>
      <c r="D114" s="15" t="n">
        <v>27</v>
      </c>
      <c r="E114" s="2" t="s">
        <v>181</v>
      </c>
      <c r="F114" s="2" t="s">
        <v>67</v>
      </c>
      <c r="G114" s="17" t="s">
        <v>269</v>
      </c>
    </row>
    <row r="115" customFormat="false" ht="26.85" hidden="false" customHeight="false" outlineLevel="0" collapsed="false">
      <c r="A115" s="2" t="s">
        <v>270</v>
      </c>
      <c r="B115" s="13" t="s">
        <v>271</v>
      </c>
      <c r="C115" s="2" t="s">
        <v>268</v>
      </c>
      <c r="D115" s="16" t="n">
        <v>0.13</v>
      </c>
      <c r="E115" s="2" t="s">
        <v>44</v>
      </c>
      <c r="F115" s="2" t="s">
        <v>67</v>
      </c>
      <c r="G115" s="17" t="s">
        <v>272</v>
      </c>
    </row>
    <row r="116" customFormat="false" ht="26.85" hidden="false" customHeight="false" outlineLevel="0" collapsed="false">
      <c r="A116" s="2" t="s">
        <v>273</v>
      </c>
      <c r="B116" s="13" t="s">
        <v>274</v>
      </c>
      <c r="C116" s="2" t="s">
        <v>275</v>
      </c>
      <c r="D116" s="15" t="n">
        <v>20</v>
      </c>
      <c r="E116" s="2" t="s">
        <v>276</v>
      </c>
      <c r="F116" s="2" t="s">
        <v>67</v>
      </c>
      <c r="G116" s="17" t="s">
        <v>277</v>
      </c>
    </row>
    <row r="117" customFormat="false" ht="26.85" hidden="false" customHeight="false" outlineLevel="0" collapsed="false">
      <c r="A117" s="2" t="s">
        <v>278</v>
      </c>
      <c r="B117" s="13" t="s">
        <v>279</v>
      </c>
      <c r="C117" s="2" t="s">
        <v>280</v>
      </c>
      <c r="D117" s="15" t="n">
        <v>23</v>
      </c>
      <c r="E117" s="2" t="s">
        <v>276</v>
      </c>
      <c r="F117" s="2" t="s">
        <v>67</v>
      </c>
      <c r="G117" s="17" t="s">
        <v>281</v>
      </c>
    </row>
    <row r="118" customFormat="false" ht="26.85" hidden="false" customHeight="false" outlineLevel="0" collapsed="false">
      <c r="A118" s="2" t="s">
        <v>282</v>
      </c>
      <c r="B118" s="13" t="s">
        <v>283</v>
      </c>
      <c r="C118" s="2" t="s">
        <v>284</v>
      </c>
      <c r="D118" s="22" t="n">
        <v>29.5</v>
      </c>
      <c r="E118" s="2" t="s">
        <v>276</v>
      </c>
      <c r="F118" s="2" t="s">
        <v>67</v>
      </c>
      <c r="G118" s="17" t="s">
        <v>285</v>
      </c>
    </row>
    <row r="119" customFormat="false" ht="15" hidden="false" customHeight="false" outlineLevel="0" collapsed="false">
      <c r="A119" s="2" t="s">
        <v>286</v>
      </c>
      <c r="B119" s="13" t="s">
        <v>287</v>
      </c>
      <c r="C119" s="2" t="s">
        <v>288</v>
      </c>
      <c r="D119" s="15" t="n">
        <v>30</v>
      </c>
      <c r="E119" s="2" t="s">
        <v>62</v>
      </c>
      <c r="F119" s="2" t="s">
        <v>67</v>
      </c>
      <c r="G119" s="17" t="s">
        <v>289</v>
      </c>
    </row>
    <row r="120" customFormat="false" ht="15" hidden="false" customHeight="false" outlineLevel="0" collapsed="false">
      <c r="A120" s="2" t="s">
        <v>290</v>
      </c>
      <c r="B120" s="13" t="s">
        <v>291</v>
      </c>
      <c r="C120" s="2" t="s">
        <v>292</v>
      </c>
      <c r="D120" s="15" t="n">
        <v>10703</v>
      </c>
      <c r="E120" s="2" t="s">
        <v>158</v>
      </c>
      <c r="F120" s="2" t="s">
        <v>67</v>
      </c>
      <c r="G120" s="17" t="s">
        <v>293</v>
      </c>
    </row>
    <row r="121" customFormat="false" ht="26.85" hidden="false" customHeight="false" outlineLevel="0" collapsed="false">
      <c r="A121" s="2" t="s">
        <v>294</v>
      </c>
      <c r="B121" s="13" t="s">
        <v>295</v>
      </c>
      <c r="C121" s="2" t="s">
        <v>292</v>
      </c>
      <c r="D121" s="21" t="n">
        <v>0.078</v>
      </c>
      <c r="E121" s="2" t="s">
        <v>44</v>
      </c>
      <c r="F121" s="2" t="s">
        <v>67</v>
      </c>
      <c r="G121" s="17" t="s">
        <v>296</v>
      </c>
    </row>
    <row r="122" customFormat="false" ht="15" hidden="false" customHeight="false" outlineLevel="0" collapsed="false">
      <c r="A122" s="2" t="s">
        <v>297</v>
      </c>
      <c r="B122" s="13" t="s">
        <v>298</v>
      </c>
      <c r="C122" s="2" t="s">
        <v>292</v>
      </c>
      <c r="D122" s="16" t="n">
        <v>0.12</v>
      </c>
      <c r="E122" s="2" t="s">
        <v>44</v>
      </c>
      <c r="F122" s="2" t="s">
        <v>67</v>
      </c>
      <c r="G122" s="17" t="s">
        <v>299</v>
      </c>
    </row>
    <row r="123" customFormat="false" ht="15" hidden="false" customHeight="false" outlineLevel="0" collapsed="false">
      <c r="A123" s="2" t="s">
        <v>300</v>
      </c>
      <c r="B123" s="13" t="s">
        <v>301</v>
      </c>
      <c r="C123" s="2" t="s">
        <v>292</v>
      </c>
      <c r="D123" s="16" t="n">
        <v>0.11</v>
      </c>
      <c r="E123" s="2" t="s">
        <v>44</v>
      </c>
      <c r="F123" s="2" t="s">
        <v>67</v>
      </c>
      <c r="G123" s="17" t="s">
        <v>302</v>
      </c>
    </row>
    <row r="125" customFormat="false" ht="15" hidden="false" customHeight="false" outlineLevel="0" collapsed="false">
      <c r="A125" s="10" t="s">
        <v>303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304</v>
      </c>
      <c r="C126" s="12" t="s">
        <v>305</v>
      </c>
      <c r="D126" s="12" t="s">
        <v>306</v>
      </c>
      <c r="E126" s="12" t="s">
        <v>307</v>
      </c>
      <c r="F126" s="12" t="s">
        <v>308</v>
      </c>
      <c r="G126" s="12" t="s">
        <v>309</v>
      </c>
      <c r="H126" s="12" t="s">
        <v>310</v>
      </c>
      <c r="I126" s="12" t="s">
        <v>311</v>
      </c>
      <c r="J126" s="12" t="s">
        <v>312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313</v>
      </c>
      <c r="B127" s="13" t="s">
        <v>314</v>
      </c>
      <c r="C127" s="2" t="s">
        <v>48</v>
      </c>
      <c r="D127" s="2" t="s">
        <v>315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74</v>
      </c>
      <c r="L127" s="17" t="s">
        <v>316</v>
      </c>
    </row>
    <row r="128" customFormat="false" ht="26.85" hidden="false" customHeight="false" outlineLevel="0" collapsed="false">
      <c r="A128" s="2" t="s">
        <v>317</v>
      </c>
      <c r="B128" s="13" t="s">
        <v>314</v>
      </c>
      <c r="C128" s="2" t="s">
        <v>43</v>
      </c>
      <c r="D128" s="2" t="s">
        <v>315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74</v>
      </c>
      <c r="L128" s="17" t="s">
        <v>316</v>
      </c>
    </row>
    <row r="129" customFormat="false" ht="26.85" hidden="false" customHeight="false" outlineLevel="0" collapsed="false">
      <c r="A129" s="2" t="s">
        <v>318</v>
      </c>
      <c r="B129" s="13" t="s">
        <v>314</v>
      </c>
      <c r="C129" s="2" t="s">
        <v>52</v>
      </c>
      <c r="D129" s="2" t="s">
        <v>315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74</v>
      </c>
      <c r="L129" s="17" t="s">
        <v>316</v>
      </c>
    </row>
    <row r="130" customFormat="false" ht="26.85" hidden="false" customHeight="false" outlineLevel="0" collapsed="false">
      <c r="A130" s="2" t="s">
        <v>319</v>
      </c>
      <c r="B130" s="13" t="s">
        <v>314</v>
      </c>
      <c r="C130" s="2" t="s">
        <v>54</v>
      </c>
      <c r="D130" s="2" t="s">
        <v>315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74</v>
      </c>
      <c r="L130" s="17" t="s">
        <v>316</v>
      </c>
    </row>
    <row r="131" customFormat="false" ht="26.85" hidden="false" customHeight="false" outlineLevel="0" collapsed="false">
      <c r="A131" s="2" t="s">
        <v>320</v>
      </c>
      <c r="B131" s="13" t="s">
        <v>321</v>
      </c>
      <c r="C131" s="2" t="s">
        <v>48</v>
      </c>
      <c r="D131" s="2" t="s">
        <v>322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74</v>
      </c>
      <c r="L131" s="17" t="s">
        <v>323</v>
      </c>
    </row>
    <row r="132" customFormat="false" ht="26.85" hidden="false" customHeight="false" outlineLevel="0" collapsed="false">
      <c r="A132" s="2" t="s">
        <v>324</v>
      </c>
      <c r="B132" s="13" t="s">
        <v>321</v>
      </c>
      <c r="C132" s="2" t="s">
        <v>43</v>
      </c>
      <c r="D132" s="2" t="s">
        <v>322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74</v>
      </c>
      <c r="L132" s="17" t="s">
        <v>323</v>
      </c>
    </row>
    <row r="133" customFormat="false" ht="26.85" hidden="false" customHeight="false" outlineLevel="0" collapsed="false">
      <c r="A133" s="2" t="s">
        <v>325</v>
      </c>
      <c r="B133" s="13" t="s">
        <v>321</v>
      </c>
      <c r="C133" s="2" t="s">
        <v>52</v>
      </c>
      <c r="D133" s="2" t="s">
        <v>322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74</v>
      </c>
      <c r="L133" s="17" t="s">
        <v>323</v>
      </c>
    </row>
    <row r="134" customFormat="false" ht="26.85" hidden="false" customHeight="false" outlineLevel="0" collapsed="false">
      <c r="A134" s="2" t="s">
        <v>326</v>
      </c>
      <c r="B134" s="13" t="s">
        <v>321</v>
      </c>
      <c r="C134" s="2" t="s">
        <v>54</v>
      </c>
      <c r="D134" s="2" t="s">
        <v>322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74</v>
      </c>
      <c r="L134" s="17" t="s">
        <v>323</v>
      </c>
    </row>
    <row r="135" customFormat="false" ht="15" hidden="false" customHeight="false" outlineLevel="0" collapsed="false">
      <c r="A135" s="2" t="s">
        <v>327</v>
      </c>
      <c r="B135" s="13" t="s">
        <v>328</v>
      </c>
      <c r="C135" s="2" t="s">
        <v>48</v>
      </c>
      <c r="D135" s="2" t="s">
        <v>329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74</v>
      </c>
      <c r="L135" s="17" t="s">
        <v>330</v>
      </c>
    </row>
    <row r="136" customFormat="false" ht="15" hidden="false" customHeight="false" outlineLevel="0" collapsed="false">
      <c r="A136" s="2" t="s">
        <v>331</v>
      </c>
      <c r="B136" s="13" t="s">
        <v>328</v>
      </c>
      <c r="C136" s="2" t="s">
        <v>43</v>
      </c>
      <c r="D136" s="2" t="s">
        <v>329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74</v>
      </c>
      <c r="L136" s="17" t="s">
        <v>330</v>
      </c>
    </row>
    <row r="137" customFormat="false" ht="15" hidden="false" customHeight="false" outlineLevel="0" collapsed="false">
      <c r="A137" s="2" t="s">
        <v>332</v>
      </c>
      <c r="B137" s="13" t="s">
        <v>328</v>
      </c>
      <c r="C137" s="2" t="s">
        <v>52</v>
      </c>
      <c r="D137" s="2" t="s">
        <v>329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74</v>
      </c>
      <c r="L137" s="17" t="s">
        <v>330</v>
      </c>
    </row>
    <row r="138" customFormat="false" ht="15" hidden="false" customHeight="false" outlineLevel="0" collapsed="false">
      <c r="A138" s="2" t="s">
        <v>333</v>
      </c>
      <c r="B138" s="13" t="s">
        <v>328</v>
      </c>
      <c r="C138" s="2" t="s">
        <v>54</v>
      </c>
      <c r="D138" s="2" t="s">
        <v>329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74</v>
      </c>
      <c r="L138" s="17" t="s">
        <v>330</v>
      </c>
    </row>
    <row r="139" customFormat="false" ht="15" hidden="false" customHeight="false" outlineLevel="0" collapsed="false">
      <c r="A139" s="2" t="s">
        <v>334</v>
      </c>
      <c r="B139" s="13" t="s">
        <v>335</v>
      </c>
      <c r="C139" s="2" t="s">
        <v>52</v>
      </c>
      <c r="D139" s="2" t="s">
        <v>322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74</v>
      </c>
      <c r="L139" s="17" t="s">
        <v>336</v>
      </c>
    </row>
    <row r="140" customFormat="false" ht="15" hidden="false" customHeight="false" outlineLevel="0" collapsed="false">
      <c r="A140" s="2" t="s">
        <v>337</v>
      </c>
      <c r="B140" s="13" t="s">
        <v>335</v>
      </c>
      <c r="C140" s="2" t="s">
        <v>54</v>
      </c>
      <c r="D140" s="2" t="s">
        <v>322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74</v>
      </c>
      <c r="L140" s="17" t="s">
        <v>336</v>
      </c>
    </row>
    <row r="141" customFormat="false" ht="15" hidden="false" customHeight="false" outlineLevel="0" collapsed="false">
      <c r="A141" s="2" t="s">
        <v>338</v>
      </c>
      <c r="B141" s="13" t="s">
        <v>339</v>
      </c>
      <c r="C141" s="2" t="s">
        <v>48</v>
      </c>
      <c r="D141" s="2" t="s">
        <v>322</v>
      </c>
      <c r="E141" s="23" t="n">
        <v>84</v>
      </c>
      <c r="F141" s="24"/>
      <c r="G141" s="25" t="n">
        <f aca="false">Assumptions!$D$29*Assumptions!$D$110</f>
        <v>0.125</v>
      </c>
      <c r="H141" s="26" t="n">
        <f aca="false">IF(G141&gt;0,ROUND(Assumptions!$D$116/G141,-1),0)</f>
        <v>160</v>
      </c>
      <c r="I141" s="20" t="n">
        <v>1</v>
      </c>
      <c r="J141" s="18" t="n">
        <v>0</v>
      </c>
      <c r="K141" s="2" t="s">
        <v>74</v>
      </c>
      <c r="L141" s="17" t="s">
        <v>340</v>
      </c>
    </row>
    <row r="142" customFormat="false" ht="15" hidden="false" customHeight="false" outlineLevel="0" collapsed="false">
      <c r="A142" s="2" t="s">
        <v>341</v>
      </c>
      <c r="B142" s="13" t="s">
        <v>339</v>
      </c>
      <c r="C142" s="2" t="s">
        <v>43</v>
      </c>
      <c r="D142" s="2" t="s">
        <v>322</v>
      </c>
      <c r="E142" s="23" t="n">
        <v>84</v>
      </c>
      <c r="F142" s="24"/>
      <c r="G142" s="25" t="n">
        <f aca="false">Assumptions!$D$30*Assumptions!$D$110</f>
        <v>0.125</v>
      </c>
      <c r="H142" s="26" t="n">
        <f aca="false">IF(G142&gt;0,ROUND(Assumptions!$D$117/G142,-1),0)</f>
        <v>180</v>
      </c>
      <c r="I142" s="20" t="n">
        <v>1</v>
      </c>
      <c r="J142" s="18" t="n">
        <v>0</v>
      </c>
      <c r="K142" s="2" t="s">
        <v>74</v>
      </c>
      <c r="L142" s="17" t="s">
        <v>340</v>
      </c>
    </row>
    <row r="143" customFormat="false" ht="15" hidden="false" customHeight="false" outlineLevel="0" collapsed="false">
      <c r="A143" s="2" t="s">
        <v>342</v>
      </c>
      <c r="B143" s="13" t="s">
        <v>343</v>
      </c>
      <c r="C143" s="2" t="s">
        <v>48</v>
      </c>
      <c r="D143" s="2" t="s">
        <v>322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74</v>
      </c>
      <c r="L143" s="17" t="s">
        <v>344</v>
      </c>
    </row>
    <row r="144" customFormat="false" ht="15" hidden="false" customHeight="false" outlineLevel="0" collapsed="false">
      <c r="A144" s="2" t="s">
        <v>345</v>
      </c>
      <c r="B144" s="13" t="s">
        <v>343</v>
      </c>
      <c r="C144" s="2" t="s">
        <v>43</v>
      </c>
      <c r="D144" s="2" t="s">
        <v>322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74</v>
      </c>
      <c r="L144" s="17" t="s">
        <v>344</v>
      </c>
    </row>
    <row r="145" customFormat="false" ht="15" hidden="false" customHeight="false" outlineLevel="0" collapsed="false">
      <c r="A145" s="2" t="s">
        <v>346</v>
      </c>
      <c r="B145" s="13" t="s">
        <v>343</v>
      </c>
      <c r="C145" s="2" t="s">
        <v>52</v>
      </c>
      <c r="D145" s="2" t="s">
        <v>322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74</v>
      </c>
      <c r="L145" s="17" t="s">
        <v>344</v>
      </c>
    </row>
    <row r="146" customFormat="false" ht="15" hidden="false" customHeight="false" outlineLevel="0" collapsed="false">
      <c r="A146" s="2" t="s">
        <v>347</v>
      </c>
      <c r="B146" s="13" t="s">
        <v>343</v>
      </c>
      <c r="C146" s="2" t="s">
        <v>54</v>
      </c>
      <c r="D146" s="2" t="s">
        <v>322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74</v>
      </c>
      <c r="L146" s="17" t="s">
        <v>344</v>
      </c>
    </row>
    <row r="148" customFormat="false" ht="15" hidden="false" customHeight="false" outlineLevel="0" collapsed="false">
      <c r="A148" s="10" t="s">
        <v>348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349</v>
      </c>
      <c r="B150" s="13" t="s">
        <v>350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351</v>
      </c>
      <c r="F150" s="2" t="s">
        <v>74</v>
      </c>
      <c r="G150" s="13" t="s">
        <v>352</v>
      </c>
    </row>
    <row r="151" customFormat="false" ht="26.85" hidden="false" customHeight="false" outlineLevel="0" collapsed="false">
      <c r="A151" s="2" t="s">
        <v>353</v>
      </c>
      <c r="B151" s="13" t="s">
        <v>350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351</v>
      </c>
      <c r="F151" s="2" t="s">
        <v>74</v>
      </c>
      <c r="G151" s="13" t="s">
        <v>352</v>
      </c>
    </row>
    <row r="152" customFormat="false" ht="26.85" hidden="false" customHeight="false" outlineLevel="0" collapsed="false">
      <c r="A152" s="2" t="s">
        <v>354</v>
      </c>
      <c r="B152" s="13" t="s">
        <v>350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351</v>
      </c>
      <c r="F152" s="2" t="s">
        <v>74</v>
      </c>
      <c r="G152" s="13" t="s">
        <v>352</v>
      </c>
    </row>
    <row r="153" customFormat="false" ht="26.85" hidden="false" customHeight="false" outlineLevel="0" collapsed="false">
      <c r="A153" s="2" t="s">
        <v>355</v>
      </c>
      <c r="B153" s="13" t="s">
        <v>350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351</v>
      </c>
      <c r="F153" s="2" t="s">
        <v>74</v>
      </c>
      <c r="G153" s="13" t="s">
        <v>352</v>
      </c>
    </row>
    <row r="154" customFormat="false" ht="26.85" hidden="false" customHeight="false" outlineLevel="0" collapsed="false">
      <c r="A154" s="2" t="s">
        <v>356</v>
      </c>
      <c r="B154" s="13" t="s">
        <v>357</v>
      </c>
      <c r="C154" s="2" t="s">
        <v>31</v>
      </c>
      <c r="D154" s="16" t="n">
        <v>0.12</v>
      </c>
      <c r="E154" s="2" t="s">
        <v>44</v>
      </c>
      <c r="F154" s="2" t="s">
        <v>74</v>
      </c>
      <c r="G154" s="17" t="s">
        <v>358</v>
      </c>
    </row>
    <row r="155" customFormat="false" ht="15" hidden="false" customHeight="false" outlineLevel="0" collapsed="false">
      <c r="A155" s="2" t="s">
        <v>359</v>
      </c>
      <c r="B155" s="13" t="s">
        <v>360</v>
      </c>
      <c r="C155" s="2" t="s">
        <v>31</v>
      </c>
      <c r="D155" s="16" t="n">
        <v>0.5</v>
      </c>
      <c r="E155" s="2" t="s">
        <v>44</v>
      </c>
      <c r="F155" s="2" t="s">
        <v>74</v>
      </c>
      <c r="G155" s="17" t="s">
        <v>361</v>
      </c>
    </row>
    <row r="156" customFormat="false" ht="26.85" hidden="false" customHeight="false" outlineLevel="0" collapsed="false">
      <c r="A156" s="2" t="s">
        <v>362</v>
      </c>
      <c r="B156" s="13" t="s">
        <v>363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181</v>
      </c>
      <c r="F156" s="2" t="s">
        <v>74</v>
      </c>
      <c r="G156" s="13" t="s">
        <v>364</v>
      </c>
    </row>
    <row r="157" customFormat="false" ht="26.85" hidden="false" customHeight="false" outlineLevel="0" collapsed="false">
      <c r="A157" s="2" t="s">
        <v>365</v>
      </c>
      <c r="B157" s="13" t="s">
        <v>363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181</v>
      </c>
      <c r="F157" s="2" t="s">
        <v>74</v>
      </c>
      <c r="G157" s="13" t="s">
        <v>364</v>
      </c>
    </row>
    <row r="158" customFormat="false" ht="26.85" hidden="false" customHeight="false" outlineLevel="0" collapsed="false">
      <c r="A158" s="2" t="s">
        <v>366</v>
      </c>
      <c r="B158" s="13" t="s">
        <v>363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181</v>
      </c>
      <c r="F158" s="2" t="s">
        <v>74</v>
      </c>
      <c r="G158" s="13" t="s">
        <v>364</v>
      </c>
    </row>
    <row r="159" customFormat="false" ht="26.85" hidden="false" customHeight="false" outlineLevel="0" collapsed="false">
      <c r="A159" s="2" t="s">
        <v>367</v>
      </c>
      <c r="B159" s="13" t="s">
        <v>363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181</v>
      </c>
      <c r="F159" s="2" t="s">
        <v>74</v>
      </c>
      <c r="G159" s="13" t="s">
        <v>364</v>
      </c>
    </row>
    <row r="160" customFormat="false" ht="15" hidden="false" customHeight="false" outlineLevel="0" collapsed="false">
      <c r="A160" s="2" t="s">
        <v>368</v>
      </c>
      <c r="B160" s="13" t="s">
        <v>369</v>
      </c>
      <c r="C160" s="2" t="s">
        <v>31</v>
      </c>
      <c r="D160" s="16" t="n">
        <v>0.45</v>
      </c>
      <c r="E160" s="2" t="s">
        <v>44</v>
      </c>
      <c r="F160" s="2" t="s">
        <v>74</v>
      </c>
      <c r="G160" s="17" t="s">
        <v>370</v>
      </c>
    </row>
    <row r="161" customFormat="false" ht="26.85" hidden="false" customHeight="false" outlineLevel="0" collapsed="false">
      <c r="A161" s="2" t="s">
        <v>371</v>
      </c>
      <c r="B161" s="13" t="s">
        <v>372</v>
      </c>
      <c r="C161" s="2" t="s">
        <v>31</v>
      </c>
      <c r="D161" s="23" t="n">
        <v>0.3</v>
      </c>
      <c r="E161" s="2" t="s">
        <v>118</v>
      </c>
      <c r="F161" s="2" t="s">
        <v>67</v>
      </c>
      <c r="G161" s="17" t="s">
        <v>373</v>
      </c>
    </row>
    <row r="162" customFormat="false" ht="26.85" hidden="false" customHeight="false" outlineLevel="0" collapsed="false">
      <c r="A162" s="2" t="s">
        <v>374</v>
      </c>
      <c r="B162" s="13" t="s">
        <v>375</v>
      </c>
      <c r="C162" s="2" t="s">
        <v>31</v>
      </c>
      <c r="D162" s="18" t="n">
        <v>1000</v>
      </c>
      <c r="E162" s="2" t="s">
        <v>118</v>
      </c>
      <c r="F162" s="2" t="s">
        <v>67</v>
      </c>
      <c r="G162" s="17" t="s">
        <v>376</v>
      </c>
    </row>
    <row r="163" customFormat="false" ht="26.85" hidden="false" customHeight="false" outlineLevel="0" collapsed="false">
      <c r="A163" s="2" t="s">
        <v>377</v>
      </c>
      <c r="B163" s="13" t="s">
        <v>378</v>
      </c>
      <c r="C163" s="2" t="s">
        <v>31</v>
      </c>
      <c r="D163" s="20" t="n">
        <v>1.15</v>
      </c>
      <c r="E163" s="2" t="s">
        <v>251</v>
      </c>
      <c r="F163" s="2" t="s">
        <v>74</v>
      </c>
      <c r="G163" s="17" t="s">
        <v>379</v>
      </c>
    </row>
    <row r="164" customFormat="false" ht="39.55" hidden="false" customHeight="false" outlineLevel="0" collapsed="false">
      <c r="A164" s="2" t="s">
        <v>380</v>
      </c>
      <c r="B164" s="13" t="s">
        <v>381</v>
      </c>
      <c r="C164" s="2" t="s">
        <v>48</v>
      </c>
      <c r="D164" s="15" t="n">
        <v>10000</v>
      </c>
      <c r="E164" s="2" t="s">
        <v>158</v>
      </c>
      <c r="F164" s="2" t="s">
        <v>74</v>
      </c>
      <c r="G164" s="17" t="s">
        <v>382</v>
      </c>
    </row>
    <row r="165" customFormat="false" ht="26.85" hidden="false" customHeight="false" outlineLevel="0" collapsed="false">
      <c r="A165" s="2" t="s">
        <v>383</v>
      </c>
      <c r="B165" s="13" t="s">
        <v>384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74</v>
      </c>
      <c r="G165" s="13" t="s">
        <v>385</v>
      </c>
    </row>
    <row r="166" customFormat="false" ht="26.85" hidden="false" customHeight="false" outlineLevel="0" collapsed="false">
      <c r="A166" s="2" t="s">
        <v>386</v>
      </c>
      <c r="B166" s="13" t="s">
        <v>387</v>
      </c>
      <c r="C166" s="2" t="s">
        <v>48</v>
      </c>
      <c r="D166" s="18" t="n">
        <v>84</v>
      </c>
      <c r="E166" s="2" t="s">
        <v>118</v>
      </c>
      <c r="F166" s="2" t="s">
        <v>67</v>
      </c>
      <c r="G166" s="17" t="s">
        <v>388</v>
      </c>
    </row>
    <row r="167" customFormat="false" ht="26.85" hidden="false" customHeight="false" outlineLevel="0" collapsed="false">
      <c r="A167" s="2" t="s">
        <v>389</v>
      </c>
      <c r="B167" s="13" t="s">
        <v>390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391</v>
      </c>
    </row>
    <row r="168" customFormat="false" ht="15" hidden="false" customHeight="false" outlineLevel="0" collapsed="false">
      <c r="A168" s="2" t="s">
        <v>392</v>
      </c>
      <c r="B168" s="13" t="s">
        <v>393</v>
      </c>
      <c r="C168" s="2" t="s">
        <v>48</v>
      </c>
      <c r="D168" s="20" t="n">
        <v>0.9</v>
      </c>
      <c r="E168" s="2" t="s">
        <v>251</v>
      </c>
      <c r="F168" s="2" t="s">
        <v>63</v>
      </c>
      <c r="G168" s="13" t="s">
        <v>394</v>
      </c>
    </row>
    <row r="169" customFormat="false" ht="26.85" hidden="false" customHeight="false" outlineLevel="0" collapsed="false">
      <c r="A169" s="2" t="s">
        <v>395</v>
      </c>
      <c r="B169" s="13" t="s">
        <v>396</v>
      </c>
      <c r="C169" s="2" t="s">
        <v>48</v>
      </c>
      <c r="D169" s="18" t="n">
        <v>1200</v>
      </c>
      <c r="E169" s="2" t="s">
        <v>118</v>
      </c>
      <c r="F169" s="2" t="s">
        <v>67</v>
      </c>
      <c r="G169" s="17" t="s">
        <v>397</v>
      </c>
    </row>
    <row r="170" customFormat="false" ht="26.85" hidden="false" customHeight="false" outlineLevel="0" collapsed="false">
      <c r="A170" s="2" t="s">
        <v>398</v>
      </c>
      <c r="B170" s="13" t="s">
        <v>399</v>
      </c>
      <c r="C170" s="2" t="s">
        <v>43</v>
      </c>
      <c r="D170" s="18" t="n">
        <v>14</v>
      </c>
      <c r="E170" s="2" t="s">
        <v>118</v>
      </c>
      <c r="F170" s="2" t="s">
        <v>74</v>
      </c>
      <c r="G170" s="17" t="s">
        <v>400</v>
      </c>
    </row>
    <row r="171" customFormat="false" ht="26.85" hidden="false" customHeight="false" outlineLevel="0" collapsed="false">
      <c r="A171" s="2" t="s">
        <v>401</v>
      </c>
      <c r="B171" s="13" t="s">
        <v>402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403</v>
      </c>
    </row>
    <row r="172" customFormat="false" ht="15" hidden="false" customHeight="false" outlineLevel="0" collapsed="false">
      <c r="A172" s="2" t="s">
        <v>404</v>
      </c>
      <c r="B172" s="13" t="s">
        <v>405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181</v>
      </c>
      <c r="F172" s="2" t="s">
        <v>63</v>
      </c>
      <c r="G172" s="13" t="s">
        <v>406</v>
      </c>
    </row>
    <row r="173" customFormat="false" ht="15" hidden="false" customHeight="false" outlineLevel="0" collapsed="false">
      <c r="A173" s="2" t="s">
        <v>407</v>
      </c>
      <c r="B173" s="13" t="s">
        <v>408</v>
      </c>
      <c r="C173" s="2" t="s">
        <v>43</v>
      </c>
      <c r="D173" s="20" t="n">
        <v>1</v>
      </c>
      <c r="E173" s="2" t="s">
        <v>251</v>
      </c>
      <c r="F173" s="2" t="s">
        <v>63</v>
      </c>
      <c r="G173" s="13" t="s">
        <v>409</v>
      </c>
    </row>
    <row r="174" customFormat="false" ht="15" hidden="false" customHeight="false" outlineLevel="0" collapsed="false">
      <c r="A174" s="2" t="s">
        <v>410</v>
      </c>
      <c r="B174" s="13" t="s">
        <v>411</v>
      </c>
      <c r="C174" s="2" t="s">
        <v>43</v>
      </c>
      <c r="D174" s="15" t="n">
        <v>15</v>
      </c>
      <c r="E174" s="2" t="s">
        <v>412</v>
      </c>
      <c r="F174" s="2" t="s">
        <v>67</v>
      </c>
      <c r="G174" s="17" t="s">
        <v>413</v>
      </c>
    </row>
    <row r="175" customFormat="false" ht="15" hidden="false" customHeight="false" outlineLevel="0" collapsed="false">
      <c r="A175" s="2" t="s">
        <v>414</v>
      </c>
      <c r="B175" s="13" t="s">
        <v>415</v>
      </c>
      <c r="C175" s="2" t="s">
        <v>43</v>
      </c>
      <c r="D175" s="18" t="n">
        <v>19</v>
      </c>
      <c r="E175" s="2" t="s">
        <v>118</v>
      </c>
      <c r="F175" s="2" t="s">
        <v>67</v>
      </c>
      <c r="G175" s="17" t="s">
        <v>416</v>
      </c>
    </row>
    <row r="176" customFormat="false" ht="15" hidden="false" customHeight="false" outlineLevel="0" collapsed="false">
      <c r="A176" s="2" t="s">
        <v>417</v>
      </c>
      <c r="B176" s="13" t="s">
        <v>418</v>
      </c>
      <c r="C176" s="2" t="s">
        <v>43</v>
      </c>
      <c r="D176" s="18" t="n">
        <v>400</v>
      </c>
      <c r="E176" s="2" t="s">
        <v>118</v>
      </c>
      <c r="F176" s="2" t="s">
        <v>74</v>
      </c>
      <c r="G176" s="17" t="s">
        <v>419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ing drops ~45% over the holidays (Indeed Hiring Lab). https://hiringlab.indeed.com/de/blog/2025/02/17/der-stellenmarkt-startet-unausgewogen-in-das-neue-jahr/"/>
    <hyperlink ref="G21" r:id="rId4" display="German median: 6 days to review an application (SmartRecruiters 2025). https://ta.smartrecruiters.com/rs/664-NIC-529/images/Germany%20Recruiting%20Benchmarks%202025%20Report%20DE.pdf"/>
    <hyperlink ref="G22" r:id="rId5" display="German median: 14 days from application to interview, minus the 6 above (SmartRecruiters 2025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About a third of final interviews lead to an offer (Gem 2025); higher here because candidates are pre-qualified. Hardest for automation and supervisors. https://lp.gem.com/rs/972-IVV-330/images/2025%20Recruiting%20Benchmarks%20-%20Gem.pdf"/>
    <hyperlink ref="G34" r:id="rId12" display="About a third of final interviews lead to an offer (Gem 2025); higher here because candidates are pre-qualified. Hardest for automation and supervisors. https://lp.gem.com/rs/972-IVV-330/images/2025%20Recruiting%20Benchmarks%20-%20Gem.pdf"/>
    <hyperlink ref="G35" r:id="rId13" display="About a third of final interviews lead to an offer (Gem 2025); higher here because candidates are pre-qualified. Hardest for automation and supervisors. https://lp.gem.com/rs/972-IVV-330/images/2025%20Recruiting%20Benchmarks%20-%20Gem.pdf"/>
    <hyperlink ref="G36" r:id="rId14" display="BA employment for these trades: all of Berlin plus ~60% of Brandenburg (within 75 km). https://statistik.arbeitsagentur.de/Statistikdaten/Detail/202512/iiia6/beschaeftigung-sozbe-bo-heft/bo-heft-12-0-202512-xlsx.xlsx?__blob=publicationFile"/>
    <hyperlink ref="G41" r:id="rId15" display="German offer acceptance is ~71–78% (Königsteiner, StepStone surveys). https://www.lebensmittelzeitung.net/handel/karriere/rekrutierung-bewerber-sagen-haeufiger-ab-166449"/>
    <hyperlink ref="G42" r:id="rId16" display="German offer acceptance is ~71–78% (Königsteiner, StepStone surveys). https://www.lebensmittelzeitung.net/handel/karriere/rekrutierung-bewerber-sagen-haeufiger-ab-166449"/>
    <hyperlink ref="G43" r:id="rId17" display="German offer acceptance is ~71–78% (Königsteiner, StepStone surveys). https://www.lebensmittelzeitung.net/handel/karriere/rekrutierung-bewerber-sagen-haeufiger-ab-166449"/>
    <hyperlink ref="G44" r:id="rId18" display="German offer acceptance is ~71–78% (Königsteiner, StepStone surveys)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 for these trades: all of Berlin plus ~60% of Brandenburg (within 75 km). https://statistik.arbeitsagentur.de/Statistikdaten/Detail/202512/iiia6/beschaeftigung-sozbe-bo-heft/bo-heft-12-0-202512-xlsx.xlsx?__blob=publicationFile"/>
    <hyperlink ref="G69" r:id="rId21" display="BA employment for these trades: all of Berlin plus ~60% of Brandenburg (within 75 km). https://statistik.arbeitsagentur.de/Statistikdaten/Detail/202512/iiia6/beschaeftigung-sozbe-bo-heft/bo-heft-12-0-202512-xlsx.xlsx?__blob=publicationFile"/>
    <hyperlink ref="G70" r:id="rId22" display="BA employment for these trades: all of Berlin plus ~60% of Brandenburg (within 75 km). https://statistik.arbeitsagentur.de/Statistikdaten/Detail/202512/iiia6/beschaeftigung-sozbe-bo-heft/bo-heft-12-0-202512-xlsx.xlsx?__blob=publicationFile"/>
    <hyperlink ref="G71" r:id="rId23" display="BA employment for these trades: all of Berlin plus ~60% of Brandenburg (within 75 km). https://statistik.arbeitsagentur.de/Statistikdaten/Detail/202512/iiia6/beschaeftigung-sozbe-bo-heft/bo-heft-12-0-202512-xlsx.xlsx?__blob=publicationFile"/>
    <hyperlink ref="G72" r:id="rId24" display="~11% of employees are actively looking for a new job (Gallup 2024). https://gallup.com/file/de/657716/Engagement-Index-Deutschland-Report-2024.pdf"/>
    <hyperlink ref="G73" r:id="rId25" display="~11% of employees are actively looking for a new job (Gallup 2024). https://gallup.com/file/de/657716/Engagement-Index-Deutschland-Report-2024.pdf"/>
    <hyperlink ref="G74" r:id="rId26" display="~11% of employees are actively looking for a new job (Gallup 2024). https://gallup.com/file/de/657716/Engagement-Index-Deutschland-Report-2024.pdf"/>
    <hyperlink ref="G75" r:id="rId27" display="~11% of employees are actively looking for a new job (Gallup 2024). https://gallup.com/file/de/657716/Engagement-Index-Deutschland-Report-2024.pdf"/>
    <hyperlink ref="G76" r:id="rId28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7" r:id="rId29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8" r:id="rId30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9" r:id="rId31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86" r:id="rId32" display="50% dearer than plan → halve the budget (common ad practice). https://sparkugc.com/resources/when-to-kill-a-meta-ad-cpa-rule"/>
    <hyperlink ref="G87" r:id="rId33" display="Twice the plan cost → switch off (common ad practice). https://roaspig.com/blog/automated-rules-manage-meta-budgets/"/>
    <hyperlink ref="G93" r:id="rId34" display="Most replies come within a day of each message (Pin 2026), so 60% arrive in week 1. https://www.pin.com/blog/recruiting-outreach-benchmark-report/"/>
    <hyperlink ref="G94" r:id="rId35" display="Most replies come within a day of each message (Pin 2026), so 60% arrive in week 1. https://www.pin.com/blog/recruiting-outreach-benchmark-report/"/>
    <hyperlink ref="G95" r:id="rId36" display="Most replies come within a day of each message (Pin 2026), so 60% arrive in week 1. https://www.pin.com/blog/recruiting-outreach-benchmark-report/"/>
    <hyperlink ref="G96" r:id="rId37" display="+25% a week: big enough to matter, small enough not to upset ad bidding. https://roaspig.com/blog/automated-rules-manage-meta-budgets/"/>
    <hyperlink ref="G101" r:id="rId38" display="Risk rises once capacity is more than 85% used (Bagust et al., BMJ 1999). https://pubmed.ncbi.nlm.nih.gov/10406748/"/>
    <hyperlink ref="G102" r:id="rId39" display="Above 90% use, shortages become regular (same study), so the week counts as full. https://pubmed.ncbi.nlm.nih.gov/10406748/"/>
    <hyperlink ref="G108" r:id="rId40" display="How often each channel was decisive for a hire, from IAB's 2025 employer survey. https://iab-forum.de/online-medien-sind-bei-der-personalsuche-auf-dem-vormarsch/"/>
    <hyperlink ref="G109" r:id="rId41" display="How often each channel was decisive for a hire, from IAB's 2025 employer survey. https://iab-forum.de/online-medien-sind-bei-der-personalsuche-auf-dem-vormarsch/"/>
    <hyperlink ref="G110" r:id="rId42" display="How often each channel was decisive for a hire, from IAB's 2025 employer survey. https://iab-forum.de/online-medien-sind-bei-der-personalsuche-auf-dem-vormarsch/"/>
    <hyperlink ref="G111" r:id="rId43" display="36% of skilled-worker job seekers use Indeed (Trendence 2023). https://www.personalwirtschaft.de/?p=157882"/>
    <hyperlink ref="G112" r:id="rId44" display="15% of skilled-worker job seekers use LinkedIn (Trendence 2023). https://www.personalwirtschaft.de/?p=157882"/>
    <hyperlink ref="G113" r:id="rId45" display="10.5% of job seekers start their search on Google (softgarden). https://www.personalwirtschaft.de/news/recruiting/jeder-zehnte-nutzt-google-zur-jobsuche-97400/"/>
    <hyperlink ref="G114" r:id="rId46" display="Firms with 250+ staff get ~27 applications per vacancy (IAB 2026). https://iab-forum.de/iab-stellenerhebung-2-2026-fast-drei-von-vier-bewerbungen-sind-aus-betrieblicher-sicht-ungeeignet/"/>
    <hyperlink ref="G115" r:id="rId47" display="13% of applications come through the careers page (CareerPlug 2025). https://www.careerplug.com/wp-content/uploads/2025/04/Recruiting-Metrics-Report.pdf"/>
    <hyperlink ref="G116" r:id="rId48" display="Typical social campaign for electricians brings ~20 qualified applications (Redline, 181 campaigns). https://redline-grow.de/bewerbungen-pro-stelle"/>
    <hyperlink ref="G117" r:id="rId49" display="Typical social campaign for mechatronics brings ~23 qualified applications (Redline). https://redline-grow.de/bewerbungen-pro-stelle"/>
    <hyperlink ref="G118" r:id="rId50" display="Average social campaign for electricians brings ~30 qualified applications (Redline). https://redline-grow.de/fachkraeftemangel-handwerk"/>
    <hyperlink ref="G119" r:id="rId51" display="A StepStone ad runs 30 days. https://www.stepstone.de/e-recruiting/stellenanzeige-aufgeben/"/>
    <hyperlink ref="G120" r:id="rId52" display="Plant headcount (Electrek, March 2026). https://electrek.co/2026/03/04/tesla-giga-berlin-ig-metall-union-vote-collapse/"/>
    <hyperlink ref="G121" r:id="rId53" display="Maintenance trades are ~7.8% of production jobs in Germany (BA employment data). https://statistik.arbeitsagentur.de/Statistikdaten/Detail/202512/iiia6/beschaeftigung-sozbe-bo-heft/bo-heft-d-0-202512-xlsx.xlsx?__blob=publicationFile"/>
    <hyperlink ref="G122" r:id="rId54" display="Brandenburg firms turn over ~12% of staff a year (IAB-Betriebspanel 2024). https://mweke.brandenburg.de/media/bb1.a.3814.de/Betriebspanel%20Brandenburg%202024%20-%20final.pdf"/>
    <hyperlink ref="G123" r:id="rId55" display="Referrals bring ~11% of hires (CareerPlug 2025). https://www.careerplug.com/wp-content/uploads/2025/04/Recruiting-Metrics-Report.pdf"/>
    <hyperlink ref="L127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9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60" display="Indeed charges per application in Germany; DACH median €161 (TalentBait). Volume capped by Indeed's reach. https://www.talentbait.de/recruiting-kanaele-uebersicht/"/>
    <hyperlink ref="L132" r:id="rId61" display="Indeed charges per application in Germany; DACH median €161 (TalentBait). Volume capped by Indeed's reach. https://www.talentbait.de/recruiting-kanaele-uebersicht/"/>
    <hyperlink ref="L133" r:id="rId62" display="Indeed charges per application in Germany; DACH median €161 (TalentBait). Volume capped by Indeed's reach. https://www.talentbait.de/recruiting-kanaele-uebersicht/"/>
    <hyperlink ref="L134" r:id="rId63" display="Indeed charges per application in Germany; DACH median €161 (TalentBait). Volume capped by Indeed's reach. https://www.talentbait.de/recruiting-kanaele-uebersicht/"/>
    <hyperlink ref="L135" r:id="rId64" display="€1,449 per 30-day ad (StepStone price list); ~12 applications per ad (StepStone study). https://www.stepstone.de/e-recruiting/stellenanzeige-aufgeben/"/>
    <hyperlink ref="L136" r:id="rId65" display="€1,449 per 30-day ad (StepStone price list); ~12 applications per ad (StepStone study). https://www.stepstone.de/e-recruiting/stellenanzeige-aufgeben/"/>
    <hyperlink ref="L137" r:id="rId66" display="€1,449 per 30-day ad (StepStone price list); ~12 applications per ad (StepStone study). https://www.stepstone.de/e-recruiting/stellenanzeige-aufgeben/"/>
    <hyperlink ref="L138" r:id="rId67" display="€1,449 per 30-day ad (StepStone price list); ~12 applications per ad (StepStone study). https://www.stepstone.de/e-recruiting/stellenanzeige-aufgeben/"/>
    <hyperlink ref="L139" r:id="rId68" display="DACH median €96 per application (TalentBait). Used only for automation and supervisors. https://www.talentbait.de/recruiting-kanaele-uebersicht/"/>
    <hyperlink ref="L140" r:id="rId69" display="DACH median €96 per application (TalentBait). Used only for automation and supervisors. https://www.talentbait.de/recruiting-kanaele-uebersicht/"/>
    <hyperlink ref="L141" r:id="rId70" display="Social ads for trades ~€84 per application (TalentBait); volume from Redline campaign data. https://www.talentbait.de/social-media-recruiting"/>
    <hyperlink ref="L142" r:id="rId71" display="Social ads for trades ~€84 per application (TalentBait); volume from Redline campaign data. https://www.talentbait.de/social-media-recruiting"/>
    <hyperlink ref="L143" r:id="rId72" display="Google Search ads ~€179 per application, low volume (TalentBait). https://www.talentbait.de/recruiting-kanaele-uebersicht/"/>
    <hyperlink ref="L144" r:id="rId73" display="Google Search ads ~€179 per application, low volume (TalentBait). https://www.talentbait.de/recruiting-kanaele-uebersicht/"/>
    <hyperlink ref="L145" r:id="rId74" display="Google Search ads ~€179 per application, low volume (TalentBait). https://www.talentbait.de/recruiting-kanaele-uebersicht/"/>
    <hyperlink ref="L146" r:id="rId75" display="Google Search ads ~€179 per application, low volume (TalentBait). https://www.talentbait.de/recruiting-kanaele-uebersicht/"/>
    <hyperlink ref="G154" r:id="rId76" display="Past applicants respond more than cold contacts (~5%) and less than warm outreach (~29%); I use 12% (Pin 2026, Gem). https://www.pin.com/blog/recruiting-outreach-benchmark-report/"/>
    <hyperlink ref="G155" r:id="rId77" display="They met the requirements once; I assume half still do (Forrester via SHRM: most remain a 70%+ match). https://www.shrm.org/mena/topics-tools/news/technology/talent-rediscovery-tools-help-address-labor-shortages"/>
    <hyperlink ref="G160" r:id="rId78" display="Referred applicants are better pre-filtered (IAB: referrals are the most decisive channel), so 45% qualify. https://iab-forum.de/online-medien-sind-bei-der-personalsuche-auf-dem-vormarsch/"/>
    <hyperlink ref="G161" r:id="rId79" display="Three text messages at ~€0.08–0.11 each, plus email. https://www.seven.io/en/prices/"/>
    <hyperlink ref="G162" r:id="rId80" display="Most German firms pay €501–1,000 per successful referral. https://www.personalwirtschaft.de/?p=166393"/>
    <hyperlink ref="G163" r:id="rId81" display="Referred and known candidates pass and accept a little more often (+15%). https://www.metaview.ai/resources/blog/do-referred-candidates-interview-better"/>
    <hyperlink ref="G164" r:id="rId82" display="BA employment: ~10,000 construction electricians within 75 km. https://statistik.arbeitsagentur.de/Statistikdaten/Detail/202512/iiia6/beschaeftigung-sozbe-bo-heft/bo-heft-12-0-202512-xlsx.xlsx?__blob=publicationFile"/>
    <hyperlink ref="G166" r:id="rId83" display="Social ads for trades cost ~€84 per application (TalentBait). https://www.talentbait.de/social-media-recruiting"/>
    <hyperlink ref="G169" r:id="rId84" display="Copywriter (~11 hours at €65) plus a quiz tool for 3 months. https://www.freelancermap.de/freelancer/texterstellung"/>
    <hyperlink ref="G170" r:id="rId85" display="Pracuj.pl ad price divided by expected applications, blended with OLX and Meta. https://dlafirm.pracuj.pl/cennik-uslug/pakiety-ogloszen"/>
    <hyperlink ref="G171" r:id="rId86" display="~14% of vocationally trained Poles speak a foreign language well (Eurostat 2022); language is the filter. https://ec.europa.eu/eurostat/statistics-explained/index.php?title=Foreign_language_skills_statistics"/>
    <hyperlink ref="G174" r:id="rId87" display="Phone screens take 15–30 minutes (Indeed); a checklist call takes 15. https://www.indeed.com/hire/c/info/what-is-a-phone-screen"/>
    <hyperlink ref="G175" r:id="rId88" display="Polish freelance recruiters charge ~€14–19 an hour. https://rocketjobs.pl/oferta-pracy/intent-tech-recruiter-freelance--warszawa-hr-recruitment-9e0cdcee"/>
    <hyperlink ref="G176" r:id="rId89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48" hidden="false" customHeight="true" outlineLevel="0" collapsed="false">
      <c r="A4" s="12" t="s">
        <v>305</v>
      </c>
      <c r="B4" s="12" t="s">
        <v>47</v>
      </c>
      <c r="C4" s="12" t="s">
        <v>422</v>
      </c>
      <c r="D4" s="12" t="s">
        <v>423</v>
      </c>
      <c r="E4" s="12" t="s">
        <v>424</v>
      </c>
      <c r="F4" s="12" t="s">
        <v>425</v>
      </c>
      <c r="G4" s="12" t="s">
        <v>426</v>
      </c>
      <c r="H4" s="12" t="s">
        <v>427</v>
      </c>
      <c r="I4" s="12" t="s">
        <v>428</v>
      </c>
      <c r="J4" s="12" t="s">
        <v>429</v>
      </c>
      <c r="K4" s="12" t="s">
        <v>430</v>
      </c>
      <c r="L4" s="12" t="s">
        <v>431</v>
      </c>
      <c r="M4" s="12" t="s">
        <v>432</v>
      </c>
      <c r="N4" s="12" t="s">
        <v>433</v>
      </c>
      <c r="O4" s="12" t="s">
        <v>434</v>
      </c>
      <c r="P4" s="12" t="s">
        <v>435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479.309411486506</v>
      </c>
      <c r="N5" s="31" t="n">
        <f aca="false">IF(M5&gt;0,O5/M5,0)</f>
        <v>0.200816201250004</v>
      </c>
      <c r="O5" s="32" t="n">
        <f aca="false">SUMIFS(Channels!$V:$V,Channels!$C:$C,A5)</f>
        <v>96.2530952380952</v>
      </c>
      <c r="P5" s="31" t="n">
        <f aca="false">IF($B$22&gt;0,O5/$B$22,0)</f>
        <v>0.306259848484848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722.620043527681</v>
      </c>
      <c r="N6" s="31" t="n">
        <f aca="false">IF(M6&gt;0,O6/M6,0)</f>
        <v>0.16436455406398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436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1618.69185364828</v>
      </c>
      <c r="N9" s="34" t="n">
        <f aca="false">IF(M9&gt;0,O9/M9,0)</f>
        <v>0.190260471990908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437</v>
      </c>
    </row>
    <row r="12" customFormat="false" ht="15" hidden="false" customHeight="false" outlineLevel="0" collapsed="false">
      <c r="A12" s="28" t="s">
        <v>438</v>
      </c>
    </row>
    <row r="13" customFormat="false" ht="15" hidden="false" customHeight="false" outlineLevel="0" collapsed="false">
      <c r="A13" s="2" t="s">
        <v>439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440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441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442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443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444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445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446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447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448</v>
      </c>
      <c r="B26" s="38" t="n">
        <f aca="false">B22*B25</f>
        <v>102.049737036446</v>
      </c>
      <c r="C26" s="2" t="s">
        <v>449</v>
      </c>
    </row>
    <row r="28" customFormat="false" ht="15" hidden="false" customHeight="false" outlineLevel="0" collapsed="false">
      <c r="A28" s="28" t="s">
        <v>450</v>
      </c>
    </row>
    <row r="29" customFormat="false" ht="60" hidden="false" customHeight="true" outlineLevel="0" collapsed="false">
      <c r="A29" s="12" t="s">
        <v>305</v>
      </c>
      <c r="B29" s="12" t="s">
        <v>47</v>
      </c>
      <c r="C29" s="12" t="s">
        <v>451</v>
      </c>
      <c r="D29" s="12" t="s">
        <v>452</v>
      </c>
      <c r="E29" s="12" t="s">
        <v>453</v>
      </c>
      <c r="F29" s="12" t="s">
        <v>454</v>
      </c>
      <c r="G29" s="12" t="s">
        <v>455</v>
      </c>
      <c r="H29" s="12" t="s">
        <v>456</v>
      </c>
      <c r="I29" s="12" t="s">
        <v>457</v>
      </c>
      <c r="J29" s="12" t="s">
        <v>458</v>
      </c>
      <c r="K29" s="12" t="s">
        <v>459</v>
      </c>
      <c r="L29" s="12" t="s">
        <v>460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110.4145875</v>
      </c>
      <c r="E30" s="40" t="n">
        <f aca="false">IF(B30&gt;0,D30/B30,0)</f>
        <v>3.68048625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461</v>
      </c>
      <c r="J30" s="2" t="s">
        <v>462</v>
      </c>
      <c r="K30" s="40" t="n">
        <f aca="false">IF(B30&gt;0,(D30-SUMIFS(Channels!$N:$N,Channels!$A:$A,"I2-E",Channels!$C:$C,A30))/B30,0)</f>
        <v>3.40171125</v>
      </c>
      <c r="L30" s="40" t="n">
        <f aca="false">IF(B30&gt;0,K30,1000000000)</f>
        <v>3.40171125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551.47474125</v>
      </c>
      <c r="E31" s="40" t="n">
        <f aca="false">IF(B31&gt;0,D31/B31,0)</f>
        <v>12.25499425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1810.10101010101</v>
      </c>
      <c r="I31" s="2" t="s">
        <v>463</v>
      </c>
      <c r="J31" s="2" t="s">
        <v>464</v>
      </c>
      <c r="K31" s="40" t="n">
        <f aca="false">IF(B31&gt;0,(D31-SUMIFS(Channels!$N:$N,Channels!$A:$A,"I2-E",Channels!$C:$C,A31))/B31,0)</f>
        <v>12.25499425</v>
      </c>
      <c r="L31" s="40" t="n">
        <f aca="false">IF(B31&gt;0,K31,1000000000)</f>
        <v>12.25499425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461</v>
      </c>
      <c r="J32" s="2" t="s">
        <v>464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461</v>
      </c>
      <c r="J33" s="2" t="s">
        <v>464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"&amp;Summary!C16&amp;". Electricians are the scarcest trade in Brandenburg (KOFA 2026: 85.7% of vacancies have no suitable unemployed candidate, vs 41.4% overall) and have no Polish or foreign-trained route under the brief."</f>
        <v>Hardest role: Electricians (€38.0k, 38% of planned spend; see Funnel row 35). Electricians are the scarcest trade in Brandenburg (KOFA 2026: 85.7% of vacancies have no suitable unemployed candidate, vs 41.4% overall) and have no Polish or foreign-trained route under the brief.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465</v>
      </c>
    </row>
    <row r="40" customFormat="false" ht="15" hidden="false" customHeight="false" outlineLevel="0" collapsed="false">
      <c r="A40" s="2" t="s">
        <v>466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467</v>
      </c>
      <c r="B41" s="12" t="s">
        <v>468</v>
      </c>
      <c r="C41" s="12" t="s">
        <v>10</v>
      </c>
      <c r="D41" s="12" t="s">
        <v>469</v>
      </c>
      <c r="E41" s="12" t="s">
        <v>470</v>
      </c>
      <c r="F41" s="12" t="s">
        <v>471</v>
      </c>
      <c r="G41" s="12" t="s">
        <v>472</v>
      </c>
      <c r="H41" s="12" t="s">
        <v>473</v>
      </c>
    </row>
    <row r="42" customFormat="false" ht="30" hidden="false" customHeight="true" outlineLevel="0" collapsed="false">
      <c r="A42" s="13" t="s">
        <v>474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99787.7142048161</v>
      </c>
      <c r="G42" s="30" t="n">
        <f aca="false">IF(Budget!$C$7&gt;0,F42/Budget!$C$7-1,0)</f>
        <v>0</v>
      </c>
      <c r="H42" s="13" t="s">
        <v>475</v>
      </c>
    </row>
    <row r="43" customFormat="false" ht="30" hidden="false" customHeight="true" outlineLevel="0" collapsed="false">
      <c r="A43" s="13" t="s">
        <v>476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142553.877435452</v>
      </c>
      <c r="G43" s="30" t="n">
        <f aca="false">IF(Budget!$C$7&gt;0,F43/Budget!$C$7-1,0)</f>
        <v>0.428571428571429</v>
      </c>
      <c r="H43" s="13" t="s">
        <v>477</v>
      </c>
    </row>
    <row r="44" customFormat="false" ht="30" hidden="false" customHeight="true" outlineLevel="0" collapsed="false">
      <c r="A44" s="13" t="s">
        <v>478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142553.877435452</v>
      </c>
      <c r="G44" s="30" t="n">
        <f aca="false">IF(Budget!$C$7&gt;0,F44/Budget!$C$7-1,0)</f>
        <v>0.428571428571429</v>
      </c>
      <c r="H44" s="13" t="s">
        <v>479</v>
      </c>
    </row>
    <row r="45" customFormat="false" ht="30" hidden="false" customHeight="true" outlineLevel="0" collapsed="false">
      <c r="A45" s="13" t="s">
        <v>480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142553.877435452</v>
      </c>
      <c r="G45" s="30" t="n">
        <f aca="false">IF(Budget!$C$7&gt;0,F45/Budget!$C$7-1,0)</f>
        <v>0.428571428571429</v>
      </c>
      <c r="H45" s="13" t="s">
        <v>481</v>
      </c>
    </row>
    <row r="46" customFormat="false" ht="30" hidden="false" customHeight="true" outlineLevel="0" collapsed="false">
      <c r="A46" s="13" t="s">
        <v>482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129724.028466261</v>
      </c>
      <c r="G46" s="30" t="n">
        <f aca="false">IF(Budget!$C$7&gt;0,F46/Budget!$C$7-1,0)</f>
        <v>0.3</v>
      </c>
      <c r="H46" s="13" t="s">
        <v>483</v>
      </c>
    </row>
    <row r="47" customFormat="false" ht="30" hidden="false" customHeight="true" outlineLevel="0" collapsed="false">
      <c r="A47" s="13" t="s">
        <v>484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99787.7142048161</v>
      </c>
      <c r="G47" s="30" t="n">
        <f aca="false">IF(Budget!$C$7&gt;0,F47/Budget!$C$7-1,0)</f>
        <v>0</v>
      </c>
      <c r="H47" s="13" t="s">
        <v>485</v>
      </c>
    </row>
    <row r="49" customFormat="false" ht="15" hidden="false" customHeight="false" outlineLevel="0" collapsed="false">
      <c r="A49" s="28" t="s">
        <v>486</v>
      </c>
      <c r="D49" s="8" t="str">
        <f aca="false">INDEX(A43:A46,MATCH(MAX(E43:E46),E43:E46,0))</f>
        <v>Qualified → signed (assessment pass rate) ×0.7</v>
      </c>
    </row>
    <row r="50" customFormat="false" ht="15" hidden="false" customHeight="false" outlineLevel="0" collapsed="false">
      <c r="A50" s="9" t="str">
        <f aca="false">IF(AND(E43&gt;0,ROUND(E43,6)=ROUND(E44,6)),"Pass rate and acceptance tie ("&amp;TEXT(E43,"0")&amp;" hires lost each). I name the pass rate: it depends on this plant’s own test, so it is the least known, and it can only be read after interviews (week-2 check). Acceptance can be protected with fast offers. ","")&amp;"Why it matters: assessment capacity, not money, is the limit, so a lower pass rate or acceptance can’t be fixed by spending more; a lower share qualified or dearer clicks only cost money."</f>
        <v>Pass rate and acceptance tie (29 hires lost each). I name the pass rate: it depends on this plant’s own test, so it is the least known, and it can only be read after interviews (week-2 check). Acceptance can be protected with fast offers. Why it matters: assessment capacity, not money, is the limit, so a lower pass rate or acceptance can’t be fixed by spending more; a lower share qualified or dearer clicks only cost money.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487</v>
      </c>
    </row>
    <row r="57" customFormat="false" ht="45" hidden="false" customHeight="true" outlineLevel="0" collapsed="false">
      <c r="A57" s="12" t="s">
        <v>305</v>
      </c>
      <c r="B57" s="12" t="s">
        <v>488</v>
      </c>
      <c r="C57" s="12" t="s">
        <v>489</v>
      </c>
      <c r="D57" s="12" t="s">
        <v>490</v>
      </c>
      <c r="E57" s="12" t="s">
        <v>491</v>
      </c>
      <c r="F57" s="12" t="s">
        <v>492</v>
      </c>
      <c r="G57" s="12" t="s">
        <v>493</v>
      </c>
      <c r="H57" s="12" t="s">
        <v>494</v>
      </c>
      <c r="I57" s="12" t="s">
        <v>495</v>
      </c>
      <c r="J57" s="12" t="s">
        <v>496</v>
      </c>
      <c r="K57" s="12" t="s">
        <v>497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322.0375</v>
      </c>
      <c r="J58" s="30" t="n">
        <f aca="false">IF(F58&gt;0,I58/F58,0)</f>
        <v>0.565971001757469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1483.53</v>
      </c>
      <c r="J59" s="30" t="n">
        <f aca="false">IF(F59&gt;0,I59/F59,0)</f>
        <v>0.505978854024557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498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499</v>
      </c>
    </row>
    <row r="2" customFormat="false" ht="15" hidden="false" customHeight="false" outlineLevel="0" collapsed="false">
      <c r="A2" s="2" t="s">
        <v>500</v>
      </c>
    </row>
    <row r="3" customFormat="false" ht="15" hidden="false" customHeight="false" outlineLevel="0" collapsed="false">
      <c r="A3" s="28" t="s">
        <v>501</v>
      </c>
    </row>
    <row r="4" customFormat="false" ht="15" hidden="false" customHeight="false" outlineLevel="0" collapsed="false">
      <c r="A4" s="12" t="s">
        <v>502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436</v>
      </c>
    </row>
    <row r="5" customFormat="false" ht="15" hidden="false" customHeight="false" outlineLevel="0" collapsed="false">
      <c r="A5" s="2" t="s">
        <v>503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504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505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506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507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508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509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510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511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512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513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514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515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516</v>
      </c>
    </row>
    <row r="18" customFormat="false" ht="15" hidden="false" customHeight="false" outlineLevel="0" collapsed="false">
      <c r="A18" s="2" t="s">
        <v>517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518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519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520</v>
      </c>
    </row>
    <row r="24" customFormat="false" ht="15" hidden="false" customHeight="false" outlineLevel="0" collapsed="false">
      <c r="A24" s="2" t="s">
        <v>521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522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523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524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525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526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527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528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529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530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531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532</v>
      </c>
    </row>
    <row r="38" customFormat="false" ht="15" hidden="false" customHeight="false" outlineLevel="0" collapsed="false">
      <c r="A38" s="2" t="s">
        <v>533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534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523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535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536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537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538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539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540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541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542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543</v>
      </c>
    </row>
    <row r="52" customFormat="false" ht="60" hidden="false" customHeight="true" outlineLevel="0" collapsed="false">
      <c r="A52" s="12" t="s">
        <v>544</v>
      </c>
      <c r="B52" s="12" t="s">
        <v>545</v>
      </c>
      <c r="C52" s="12" t="s">
        <v>546</v>
      </c>
      <c r="D52" s="12" t="s">
        <v>547</v>
      </c>
      <c r="E52" s="12" t="s">
        <v>548</v>
      </c>
      <c r="F52" s="12" t="s">
        <v>549</v>
      </c>
      <c r="G52" s="12" t="s">
        <v>550</v>
      </c>
      <c r="H52" s="12" t="s">
        <v>551</v>
      </c>
      <c r="I52" s="12" t="s">
        <v>552</v>
      </c>
      <c r="J52" s="12" t="s">
        <v>553</v>
      </c>
      <c r="K52" s="12" t="s">
        <v>554</v>
      </c>
    </row>
    <row r="53" customFormat="false" ht="48" hidden="false" customHeight="true" outlineLevel="0" collapsed="false">
      <c r="A53" s="28" t="s">
        <v>555</v>
      </c>
      <c r="B53" s="13" t="s">
        <v>556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557</v>
      </c>
      <c r="G53" s="29" t="n">
        <f aca="false">MAX(1,ROUNDDOWN(E53*Assumptions!$D$89,0))</f>
        <v>10</v>
      </c>
      <c r="H53" s="2" t="s">
        <v>558</v>
      </c>
      <c r="I53" s="29" t="n">
        <f aca="false">MIN(G53,MAX(1,ROUNDUP(E53*Assumptions!$D$91,0)))</f>
        <v>6</v>
      </c>
      <c r="J53" s="2" t="s">
        <v>558</v>
      </c>
      <c r="K53" s="13" t="s">
        <v>559</v>
      </c>
    </row>
    <row r="54" customFormat="false" ht="48" hidden="false" customHeight="true" outlineLevel="0" collapsed="false">
      <c r="A54" s="28" t="s">
        <v>560</v>
      </c>
      <c r="B54" s="13" t="s">
        <v>561</v>
      </c>
      <c r="C54" s="30" t="n">
        <f aca="false">(Weekly!$D$4*4/7+Weekly!$D$5+Weekly!$D$6*3/7)</f>
        <v>0.273571428571429</v>
      </c>
      <c r="D54" s="41" t="n">
        <f aca="false">B33+SUMIFS(Channels!$X:$X,Channels!$A:$A,"I2-E")*C54</f>
        <v>3911.64</v>
      </c>
      <c r="E54" s="32" t="n">
        <f aca="false">SUMIFS(Channels!$V:$V,Channels!$A:$A,"I2-E")*C54</f>
        <v>8.07035714285714</v>
      </c>
      <c r="F54" s="41" t="n">
        <f aca="false">IF(B28&gt;0,B27/B28,0)</f>
        <v>336</v>
      </c>
      <c r="G54" s="29" t="n">
        <f aca="false">MAX(1,ROUNDDOWN(E54*Assumptions!$D$89,0))</f>
        <v>4</v>
      </c>
      <c r="H54" s="41" t="n">
        <f aca="false">ROUND(F54*Assumptions!$D$90/10,0)*10</f>
        <v>500</v>
      </c>
      <c r="I54" s="29" t="n">
        <f aca="false">MIN(G54,MAX(1,ROUNDUP(E54*Assumptions!$D$91,0)))</f>
        <v>3</v>
      </c>
      <c r="J54" s="41" t="n">
        <f aca="false">MAX(H54,ROUND(F54*Assumptions!$D$92/10,0)*10)</f>
        <v>670</v>
      </c>
      <c r="K54" s="13" t="s">
        <v>562</v>
      </c>
    </row>
    <row r="55" customFormat="false" ht="48" hidden="false" customHeight="true" outlineLevel="0" collapsed="false">
      <c r="A55" s="28" t="s">
        <v>563</v>
      </c>
      <c r="B55" s="13" t="s">
        <v>564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565</v>
      </c>
    </row>
    <row r="57" customFormat="false" ht="26.85" hidden="false" customHeight="false" outlineLevel="0" collapsed="false">
      <c r="A57" s="13" t="s">
        <v>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567</v>
      </c>
    </row>
    <row r="2" customFormat="false" ht="369.4" hidden="false" customHeight="false" outlineLevel="0" collapsed="false">
      <c r="A2" s="13" t="s">
        <v>568</v>
      </c>
    </row>
    <row r="3" customFormat="false" ht="318.65" hidden="false" customHeight="false" outlineLevel="0" collapsed="false">
      <c r="A3" s="13" t="s">
        <v>569</v>
      </c>
    </row>
    <row r="4" customFormat="false" ht="60" hidden="false" customHeight="true" outlineLevel="0" collapsed="false">
      <c r="A4" s="12" t="s">
        <v>22</v>
      </c>
      <c r="B4" s="12" t="s">
        <v>304</v>
      </c>
      <c r="C4" s="12" t="s">
        <v>305</v>
      </c>
      <c r="D4" s="12" t="s">
        <v>570</v>
      </c>
      <c r="E4" s="12" t="s">
        <v>306</v>
      </c>
      <c r="F4" s="12" t="s">
        <v>571</v>
      </c>
      <c r="G4" s="12" t="s">
        <v>572</v>
      </c>
      <c r="H4" s="12" t="s">
        <v>524</v>
      </c>
      <c r="I4" s="12" t="s">
        <v>309</v>
      </c>
      <c r="J4" s="12" t="s">
        <v>523</v>
      </c>
      <c r="K4" s="12" t="s">
        <v>573</v>
      </c>
      <c r="L4" s="12" t="s">
        <v>426</v>
      </c>
      <c r="M4" s="12" t="s">
        <v>574</v>
      </c>
      <c r="N4" s="12" t="s">
        <v>575</v>
      </c>
      <c r="O4" s="12" t="s">
        <v>576</v>
      </c>
      <c r="P4" s="12" t="s">
        <v>577</v>
      </c>
      <c r="Q4" s="12" t="s">
        <v>578</v>
      </c>
      <c r="R4" s="12" t="s">
        <v>579</v>
      </c>
      <c r="S4" s="12" t="s">
        <v>580</v>
      </c>
      <c r="T4" s="12" t="s">
        <v>581</v>
      </c>
      <c r="U4" s="12" t="s">
        <v>582</v>
      </c>
      <c r="V4" s="12" t="s">
        <v>583</v>
      </c>
      <c r="W4" s="12" t="s">
        <v>584</v>
      </c>
      <c r="X4" s="12" t="s">
        <v>585</v>
      </c>
      <c r="Y4" s="12" t="s">
        <v>586</v>
      </c>
      <c r="Z4" s="12" t="s">
        <v>587</v>
      </c>
      <c r="AA4" s="12" t="s">
        <v>588</v>
      </c>
      <c r="AB4" s="12" t="s">
        <v>589</v>
      </c>
      <c r="AC4" s="12" t="s">
        <v>590</v>
      </c>
      <c r="AD4" s="12" t="s">
        <v>591</v>
      </c>
      <c r="AE4" s="12" t="s">
        <v>592</v>
      </c>
      <c r="AF4" s="12" t="s">
        <v>593</v>
      </c>
      <c r="AG4" s="12" t="s">
        <v>594</v>
      </c>
      <c r="AH4" s="12" t="s">
        <v>595</v>
      </c>
      <c r="AI4" s="12" t="s">
        <v>596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304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29.0840042051251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304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43.9204335274689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304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304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304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7</v>
      </c>
      <c r="S9" s="32" t="n">
        <f aca="false">SUMPRODUCT(($C$5:$C$34=C9)*($Q$5:$Q$34&lt;Q9)*$AH$5:$AH$34)</f>
        <v>26.556525</v>
      </c>
      <c r="T9" s="32" t="n">
        <f aca="false">INDEX(Funnel!$B$5:$B$8,MATCH(C9,Funnel!$A$5:$A$8,0))-SUMIFS($AG$5:$AG$34,$C$5:$C$34,C9)</f>
        <v>29.0840042051251</v>
      </c>
      <c r="U9" s="46" t="n">
        <f aca="false">AG9+AI9</f>
        <v>2.85764224860335</v>
      </c>
      <c r="V9" s="32" t="n">
        <f aca="false">IF(L9&gt;0,U9/L9,0)</f>
        <v>9.07188015429635</v>
      </c>
      <c r="W9" s="29" t="n">
        <f aca="false">IF(I9&gt;0,V9/I9,0)</f>
        <v>40.3194673524282</v>
      </c>
      <c r="X9" s="41" t="n">
        <f aca="false">IF(E9="Slot",IF(N(G9)&gt;0,ROUNDUP(W9/G9,0)*MAX(0,F9),0),W9*H9)</f>
        <v>6491.43424374094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6491.43424374094</v>
      </c>
      <c r="AB9" s="41" t="n">
        <f aca="false">IF(U9&gt;0,(X9+Y9)/U9,"–")</f>
        <v>2271.6049382716</v>
      </c>
      <c r="AC9" s="29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2.52747920512509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304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7</v>
      </c>
      <c r="S10" s="32" t="n">
        <f aca="false">SUMPRODUCT(($C$5:$C$34=C10)*($Q$5:$Q$34&lt;Q10)*$AH$5:$AH$34)</f>
        <v>45.2972434821429</v>
      </c>
      <c r="T10" s="32" t="n">
        <f aca="false">INDEX(Funnel!$B$5:$B$8,MATCH(C10,Funnel!$A$5:$A$8,0))-SUMIFS($AG$5:$AG$34,$C$5:$C$34,C10)</f>
        <v>43.9204335274689</v>
      </c>
      <c r="U10" s="46" t="n">
        <f aca="false">AG10+AI10</f>
        <v>0.389120729813665</v>
      </c>
      <c r="V10" s="32" t="n">
        <f aca="false">IF(L10&gt;0,U10/L10,0)</f>
        <v>1.04813664596273</v>
      </c>
      <c r="W10" s="29" t="n">
        <f aca="false">IF(I10&gt;0,V10/I10,0)</f>
        <v>4.6583850931677</v>
      </c>
      <c r="X10" s="41" t="n">
        <f aca="false">IF(E10="Slot",IF(N(G10)&gt;0,ROUNDUP(W10/G10,0)*MAX(0,F10),0),W10*H10)</f>
        <v>750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750</v>
      </c>
      <c r="AB10" s="41" t="n">
        <f aca="false">IF(U10&gt;0,(X10+Y10)/U10,"–")</f>
        <v>1927.42237186682</v>
      </c>
      <c r="AC10" s="29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304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304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304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29.0840042051251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304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43.9204335274689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304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304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304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304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304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0.125</v>
      </c>
      <c r="J19" s="29" t="n">
        <f aca="false">IF(AND(OR(E19="CPC",E19="Slot"),NOT(N(G19)&gt;0)),0,IF(E19="Slot",Assumptions!H141*G19,Assumptions!H141))</f>
        <v>160</v>
      </c>
      <c r="K19" s="32" t="n">
        <f aca="false">J19*I19</f>
        <v>20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6.3</v>
      </c>
      <c r="O19" s="41" t="n">
        <f aca="false">IF(I19&gt;0,H19/I19,0)</f>
        <v>672</v>
      </c>
      <c r="P19" s="41" t="n">
        <f aca="false">IF(N19&gt;0,(N19/L19/I19*H19+Assumptions!J141)/N19,0)</f>
        <v>2133.33333333333</v>
      </c>
      <c r="Q19" s="45" t="n">
        <f aca="false">P19+ROW()/1000000</f>
        <v>2133.33335233333</v>
      </c>
      <c r="R19" s="29" t="n">
        <f aca="false">SUMPRODUCT(($C$5:$C$34=C19)*($Q$5:$Q$34&lt;Q19))+1</f>
        <v>6</v>
      </c>
      <c r="S19" s="32" t="n">
        <f aca="false">SUMPRODUCT(($C$5:$C$34=C19)*($Q$5:$Q$34&lt;Q19)*$AH$5:$AH$34)</f>
        <v>20.6080875</v>
      </c>
      <c r="T19" s="32" t="n">
        <f aca="false">INDEX(Funnel!$B$5:$B$8,MATCH(C19,Funnel!$A$5:$A$8,0))-SUMIFS($AG$5:$AG$34,$C$5:$C$34,C19)</f>
        <v>29.0840042051251</v>
      </c>
      <c r="U19" s="46" t="n">
        <f aca="false">AG19+AI19</f>
        <v>6.3</v>
      </c>
      <c r="V19" s="32" t="n">
        <f aca="false">IF(L19&gt;0,U19/L19,0)</f>
        <v>20</v>
      </c>
      <c r="W19" s="29" t="n">
        <f aca="false">IF(I19&gt;0,V19/I19,0)</f>
        <v>160</v>
      </c>
      <c r="X19" s="41" t="n">
        <f aca="false">IF(E19="Slot",IF(N(G19)&gt;0,ROUNDUP(W19/G19,0)*MAX(0,F19),0),W19*H19)</f>
        <v>13440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13440</v>
      </c>
      <c r="AB19" s="41" t="n">
        <f aca="false">IF(U19&gt;0,(X19+Y19)/U19,"–")</f>
        <v>2133.33333333333</v>
      </c>
      <c r="AC19" s="29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32" t="n">
        <f aca="false">IF(H19&gt;0,Z19/H19,0)</f>
        <v>8.92857142857143</v>
      </c>
      <c r="AF19" s="32" t="n">
        <f aca="false">AE19*I19</f>
        <v>1.11607142857143</v>
      </c>
      <c r="AG19" s="32" t="n">
        <f aca="false">AF19*L19</f>
        <v>0.3515625</v>
      </c>
      <c r="AH19" s="32" t="n">
        <f aca="false">MAX(0,N19-AG19)</f>
        <v>5.9484375</v>
      </c>
      <c r="AI19" s="32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304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0.125</v>
      </c>
      <c r="J20" s="29" t="n">
        <f aca="false">IF(AND(OR(E20="CPC",E20="Slot"),NOT(N(G20)&gt;0)),0,IF(E20="Slot",Assumptions!H142*G20,Assumptions!H142))</f>
        <v>180</v>
      </c>
      <c r="K20" s="32" t="n">
        <f aca="false">J20*I20</f>
        <v>22.5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8.353125</v>
      </c>
      <c r="O20" s="41" t="n">
        <f aca="false">IF(I20&gt;0,H20/I20,0)</f>
        <v>672</v>
      </c>
      <c r="P20" s="41" t="n">
        <f aca="false">IF(N20&gt;0,(N20/L20/I20*H20+Assumptions!J142)/N20,0)</f>
        <v>1810.10101010101</v>
      </c>
      <c r="Q20" s="45" t="n">
        <f aca="false">P20+ROW()/1000000</f>
        <v>1810.10103010101</v>
      </c>
      <c r="R20" s="29" t="n">
        <f aca="false">SUMPRODUCT(($C$5:$C$34=C20)*($Q$5:$Q$34&lt;Q20))+1</f>
        <v>6</v>
      </c>
      <c r="S20" s="32" t="n">
        <f aca="false">SUMPRODUCT(($C$5:$C$34=C20)*($Q$5:$Q$34&lt;Q20)*$AH$5:$AH$34)</f>
        <v>37.35846</v>
      </c>
      <c r="T20" s="32" t="n">
        <f aca="false">INDEX(Funnel!$B$5:$B$8,MATCH(C20,Funnel!$A$5:$A$8,0))-SUMIFS($AG$5:$AG$34,$C$5:$C$34,C20)</f>
        <v>43.9204335274689</v>
      </c>
      <c r="U20" s="46" t="n">
        <f aca="false">AG20+AI20</f>
        <v>6.976315045326</v>
      </c>
      <c r="V20" s="32" t="n">
        <f aca="false">IF(L20&gt;0,U20/L20,0)</f>
        <v>18.7914209975111</v>
      </c>
      <c r="W20" s="29" t="n">
        <f aca="false">IF(I20&gt;0,V20/I20,0)</f>
        <v>150.331367980089</v>
      </c>
      <c r="X20" s="41" t="n">
        <f aca="false">IF(E20="Slot",IF(N(G20)&gt;0,ROUNDUP(W20/G20,0)*MAX(0,F20),0),W20*H20)</f>
        <v>12627.8349103275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12627.8349103275</v>
      </c>
      <c r="AB20" s="41" t="n">
        <f aca="false">IF(U20&gt;0,(X20+Y20)/U20,"–")</f>
        <v>1810.10101010101</v>
      </c>
      <c r="AC20" s="29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32" t="n">
        <f aca="false">IF(H20&gt;0,Z20/H20,0)</f>
        <v>8.92857142857143</v>
      </c>
      <c r="AF20" s="32" t="n">
        <f aca="false">AE20*I20</f>
        <v>1.11607142857143</v>
      </c>
      <c r="AG20" s="32" t="n">
        <f aca="false">AF20*L20</f>
        <v>0.414341517857143</v>
      </c>
      <c r="AH20" s="32" t="n">
        <f aca="false">MAX(0,N20-AG20)</f>
        <v>7.93878348214286</v>
      </c>
      <c r="AI20" s="32" t="n">
        <f aca="false">MIN(AH20,MAX(0,T20-S20))</f>
        <v>6.56197352746886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304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90.7226119565217</v>
      </c>
      <c r="T21" s="32" t="n">
        <f aca="false">INDEX(Funnel!$B$5:$B$8,MATCH(C21,Funnel!$A$5:$A$8,0))-SUMIFS($AG$5:$AG$34,$C$5:$C$34,C21)</f>
        <v>29.0840042051251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304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436.669685252329</v>
      </c>
      <c r="T22" s="32" t="n">
        <f aca="false">INDEX(Funnel!$B$5:$B$8,MATCH(C22,Funnel!$A$5:$A$8,0))-SUMIFS($AG$5:$AG$34,$C$5:$C$34,C22)</f>
        <v>43.9204335274689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304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304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597</v>
      </c>
      <c r="B25" s="2" t="s">
        <v>598</v>
      </c>
      <c r="C25" s="2" t="s">
        <v>48</v>
      </c>
      <c r="D25" s="2" t="s">
        <v>544</v>
      </c>
      <c r="E25" s="2" t="s">
        <v>322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29.0840042051251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599</v>
      </c>
      <c r="B26" s="2" t="s">
        <v>598</v>
      </c>
      <c r="C26" s="2" t="s">
        <v>43</v>
      </c>
      <c r="D26" s="2" t="s">
        <v>544</v>
      </c>
      <c r="E26" s="2" t="s">
        <v>322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43.9204335274689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600</v>
      </c>
      <c r="B27" s="2" t="s">
        <v>598</v>
      </c>
      <c r="C27" s="2" t="s">
        <v>52</v>
      </c>
      <c r="D27" s="2" t="s">
        <v>544</v>
      </c>
      <c r="E27" s="2" t="s">
        <v>322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601</v>
      </c>
      <c r="B28" s="2" t="s">
        <v>598</v>
      </c>
      <c r="C28" s="2" t="s">
        <v>54</v>
      </c>
      <c r="D28" s="2" t="s">
        <v>544</v>
      </c>
      <c r="E28" s="2" t="s">
        <v>322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602</v>
      </c>
      <c r="B29" s="2" t="s">
        <v>603</v>
      </c>
      <c r="C29" s="2" t="s">
        <v>48</v>
      </c>
      <c r="D29" s="2" t="s">
        <v>544</v>
      </c>
      <c r="E29" s="2" t="s">
        <v>322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29.0840042051251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604</v>
      </c>
      <c r="B30" s="2" t="s">
        <v>603</v>
      </c>
      <c r="C30" s="2" t="s">
        <v>43</v>
      </c>
      <c r="D30" s="2" t="s">
        <v>544</v>
      </c>
      <c r="E30" s="2" t="s">
        <v>322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43.9204335274689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605</v>
      </c>
      <c r="B31" s="2" t="s">
        <v>603</v>
      </c>
      <c r="C31" s="2" t="s">
        <v>52</v>
      </c>
      <c r="D31" s="2" t="s">
        <v>544</v>
      </c>
      <c r="E31" s="2" t="s">
        <v>322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606</v>
      </c>
      <c r="B32" s="2" t="s">
        <v>603</v>
      </c>
      <c r="C32" s="2" t="s">
        <v>54</v>
      </c>
      <c r="D32" s="2" t="s">
        <v>544</v>
      </c>
      <c r="E32" s="2" t="s">
        <v>322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607</v>
      </c>
      <c r="B33" s="2" t="s">
        <v>608</v>
      </c>
      <c r="C33" s="2" t="s">
        <v>48</v>
      </c>
      <c r="D33" s="2" t="s">
        <v>544</v>
      </c>
      <c r="E33" s="2" t="s">
        <v>322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29.0840042051251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609</v>
      </c>
      <c r="B34" s="2" t="s">
        <v>610</v>
      </c>
      <c r="C34" s="2" t="s">
        <v>43</v>
      </c>
      <c r="D34" s="2" t="s">
        <v>544</v>
      </c>
      <c r="E34" s="2" t="s">
        <v>322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43.9204335274689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436</v>
      </c>
      <c r="J35" s="33" t="n">
        <f aca="false">SUM(J5:J34)</f>
        <v>10454.32</v>
      </c>
      <c r="K35" s="35" t="n">
        <f aca="false">SUM(K5:K34)</f>
        <v>2170.0225</v>
      </c>
      <c r="N35" s="35" t="n">
        <f aca="false">SUM(N5:N34)</f>
        <v>749.79083475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1618.69185364828</v>
      </c>
      <c r="X35" s="42" t="n">
        <f aca="false">SUM(X5:X34)</f>
        <v>98187.7142048161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99787.7142048161</v>
      </c>
      <c r="AB35" s="42" t="n">
        <f aca="false">IF(U35&gt;0,(X35+Y35)/U35,0)</f>
        <v>997.877142048161</v>
      </c>
      <c r="AE35" s="33" t="n">
        <f aca="false">SUM(AE5:AE34)</f>
        <v>68.8754597661265</v>
      </c>
      <c r="AF35" s="35" t="n">
        <f aca="false">SUM(AF5:AF34)</f>
        <v>12.6312016378084</v>
      </c>
      <c r="AG35" s="35" t="n">
        <f aca="false">SUM(AG5:AG34)</f>
        <v>3.77912655629207</v>
      </c>
      <c r="AI35" s="35" t="n">
        <f aca="false">SUM(AI5:AI34)</f>
        <v>96.2208734437079</v>
      </c>
    </row>
    <row r="37" customFormat="false" ht="15" hidden="false" customHeight="false" outlineLevel="0" collapsed="false">
      <c r="A37" s="28" t="s">
        <v>611</v>
      </c>
    </row>
    <row r="38" customFormat="false" ht="64.9" hidden="false" customHeight="false" outlineLevel="0" collapsed="false">
      <c r="A38" s="12"/>
      <c r="B38" s="12" t="s">
        <v>305</v>
      </c>
      <c r="C38" s="12" t="s">
        <v>47</v>
      </c>
      <c r="D38" s="12" t="s">
        <v>612</v>
      </c>
      <c r="E38" s="12" t="s">
        <v>613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614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615</v>
      </c>
      <c r="C4" s="41" t="n">
        <f aca="false">SUMIFS(Channels!X5:X34,Channels!D5:D34,"Channel")</f>
        <v>70741.1802113096</v>
      </c>
    </row>
    <row r="5" customFormat="false" ht="15" hidden="false" customHeight="false" outlineLevel="0" collapsed="false">
      <c r="B5" s="2" t="s">
        <v>616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617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618</v>
      </c>
      <c r="C7" s="41" t="n">
        <f aca="false">C4+C5+C6</f>
        <v>99787.7142048161</v>
      </c>
    </row>
    <row r="8" customFormat="false" ht="15" hidden="false" customHeight="false" outlineLevel="0" collapsed="false">
      <c r="B8" s="2" t="s">
        <v>619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620</v>
      </c>
      <c r="C9" s="41" t="n">
        <f aca="false">C7</f>
        <v>99787.7142048161</v>
      </c>
    </row>
    <row r="10" customFormat="false" ht="15" hidden="false" customHeight="false" outlineLevel="0" collapsed="false">
      <c r="B10" s="2" t="s">
        <v>621</v>
      </c>
      <c r="C10" s="41" t="n">
        <f aca="false">IF(Assumptions!$D$48&lt;1,C9/(1-Assumptions!$D$48)*Assumptions!$D$48,0)</f>
        <v>17609.5966243793</v>
      </c>
    </row>
    <row r="11" customFormat="false" ht="15" hidden="false" customHeight="false" outlineLevel="0" collapsed="false">
      <c r="B11" s="2" t="s">
        <v>622</v>
      </c>
      <c r="C11" s="41" t="n">
        <f aca="false">C9+C10</f>
        <v>117397.310829195</v>
      </c>
    </row>
    <row r="12" customFormat="false" ht="15" hidden="false" customHeight="false" outlineLevel="0" collapsed="false">
      <c r="B12" s="28" t="s">
        <v>623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624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625</v>
      </c>
      <c r="C14" s="47" t="n">
        <f aca="false">IF(C13&gt;0,C9/C13,0)</f>
        <v>997.877142048161</v>
      </c>
    </row>
    <row r="15" customFormat="false" ht="15" hidden="false" customHeight="false" outlineLevel="0" collapsed="false">
      <c r="B15" s="2" t="s">
        <v>626</v>
      </c>
      <c r="C15" s="41" t="n">
        <f aca="false">IF(C13&gt;0,C12/C13,0)</f>
        <v>1175</v>
      </c>
    </row>
    <row r="16" customFormat="false" ht="15" hidden="false" customHeight="false" outlineLevel="0" collapsed="false">
      <c r="B16" s="2" t="s">
        <v>627</v>
      </c>
      <c r="C16" s="30" t="n">
        <f aca="false">IF(C12&gt;0,Weekly!N5/C12,0)</f>
        <v>0.291567699562282</v>
      </c>
    </row>
    <row r="19" customFormat="false" ht="15" hidden="false" customHeight="false" outlineLevel="0" collapsed="false">
      <c r="B19" s="28" t="s">
        <v>628</v>
      </c>
    </row>
    <row r="20" customFormat="false" ht="26.85" hidden="false" customHeight="false" outlineLevel="0" collapsed="false">
      <c r="A20" s="12"/>
      <c r="B20" s="12" t="s">
        <v>305</v>
      </c>
      <c r="C20" s="12" t="s">
        <v>629</v>
      </c>
      <c r="D20" s="12" t="s">
        <v>586</v>
      </c>
      <c r="E20" s="12" t="s">
        <v>630</v>
      </c>
      <c r="F20" s="12" t="s">
        <v>588</v>
      </c>
      <c r="G20" s="12" t="s">
        <v>631</v>
      </c>
      <c r="H20" s="12" t="s">
        <v>632</v>
      </c>
      <c r="I20" s="12" t="s">
        <v>633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36771.1842437409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37971.1842437409</v>
      </c>
      <c r="G21" s="32" t="n">
        <f aca="false">SUMIFS(Channels!$U$5:$U$34,Channels!$C$5:$C$34,B21)</f>
        <v>30</v>
      </c>
      <c r="H21" s="41" t="n">
        <f aca="false">IF(G21&gt;0,F21/G21,0)</f>
        <v>1265.70614145803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28537.310153834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28937.310153834</v>
      </c>
      <c r="G22" s="32" t="n">
        <f aca="false">SUMIFS(Channels!$U$5:$U$34,Channels!$C$5:$C$34,B22)</f>
        <v>45</v>
      </c>
      <c r="H22" s="41" t="n">
        <f aca="false">IF(G22&gt;0,F22/G22,0)</f>
        <v>643.051336751866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436</v>
      </c>
      <c r="C25" s="42" t="n">
        <f aca="false">SUM(C21:C24)</f>
        <v>98187.7142048161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99787.7142048161</v>
      </c>
      <c r="G25" s="35" t="n">
        <f aca="false">SUM(G21:G24)</f>
        <v>100</v>
      </c>
      <c r="H25" s="42" t="n">
        <f aca="false">IF(G25&gt;0,F25/G25,0)</f>
        <v>997.877142048161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634</v>
      </c>
    </row>
    <row r="28" customFormat="false" ht="26.85" hidden="false" customHeight="false" outlineLevel="0" collapsed="false">
      <c r="A28" s="12"/>
      <c r="B28" s="12" t="s">
        <v>304</v>
      </c>
      <c r="C28" s="12" t="s">
        <v>588</v>
      </c>
      <c r="D28" s="12" t="s">
        <v>631</v>
      </c>
      <c r="E28" s="12" t="s">
        <v>632</v>
      </c>
      <c r="F28" s="12" t="s">
        <v>635</v>
      </c>
    </row>
    <row r="29" customFormat="false" ht="15" hidden="false" customHeight="false" outlineLevel="0" collapsed="false">
      <c r="B29" s="2" t="s">
        <v>314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321</v>
      </c>
      <c r="C30" s="41" t="n">
        <f aca="false">SUMIFS(Channels!$AA$5:$AA$34,Channels!$B$5:$B$34,B30)</f>
        <v>8741.43424374094</v>
      </c>
      <c r="D30" s="32" t="n">
        <f aca="false">SUMIFS(Channels!$U$5:$U$34,Channels!$B$5:$B$34,B30)</f>
        <v>3.77340971754745</v>
      </c>
      <c r="E30" s="41" t="n">
        <f aca="false">IF(D30&gt;0,C30/D30,"–")</f>
        <v>2316.58762182403</v>
      </c>
      <c r="F30" s="30" t="n">
        <f aca="false">IF($C$9&gt;0,C30/$C$9,0)</f>
        <v>0.0876003054424013</v>
      </c>
    </row>
    <row r="31" customFormat="false" ht="15" hidden="false" customHeight="false" outlineLevel="0" collapsed="false">
      <c r="B31" s="2" t="s">
        <v>328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0.0580833026007952</v>
      </c>
    </row>
    <row r="32" customFormat="false" ht="15" hidden="false" customHeight="false" outlineLevel="0" collapsed="false">
      <c r="B32" s="2" t="s">
        <v>335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0.271936392906488</v>
      </c>
    </row>
    <row r="33" customFormat="false" ht="15" hidden="false" customHeight="false" outlineLevel="0" collapsed="false">
      <c r="B33" s="2" t="s">
        <v>339</v>
      </c>
      <c r="C33" s="41" t="n">
        <f aca="false">SUMIFS(Channels!$AA$5:$AA$34,Channels!$B$5:$B$34,B33)</f>
        <v>26067.8349103275</v>
      </c>
      <c r="D33" s="32" t="n">
        <f aca="false">SUMIFS(Channels!$U$5:$U$34,Channels!$B$5:$B$34,B33)</f>
        <v>13.276315045326</v>
      </c>
      <c r="E33" s="41" t="n">
        <f aca="false">IF(D33&gt;0,C33/D33,"–")</f>
        <v>1963.48420637282</v>
      </c>
      <c r="F33" s="30" t="n">
        <f aca="false">IF($C$9&gt;0,C33/$C$9,0)</f>
        <v>0.261232909462409</v>
      </c>
    </row>
    <row r="34" customFormat="false" ht="15" hidden="false" customHeight="false" outlineLevel="0" collapsed="false">
      <c r="B34" s="2" t="s">
        <v>343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0.0300638212219437</v>
      </c>
    </row>
    <row r="35" customFormat="false" ht="15" hidden="false" customHeight="false" outlineLevel="0" collapsed="false">
      <c r="B35" s="2" t="s">
        <v>598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0.000634346627783011</v>
      </c>
    </row>
    <row r="36" customFormat="false" ht="15" hidden="false" customHeight="false" outlineLevel="0" collapsed="false">
      <c r="B36" s="2" t="s">
        <v>603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0.110010812327738</v>
      </c>
    </row>
    <row r="37" customFormat="false" ht="15" hidden="false" customHeight="false" outlineLevel="0" collapsed="false">
      <c r="B37" s="2" t="s">
        <v>608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0.111356393806079</v>
      </c>
    </row>
    <row r="38" customFormat="false" ht="15" hidden="false" customHeight="false" outlineLevel="0" collapsed="false">
      <c r="B38" s="2" t="s">
        <v>610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0.0690817156043623</v>
      </c>
    </row>
    <row r="39" customFormat="false" ht="15" hidden="false" customHeight="false" outlineLevel="0" collapsed="false">
      <c r="B39" s="28" t="s">
        <v>436</v>
      </c>
      <c r="C39" s="42" t="n">
        <f aca="false">SUM(C29:C38)</f>
        <v>99787.7142048161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636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637</v>
      </c>
      <c r="C44" s="12" t="s">
        <v>638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639</v>
      </c>
      <c r="I44" s="12" t="s">
        <v>632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117500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1175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82250</v>
      </c>
      <c r="D46" s="32" t="n">
        <f aca="false">Budget!G87</f>
        <v>20.6080875</v>
      </c>
      <c r="E46" s="32" t="n">
        <f aca="false">Budget!G88</f>
        <v>44.7238957751397</v>
      </c>
      <c r="F46" s="32" t="n">
        <f aca="false">Budget!G89</f>
        <v>14.4920100346126</v>
      </c>
      <c r="G46" s="32" t="n">
        <f aca="false">Budget!G90</f>
        <v>6.81397631647712</v>
      </c>
      <c r="H46" s="35" t="n">
        <f aca="false">SUM(D46:G46)</f>
        <v>86.6379696262294</v>
      </c>
      <c r="I46" s="41" t="n">
        <f aca="false">IF(H46&gt;0,C46/H46,0)</f>
        <v>949.352810953906</v>
      </c>
    </row>
    <row r="49" customFormat="false" ht="17.35" hidden="false" customHeight="false" outlineLevel="0" collapsed="false">
      <c r="A49" s="1" t="s">
        <v>640</v>
      </c>
    </row>
    <row r="50" customFormat="false" ht="15" hidden="false" customHeight="false" outlineLevel="0" collapsed="false">
      <c r="A50" s="2" t="s">
        <v>641</v>
      </c>
    </row>
    <row r="51" customFormat="false" ht="15" hidden="false" customHeight="false" outlineLevel="0" collapsed="false">
      <c r="E51" s="28" t="s">
        <v>642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638</v>
      </c>
      <c r="F52" s="41" t="n">
        <f aca="false">Budget!$C$12*F51</f>
        <v>117500</v>
      </c>
      <c r="G52" s="41" t="n">
        <f aca="false">Budget!$C$12*G51</f>
        <v>82250</v>
      </c>
    </row>
    <row r="53" customFormat="false" ht="15" hidden="false" customHeight="false" outlineLevel="0" collapsed="false">
      <c r="E53" s="2" t="s">
        <v>643</v>
      </c>
      <c r="F53" s="41" t="n">
        <f aca="false">F52*(1-Assumptions!$D$48)</f>
        <v>99875</v>
      </c>
      <c r="G53" s="41" t="n">
        <f aca="false">G52*(1-Assumptions!$D$48)</f>
        <v>69912.5</v>
      </c>
    </row>
    <row r="54" customFormat="false" ht="15" hidden="false" customHeight="false" outlineLevel="0" collapsed="false">
      <c r="E54" s="2" t="s">
        <v>644</v>
      </c>
      <c r="F54" s="41" t="n">
        <f aca="false">MAX(0,Budget!$C$9-F53)</f>
        <v>0</v>
      </c>
      <c r="G54" s="41" t="n">
        <f aca="false">MAX(0,Budget!$C$9-G53)</f>
        <v>29875.2142048161</v>
      </c>
    </row>
    <row r="55" customFormat="false" ht="39.55" hidden="false" customHeight="false" outlineLevel="0" collapsed="false">
      <c r="A55" s="12" t="s">
        <v>645</v>
      </c>
      <c r="B55" s="12" t="s">
        <v>305</v>
      </c>
      <c r="C55" s="12" t="s">
        <v>646</v>
      </c>
      <c r="D55" s="12" t="s">
        <v>647</v>
      </c>
      <c r="E55" s="12" t="s">
        <v>631</v>
      </c>
      <c r="F55" s="12" t="s">
        <v>648</v>
      </c>
      <c r="G55" s="12" t="s">
        <v>649</v>
      </c>
      <c r="H55" s="12"/>
      <c r="I55" s="12"/>
      <c r="J55" s="12" t="s">
        <v>650</v>
      </c>
      <c r="K55" s="12" t="s">
        <v>651</v>
      </c>
      <c r="L55" s="12"/>
      <c r="M55" s="12"/>
      <c r="N55" s="12" t="s">
        <v>629</v>
      </c>
      <c r="O55" s="12" t="s">
        <v>652</v>
      </c>
      <c r="P55" s="12" t="s">
        <v>653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6491.43424374094</v>
      </c>
      <c r="D60" s="45" t="n">
        <f aca="false">IF(ISNUMBER(Channels!AB9),Channels!AB9,0)+ROW()/1000000</f>
        <v>2271.6049982716</v>
      </c>
      <c r="E60" s="32" t="n">
        <f aca="false">Channels!U9</f>
        <v>2.85764224860335</v>
      </c>
      <c r="F60" s="32" t="n">
        <f aca="false">IF(N60&gt;0,E60*MAX(0,N60-MIN(J60,N60))/N60,IF(C60&gt;0,E60*(1-J60/C60),E60))</f>
        <v>2.85764224860335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6491.43424374094</v>
      </c>
      <c r="N60" s="41" t="n">
        <f aca="false">Channels!X9</f>
        <v>6491.43424374094</v>
      </c>
      <c r="O60" s="32" t="n">
        <f aca="false">IF(E60&gt;0,F60*Channels!V9/E60,0)</f>
        <v>9.07188015429635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750</v>
      </c>
      <c r="D61" s="45" t="n">
        <f aca="false">IF(ISNUMBER(Channels!AB10),Channels!AB10,0)+ROW()/1000000</f>
        <v>1927.42243286682</v>
      </c>
      <c r="E61" s="32" t="n">
        <f aca="false">Channels!U10</f>
        <v>0.389120729813665</v>
      </c>
      <c r="F61" s="32" t="n">
        <f aca="false">IF(N61&gt;0,E61*MAX(0,N61-MIN(J61,N61))/N61,IF(C61&gt;0,E61*(1-J61/C61),E61))</f>
        <v>0.389120729813665</v>
      </c>
      <c r="G61" s="32" t="n">
        <f aca="false">IF(N61&gt;0,E61*MAX(0,N61-MIN(K61,N61))/N61,IF(C61&gt;0,E61*(1-K61/C61),E61))</f>
        <v>0.389120729813665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750</v>
      </c>
      <c r="O61" s="32" t="n">
        <f aca="false">IF(E61&gt;0,F61*Channels!V10/E61,0)</f>
        <v>1.04813664596273</v>
      </c>
      <c r="P61" s="32" t="n">
        <f aca="false">IF(E61&gt;0,G61*Channels!V10/E61,0)</f>
        <v>1.04813664596273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3.81969831647712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5443.77996107519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16.04915259024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13440</v>
      </c>
      <c r="D70" s="45" t="n">
        <f aca="false">IF(ISNUMBER(Channels!AB19),Channels!AB19,0)+ROW()/1000000</f>
        <v>2133.33340333333</v>
      </c>
      <c r="E70" s="32" t="n">
        <f aca="false">Channels!U19</f>
        <v>6.3</v>
      </c>
      <c r="F70" s="32" t="n">
        <f aca="false">IF(N70&gt;0,E70*MAX(0,N70-MIN(J70,N70))/N70,IF(C70&gt;0,E70*(1-J70/C70),E70))</f>
        <v>6.3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13440</v>
      </c>
      <c r="N70" s="41" t="n">
        <f aca="false">Channels!X19</f>
        <v>13440</v>
      </c>
      <c r="O70" s="32" t="n">
        <f aca="false">IF(E70&gt;0,F70*Channels!V19/E70,0)</f>
        <v>20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12627.8349103275</v>
      </c>
      <c r="D71" s="45" t="n">
        <f aca="false">IF(ISNUMBER(Channels!AB20),Channels!AB20,0)+ROW()/1000000</f>
        <v>1810.10108110101</v>
      </c>
      <c r="E71" s="32" t="n">
        <f aca="false">Channels!U20</f>
        <v>6.976315045326</v>
      </c>
      <c r="F71" s="32" t="n">
        <f aca="false">IF(N71&gt;0,E71*MAX(0,N71-MIN(J71,N71))/N71,IF(C71&gt;0,E71*(1-J71/C71),E71))</f>
        <v>6.976315045326</v>
      </c>
      <c r="G71" s="32" t="n">
        <f aca="false">IF(N71&gt;0,E71*MAX(0,N71-MIN(K71,N71))/N71,IF(C71&gt;0,E71*(1-K71/C71),E71))</f>
        <v>6.976315045326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0</v>
      </c>
      <c r="N71" s="41" t="n">
        <f aca="false">Channels!X20</f>
        <v>12627.8349103275</v>
      </c>
      <c r="O71" s="32" t="n">
        <f aca="false">IF(E71&gt;0,F71*Channels!V20/E71,0)</f>
        <v>18.7914209975111</v>
      </c>
      <c r="P71" s="32" t="n">
        <f aca="false">IF(E71&gt;0,G71*Channels!V20/E71,0)</f>
        <v>18.7914209975111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654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44.7238957751397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6.81397631647712</v>
      </c>
    </row>
    <row r="91" customFormat="false" ht="15" hidden="false" customHeight="false" outlineLevel="0" collapsed="false">
      <c r="E91" s="28" t="s">
        <v>436</v>
      </c>
      <c r="F91" s="35" t="n">
        <f aca="false">SUM(F87:F90)</f>
        <v>100</v>
      </c>
      <c r="G91" s="35" t="n">
        <f aca="false">SUM(G87:G90)</f>
        <v>86.6379696262294</v>
      </c>
    </row>
    <row r="92" customFormat="false" ht="15" hidden="false" customHeight="false" outlineLevel="0" collapsed="false">
      <c r="E92" s="2" t="s">
        <v>632</v>
      </c>
      <c r="F92" s="41" t="n">
        <f aca="false">IF(F91&gt;0,F52/F91,0)</f>
        <v>1175</v>
      </c>
      <c r="G92" s="41" t="n">
        <f aca="false">IF(G91&gt;0,G52/G91,0)</f>
        <v>949.352810953906</v>
      </c>
    </row>
    <row r="94" customFormat="false" ht="15" hidden="false" customHeight="false" outlineLevel="0" collapsed="false">
      <c r="E94" s="2" t="s">
        <v>655</v>
      </c>
      <c r="F94" s="32" t="n">
        <f aca="false">SUM(O56:O85)</f>
        <v>307.973076082958</v>
      </c>
      <c r="G94" s="32" t="n">
        <f aca="false">SUM(P56:P85)</f>
        <v>262.235259898854</v>
      </c>
    </row>
    <row r="95" customFormat="false" ht="15" hidden="false" customHeight="false" outlineLevel="0" collapsed="false">
      <c r="E95" s="2" t="s">
        <v>656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658</v>
      </c>
    </row>
    <row r="2" customFormat="false" ht="344" hidden="false" customHeight="false" outlineLevel="0" collapsed="false">
      <c r="A2" s="13" t="s">
        <v>659</v>
      </c>
    </row>
    <row r="3" customFormat="false" ht="45" hidden="false" customHeight="true" outlineLevel="0" collapsed="false">
      <c r="A3" s="12" t="s">
        <v>660</v>
      </c>
      <c r="B3" s="12" t="s">
        <v>661</v>
      </c>
      <c r="C3" s="12" t="s">
        <v>662</v>
      </c>
      <c r="D3" s="12" t="s">
        <v>663</v>
      </c>
      <c r="E3" s="12" t="s">
        <v>664</v>
      </c>
      <c r="F3" s="12" t="s">
        <v>665</v>
      </c>
      <c r="G3" s="12" t="s">
        <v>666</v>
      </c>
      <c r="H3" s="12" t="s">
        <v>667</v>
      </c>
      <c r="I3" s="12" t="s">
        <v>668</v>
      </c>
      <c r="J3" s="12" t="s">
        <v>669</v>
      </c>
      <c r="K3" s="12" t="s">
        <v>670</v>
      </c>
      <c r="L3" s="12" t="s">
        <v>671</v>
      </c>
      <c r="M3" s="12" t="s">
        <v>672</v>
      </c>
      <c r="N3" s="12" t="s">
        <v>673</v>
      </c>
      <c r="O3" s="12" t="s">
        <v>674</v>
      </c>
      <c r="P3" s="12" t="s">
        <v>675</v>
      </c>
      <c r="Q3" s="12" t="s">
        <v>676</v>
      </c>
      <c r="R3" s="12" t="s">
        <v>677</v>
      </c>
      <c r="S3" s="12" t="s">
        <v>678</v>
      </c>
      <c r="T3" s="12" t="s">
        <v>679</v>
      </c>
      <c r="U3" s="12" t="s">
        <v>680</v>
      </c>
      <c r="V3" s="12" t="s">
        <v>681</v>
      </c>
      <c r="W3" s="12" t="s">
        <v>682</v>
      </c>
      <c r="X3" s="12" t="s">
        <v>683</v>
      </c>
      <c r="Y3" s="12" t="s">
        <v>684</v>
      </c>
      <c r="Z3" s="49" t="s">
        <v>685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0.09</v>
      </c>
      <c r="E4" s="30" t="n">
        <f aca="false">IF(SUMPRODUCT(($B$4:$B$14&lt;=Funnel!$B$20)*$D$4:$D$14)&gt;0,IF(B4&lt;=Funnel!$B$20,D4,0)/SUMPRODUCT(($B$4:$B$14&lt;=Funnel!$B$20)*$D$4:$D$14),0)</f>
        <v>0.115384615384615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6857.63145902611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17853.6314590261</v>
      </c>
      <c r="N4" s="41" t="n">
        <f aca="false">SUM($M$4:M4)</f>
        <v>17853.6314590261</v>
      </c>
      <c r="O4" s="29" t="n">
        <f aca="false">(Funnel!$M$5+Funnel!$M$6+Funnel!$M$7-$F$27-$F$34)*D4+(Funnel!$M$8-$F$28-$F$35)*E4+($F$27+$F$28)*X4+($F$34+$F$35)*Y4</f>
        <v>184.273049678524</v>
      </c>
      <c r="P4" s="29" t="n">
        <f aca="false">(Funnel!$O$5+Funnel!$O$6+Funnel!$O$7-$F$25-$F$32)*D4+(Funnel!$O$8-$F$26-$F$33)*E4+($F$25+$F$26)*X4+($F$32+$F$33)*Y4</f>
        <v>39.002061136597</v>
      </c>
      <c r="Q4" s="29" t="n">
        <f aca="false">Assumptions!$D$9*MAX(0,MIN(C4,Funnel!$B$17)-MAX(B4,Funnel!$B$13)+1)/7</f>
        <v>39.2857142857143</v>
      </c>
      <c r="R4" s="30" t="n">
        <f aca="false">IF(Q4&gt;0,P4/Q4,IF(P4&gt;0,9.99,0))</f>
        <v>0.992779738022469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0.09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0.185897435897436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11005.5732395421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16405.5732395421</v>
      </c>
      <c r="N5" s="47" t="n">
        <f aca="false">SUM($M$4:M5)</f>
        <v>34259.2046985682</v>
      </c>
      <c r="O5" s="29" t="n">
        <f aca="false">(Funnel!$M$5+Funnel!$M$6+Funnel!$M$7-$F$27-$F$34)*D5+(Funnel!$M$8-$F$28-$F$35)*E5+($F$27+$F$28)*X5+($F$34+$F$35)*Y5</f>
        <v>276.690026270239</v>
      </c>
      <c r="P5" s="29" t="n">
        <f aca="false">(Funnel!$O$5+Funnel!$O$6+Funnel!$O$7-$F$25-$F$32)*D5+(Funnel!$O$8-$F$26-$F$33)*E5+($F$25+$F$26)*X5+($F$32+$F$33)*Y5</f>
        <v>53.7086673139481</v>
      </c>
      <c r="Q5" s="29" t="n">
        <f aca="false">Assumptions!$D$9*MAX(0,MIN(C5,Funnel!$B$17)-MAX(B5,Funnel!$B$13)+1)/7</f>
        <v>55</v>
      </c>
      <c r="R5" s="30" t="n">
        <f aca="false">IF(Q5&gt;0,P5/Q5,IF(P5&gt;0,9.99,0))</f>
        <v>0.976521223889966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IF(SUMPRODUCT(($B$4:$B$14&lt;=Funnel!$B$20)*$D$4:$D$14)&gt;0,IF(B6&lt;=Funnel!$B$20,D6,0)/SUMPRODUCT(($B$4:$B$14&lt;=Funnel!$B$20)*$D$4:$D$14),0)</f>
        <v>0.230769230769231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13646.2659180522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13646.2659180522</v>
      </c>
      <c r="N6" s="41" t="n">
        <f aca="false">SUM($M$4:M6)</f>
        <v>47905.4706166204</v>
      </c>
      <c r="O6" s="29" t="n">
        <f aca="false">(Funnel!$M$5+Funnel!$M$6+Funnel!$M$7-$F$27-$F$34)*D6+(Funnel!$M$8-$F$28-$F$35)*E6+($F$27+$F$28)*X6+($F$34+$F$35)*Y6</f>
        <v>285.846931544147</v>
      </c>
      <c r="P6" s="29" t="n">
        <f aca="false">(Funnel!$O$5+Funnel!$O$6+Funnel!$O$7-$F$25-$F$32)*D6+(Funnel!$O$8-$F$26-$F$33)*E6+($F$25+$F$26)*X6+($F$32+$F$33)*Y6</f>
        <v>54.0997609629473</v>
      </c>
      <c r="Q6" s="29" t="n">
        <f aca="false">Assumptions!$D$9*MAX(0,MIN(C6,Funnel!$B$17)-MAX(B6,Funnel!$B$13)+1)/7</f>
        <v>55</v>
      </c>
      <c r="R6" s="30" t="n">
        <f aca="false">IF(Q6&gt;0,P6/Q6,IF(P6&gt;0,9.99,0))</f>
        <v>0.983632017508132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</v>
      </c>
      <c r="E7" s="30" t="n">
        <f aca="false">IF(SUMPRODUCT(($B$4:$B$14&lt;=Funnel!$B$20)*$D$4:$D$14)&gt;0,IF(B7&lt;=Funnel!$B$20,D7,0)/SUMPRODUCT(($B$4:$B$14&lt;=Funnel!$B$20)*$D$4:$D$14),0)</f>
        <v>0.230769230769231</v>
      </c>
      <c r="F7" s="30" t="n">
        <f aca="false">IF(A7-ROUNDUP(Funnel!$B$15/7,0)&gt;=1,INDEX($D$4:$D$14,A7-ROUNDUP(Funnel!$B$15/7,0)),0)</f>
        <v>0.09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13639.3029180522</v>
      </c>
      <c r="I7" s="41" t="n">
        <f aca="false">IF(A7=1,$F$21,0)</f>
        <v>0</v>
      </c>
      <c r="J7" s="41" t="n">
        <f aca="false">$F$22*F7+$F$23*G7</f>
        <v>888.231825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14527.5347430522</v>
      </c>
      <c r="N7" s="41" t="n">
        <f aca="false">SUM($M$4:M7)</f>
        <v>62433.0053596726</v>
      </c>
      <c r="O7" s="29" t="n">
        <f aca="false">(Funnel!$M$5+Funnel!$M$6+Funnel!$M$7-$F$27-$F$34)*D7+(Funnel!$M$8-$F$28-$F$35)*E7+($F$27+$F$28)*X7+($F$34+$F$35)*Y7</f>
        <v>283.061731544147</v>
      </c>
      <c r="P7" s="29" t="n">
        <f aca="false">(Funnel!$O$5+Funnel!$O$6+Funnel!$O$7-$F$25-$F$32)*D7+(Funnel!$O$8-$F$26-$F$33)*E7+($F$25+$F$26)*X7+($F$32+$F$33)*Y7</f>
        <v>52.7071609629473</v>
      </c>
      <c r="Q7" s="29" t="n">
        <f aca="false">Assumptions!$D$9*MAX(0,MIN(C7,Funnel!$B$17)-MAX(B7,Funnel!$B$13)+1)/7</f>
        <v>55</v>
      </c>
      <c r="R7" s="30" t="n">
        <f aca="false">IF(Q7&gt;0,P7/Q7,IF(P7&gt;0,9.99,0))</f>
        <v>0.958312017508132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11.1230895137285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11.1230895137285</v>
      </c>
      <c r="W7" s="32" t="n">
        <f aca="false">SUM($V$4:V7)</f>
        <v>11.1230895137285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0.185</v>
      </c>
      <c r="E8" s="30" t="n">
        <f aca="false">IF(SUMPRODUCT(($B$4:$B$14&lt;=Funnel!$B$20)*$D$4:$D$14)&gt;0,IF(B8&lt;=Funnel!$B$20,D8,0)/SUMPRODUCT(($B$4:$B$14&lt;=Funnel!$B$20)*$D$4:$D$14),0)</f>
        <v>0.237179487179487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0.115384615384615</v>
      </c>
      <c r="H8" s="41" t="n">
        <f aca="false">$F$19*D8+$F$20*E8+$F$31*Y8</f>
        <v>14018.1724435537</v>
      </c>
      <c r="I8" s="41" t="n">
        <f aca="false">IF(A8=1,$F$21,0)</f>
        <v>0</v>
      </c>
      <c r="J8" s="41" t="n">
        <f aca="false">$F$22*F8+$F$23*G8</f>
        <v>1558.94227788462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15577.1147214383</v>
      </c>
      <c r="N8" s="41" t="n">
        <f aca="false">SUM($M$4:M8)</f>
        <v>78010.1200811109</v>
      </c>
      <c r="O8" s="29" t="n">
        <f aca="false">(Funnel!$M$5+Funnel!$M$6+Funnel!$M$7-$F$27-$F$34)*D8+(Funnel!$M$8-$F$28-$F$35)*E8+($F$27+$F$28)*X8+($F$34+$F$35)*Y8</f>
        <v>290.924557420373</v>
      </c>
      <c r="P8" s="29" t="n">
        <f aca="false">(Funnel!$O$5+Funnel!$O$6+Funnel!$O$7-$F$25-$F$32)*D8+(Funnel!$O$8-$F$26-$F$33)*E8+($F$25+$F$26)*X8+($F$32+$F$33)*Y8</f>
        <v>54.1712487674736</v>
      </c>
      <c r="Q8" s="29" t="n">
        <f aca="false">Assumptions!$D$9*MAX(0,MIN(C8,Funnel!$B$17)-MAX(B8,Funnel!$B$13)+1)/7</f>
        <v>55</v>
      </c>
      <c r="R8" s="30" t="n">
        <f aca="false">IF(Q8&gt;0,P8/Q8,IF(P8&gt;0,9.99,0))</f>
        <v>0.984931795772247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15.0107882098273</v>
      </c>
      <c r="U8" s="32" t="n">
        <f aca="false">$F$38*(G8*(Budget!$G$24-$F$30-$F$37)+IF(A8-ROUNDUP(Funnel!$B$16/7,0)&gt;=1,INDEX($X$4:$X$14,A8-ROUNDUP(Funnel!$B$16/7,0))*$F$30+INDEX($Y$4:$Y$14,A8-ROUNDUP(Funnel!$B$16/7,0))*$F$37,0))</f>
        <v>1.62972636731306</v>
      </c>
      <c r="V8" s="32" t="n">
        <f aca="false">T8+U8</f>
        <v>16.6405145771403</v>
      </c>
      <c r="W8" s="32" t="n">
        <f aca="false">SUM($V$4:V8)</f>
        <v>27.7636040908688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0.185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0.22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0.185897435897436</v>
      </c>
      <c r="H9" s="41" t="n">
        <f aca="false">$F$19*D9+$F$20*E9+$F$31*Y9</f>
        <v>13247.0407265898</v>
      </c>
      <c r="I9" s="41" t="n">
        <f aca="false">IF(A9=1,$F$21,0)</f>
        <v>0</v>
      </c>
      <c r="J9" s="41" t="n">
        <f aca="false">$F$22*F9+$F$23*G9</f>
        <v>1982.52816923077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15229.5688958206</v>
      </c>
      <c r="N9" s="41" t="n">
        <f aca="false">SUM($M$4:M9)</f>
        <v>93239.6889769315</v>
      </c>
      <c r="O9" s="29" t="n">
        <f aca="false">(Funnel!$M$5+Funnel!$M$6+Funnel!$M$7-$F$27-$F$34)*D9+(Funnel!$M$8-$F$28-$F$35)*E9+($F$27+$F$28)*X9+($F$34+$F$35)*Y9</f>
        <v>297.895557190847</v>
      </c>
      <c r="P9" s="29" t="n">
        <f aca="false">(Funnel!$O$5+Funnel!$O$6+Funnel!$O$7-$F$25-$F$32)*D9+(Funnel!$O$8-$F$26-$F$33)*E9+($F$25+$F$26)*X9+($F$32+$F$33)*Y9</f>
        <v>54.2841769390452</v>
      </c>
      <c r="Q9" s="29" t="n">
        <f aca="false">Assumptions!$D$9*MAX(0,MIN(C9,Funnel!$B$17)-MAX(B9,Funnel!$B$13)+1)/7</f>
        <v>55</v>
      </c>
      <c r="R9" s="30" t="n">
        <f aca="false">IF(Q9&gt;0,P9/Q9,IF(P9&gt;0,9.99,0))</f>
        <v>0.986985035255367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15.3724531362222</v>
      </c>
      <c r="U9" s="32" t="n">
        <f aca="false">$F$38*(G9*(Budget!$G$24-$F$30-$F$37)+IF(A9-ROUNDUP(Funnel!$B$16/7,0)&gt;=1,INDEX($X$4:$X$14,A9-ROUNDUP(Funnel!$B$16/7,0))*$F$30+INDEX($Y$4:$Y$14,A9-ROUNDUP(Funnel!$B$16/7,0))*$F$37,0))</f>
        <v>2.23553546379333</v>
      </c>
      <c r="V9" s="32" t="n">
        <f aca="false">T9+U9</f>
        <v>17.6079886000155</v>
      </c>
      <c r="W9" s="32" t="n">
        <f aca="false">SUM($V$4:V9)</f>
        <v>45.3715926908843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0.22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0.18</v>
      </c>
      <c r="G10" s="30" t="n">
        <f aca="false">IF(A10-ROUNDUP(Funnel!$B$16/7,0)&gt;=1,INDEX($E$4:$E$14,A10-ROUNDUP(Funnel!$B$16/7,0)),0)</f>
        <v>0.230769230769231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2032.26788076923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2032.26788076923</v>
      </c>
      <c r="N10" s="41" t="n">
        <f aca="false">SUM($M$4:M10)</f>
        <v>95271.9568577007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Assumptions!$D$9*MAX(0,MIN(C10,Funnel!$B$17)-MAX(B10,Funnel!$B$13)+1)/7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14.9211289662222</v>
      </c>
      <c r="U10" s="32" t="n">
        <f aca="false">$F$38*(G10*(Budget!$G$24-$F$30-$F$37)+IF(A10-ROUNDUP(Funnel!$B$16/7,0)&gt;=1,INDEX($X$4:$X$14,A10-ROUNDUP(Funnel!$B$16/7,0))*$F$30+INDEX($Y$4:$Y$14,A10-ROUNDUP(Funnel!$B$16/7,0))*$F$37,0))</f>
        <v>2.06486579082725</v>
      </c>
      <c r="V10" s="32" t="n">
        <f aca="false">T10+U10</f>
        <v>16.9859947570494</v>
      </c>
      <c r="W10" s="32" t="n">
        <f aca="false">SUM($V$4:V10)</f>
        <v>62.3575874479337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0.185</v>
      </c>
      <c r="G11" s="30" t="n">
        <f aca="false">IF(A11-ROUNDUP(Funnel!$B$16/7,0)&gt;=1,INDEX($E$4:$E$14,A11-ROUNDUP(Funnel!$B$16/7,0)),0)</f>
        <v>0.230769230769231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2081.61409326923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2081.61409326923</v>
      </c>
      <c r="N11" s="41" t="n">
        <f aca="false">SUM($M$4:M11)</f>
        <v>97353.57095097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Assumptions!$D$9*MAX(0,MIN(C11,Funnel!$B$17)-MAX(B11,Funnel!$B$13)+1)/7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15.3356047708395</v>
      </c>
      <c r="U11" s="32" t="n">
        <f aca="false">$F$38*(G11*(Budget!$G$24-$F$30-$F$37)+IF(A11-ROUNDUP(Funnel!$B$16/7,0)&gt;=1,INDEX($X$4:$X$14,A11-ROUNDUP(Funnel!$B$16/7,0))*$F$30+INDEX($Y$4:$Y$14,A11-ROUNDUP(Funnel!$B$16/7,0))*$F$37,0))</f>
        <v>2.00706035082725</v>
      </c>
      <c r="V11" s="32" t="n">
        <f aca="false">T11+U11</f>
        <v>17.3426651216667</v>
      </c>
      <c r="W11" s="32" t="n">
        <f aca="false">SUM($V$4:V11)</f>
        <v>79.7002525696005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0.22</v>
      </c>
      <c r="G12" s="30" t="n">
        <f aca="false">IF(A12-ROUNDUP(Funnel!$B$16/7,0)&gt;=1,INDEX($E$4:$E$14,A12-ROUNDUP(Funnel!$B$16/7,0)),0)</f>
        <v>0.237179487179487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2434.14325384615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2434.14325384615</v>
      </c>
      <c r="N12" s="41" t="n">
        <f aca="false">SUM($M$4:M12)</f>
        <v>99787.7142048161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Assumptions!$D$9*MAX(0,MIN(C12,Funnel!$B$17)-MAX(B12,Funnel!$B$13)+1)/7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18.2369354031604</v>
      </c>
      <c r="U12" s="32" t="n">
        <f aca="false">$F$38*(G12*(Budget!$G$24-$F$30-$F$37)+IF(A12-ROUNDUP(Funnel!$B$16/7,0)&gt;=1,INDEX($X$4:$X$14,A12-ROUNDUP(Funnel!$B$16/7,0))*$F$30+INDEX($Y$4:$Y$14,A12-ROUNDUP(Funnel!$B$16/7,0))*$F$37,0))</f>
        <v>2.06281202723911</v>
      </c>
      <c r="V12" s="32" t="n">
        <f aca="false">T12+U12</f>
        <v>20.2997474303996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99787.7142048161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Assumptions!$D$9*MAX(0,MIN(C13,Funnel!$B$17)-MAX(B13,Funnel!$B$13)+1)/7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99787.7142048161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Assumptions!$D$9*MAX(0,MIN(C14,Funnel!$B$17)-MAX(B14,Funnel!$B$13)+1)/7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</row>
    <row r="15" customFormat="false" ht="15" hidden="false" customHeight="false" outlineLevel="0" collapsed="false">
      <c r="A15" s="28" t="s">
        <v>436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72413.9867048161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99787.7142048161</v>
      </c>
      <c r="O15" s="35" t="n">
        <f aca="false">SUM(O4:O14)</f>
        <v>1618.69185364828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686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687</v>
      </c>
    </row>
    <row r="19" customFormat="false" ht="15" hidden="false" customHeight="false" outlineLevel="0" collapsed="false">
      <c r="B19" s="2" t="s">
        <v>688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60213.8214844992</v>
      </c>
    </row>
    <row r="20" customFormat="false" ht="15" hidden="false" customHeight="false" outlineLevel="0" collapsed="false">
      <c r="B20" s="2" t="s">
        <v>689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690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691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692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693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694</v>
      </c>
      <c r="F25" s="32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695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696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697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698</v>
      </c>
      <c r="F29" s="32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699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700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701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702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703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704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705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706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707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708</v>
      </c>
    </row>
    <row r="43" customFormat="false" ht="30" hidden="false" customHeight="true" outlineLevel="0" collapsed="false">
      <c r="A43" s="12"/>
      <c r="B43" s="12" t="s">
        <v>304</v>
      </c>
      <c r="C43" s="12" t="s">
        <v>709</v>
      </c>
      <c r="D43" s="12" t="s">
        <v>710</v>
      </c>
      <c r="E43" s="12" t="s">
        <v>711</v>
      </c>
      <c r="F43" s="12" t="s">
        <v>712</v>
      </c>
      <c r="G43" s="12" t="s">
        <v>713</v>
      </c>
      <c r="H43" s="12" t="s">
        <v>714</v>
      </c>
      <c r="I43" s="12" t="s">
        <v>715</v>
      </c>
      <c r="J43" s="12" t="s">
        <v>716</v>
      </c>
      <c r="K43" s="12" t="s">
        <v>717</v>
      </c>
      <c r="L43" s="12" t="s">
        <v>718</v>
      </c>
      <c r="M43" s="12" t="s">
        <v>719</v>
      </c>
      <c r="N43" s="12" t="s">
        <v>436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1716.72908193669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2632.50796534244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1033.45816387337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1033.45816387337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1062.16533509207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1263.11553362301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8741.43424374094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3215.32165074437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5113.57377064371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5230.64330148874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5230.64330148874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5375.93894875232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2969.79008412334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2811.10514192947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4462.33606199748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4422.21028385894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4422.21028385894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4545.04945841058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5404.92368027204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26067.8349103275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888.231825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1558.94227788462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1982.52816923077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2032.26788076923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2081.61409326923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2434.14325384615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2092.08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1784.16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1833.72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2180.64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436</v>
      </c>
      <c r="C54" s="42" t="n">
        <f aca="false">SUM(C44:C53)</f>
        <v>17853.6314590261</v>
      </c>
      <c r="D54" s="42" t="n">
        <f aca="false">SUM(D44:D53)</f>
        <v>16405.5732395421</v>
      </c>
      <c r="E54" s="42" t="n">
        <f aca="false">SUM(E44:E53)</f>
        <v>13646.2659180522</v>
      </c>
      <c r="F54" s="42" t="n">
        <f aca="false">SUM(F44:F53)</f>
        <v>14527.5347430522</v>
      </c>
      <c r="G54" s="42" t="n">
        <f aca="false">SUM(G44:G53)</f>
        <v>15577.1147214383</v>
      </c>
      <c r="H54" s="42" t="n">
        <f aca="false">SUM(H44:H53)</f>
        <v>15229.5688958206</v>
      </c>
      <c r="I54" s="42" t="n">
        <f aca="false">SUM(I44:I53)</f>
        <v>2032.26788076923</v>
      </c>
      <c r="J54" s="42" t="n">
        <f aca="false">SUM(J44:J53)</f>
        <v>2081.61409326923</v>
      </c>
      <c r="K54" s="42" t="n">
        <f aca="false">SUM(K44:K53)</f>
        <v>2434.14325384615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99787.7142048161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720</v>
      </c>
    </row>
    <row r="2" customFormat="false" ht="15" hidden="false" customHeight="false" outlineLevel="0" collapsed="false">
      <c r="A2" s="2" t="s">
        <v>721</v>
      </c>
    </row>
    <row r="4" customFormat="false" ht="45" hidden="false" customHeight="true" outlineLevel="0" collapsed="false">
      <c r="A4" s="12" t="s">
        <v>22</v>
      </c>
      <c r="B4" s="12" t="s">
        <v>304</v>
      </c>
      <c r="C4" s="12" t="s">
        <v>305</v>
      </c>
      <c r="D4" s="12" t="s">
        <v>722</v>
      </c>
      <c r="E4" s="12" t="s">
        <v>723</v>
      </c>
      <c r="F4" s="12" t="s">
        <v>724</v>
      </c>
      <c r="G4" s="12" t="s">
        <v>725</v>
      </c>
      <c r="H4" s="12" t="s">
        <v>726</v>
      </c>
      <c r="I4" s="12" t="s">
        <v>727</v>
      </c>
      <c r="J4" s="12" t="s">
        <v>728</v>
      </c>
      <c r="K4" s="12" t="s">
        <v>729</v>
      </c>
      <c r="L4" s="12" t="s">
        <v>730</v>
      </c>
      <c r="M4" s="12" t="s">
        <v>731</v>
      </c>
      <c r="N4" s="12" t="s">
        <v>732</v>
      </c>
      <c r="O4" s="12" t="s">
        <v>733</v>
      </c>
      <c r="P4" s="12" t="s">
        <v>734</v>
      </c>
      <c r="Q4" s="12" t="s">
        <v>735</v>
      </c>
      <c r="R4" s="12" t="s">
        <v>736</v>
      </c>
      <c r="S4" s="12" t="s">
        <v>737</v>
      </c>
      <c r="T4" s="12" t="s">
        <v>738</v>
      </c>
      <c r="U4" s="12" t="s">
        <v>739</v>
      </c>
      <c r="V4" s="12" t="s">
        <v>740</v>
      </c>
      <c r="W4" s="12" t="s">
        <v>741</v>
      </c>
      <c r="X4" s="12" t="s">
        <v>742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0.125</v>
      </c>
      <c r="F19" s="41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0.125</v>
      </c>
      <c r="V19" s="41" t="n">
        <f aca="false">IF(U19&gt;0,IF(AND(OR(P19&gt;=Assumptions!$D$83,Q19&gt;=Assumptions!$D$84),Q19&gt;0),S19,D19)/U19,0)</f>
        <v>672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0.125</v>
      </c>
      <c r="F20" s="41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0.125</v>
      </c>
      <c r="V20" s="41" t="n">
        <f aca="false">IF(U20&gt;0,IF(AND(OR(P20&gt;=Assumptions!$D$83,Q20&gt;=Assumptions!$D$84),Q20&gt;0),S20,D20)/U20,0)</f>
        <v>672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436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743</v>
      </c>
    </row>
    <row r="39" customFormat="false" ht="45" hidden="false" customHeight="true" outlineLevel="0" collapsed="false">
      <c r="A39" s="12"/>
      <c r="B39" s="12" t="s">
        <v>305</v>
      </c>
      <c r="C39" s="12" t="s">
        <v>744</v>
      </c>
      <c r="D39" s="12" t="s">
        <v>745</v>
      </c>
      <c r="E39" s="12" t="s">
        <v>746</v>
      </c>
      <c r="F39" s="12" t="s">
        <v>747</v>
      </c>
      <c r="G39" s="12" t="s">
        <v>748</v>
      </c>
      <c r="H39" s="12" t="s">
        <v>749</v>
      </c>
      <c r="I39" s="12" t="s">
        <v>750</v>
      </c>
      <c r="J39" s="12" t="s">
        <v>751</v>
      </c>
      <c r="K39" s="12" t="s">
        <v>752</v>
      </c>
      <c r="L39" s="12" t="s">
        <v>753</v>
      </c>
      <c r="M39" s="12" t="s">
        <v>754</v>
      </c>
      <c r="N39" s="12" t="s">
        <v>755</v>
      </c>
      <c r="O39" s="12" t="s">
        <v>47</v>
      </c>
      <c r="P39" s="12" t="s">
        <v>756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436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757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2026-10-09T13:42:51Z</dcterms:created>
  <dc:creator/>
  <dc:description/>
  <dc:language>en-US</dc:language>
  <cp:lastModifiedBy/>
  <dcterms:modified xsi:type="dcterms:W3CDTF">2026-10-09T13:42:51Z</dcterms:modified>
  <cp:revision>0</cp:revision>
  <dc:subject/>
  <dc:title>Operation Uptime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