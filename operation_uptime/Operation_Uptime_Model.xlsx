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<sst xmlns="http://schemas.openxmlformats.org/spreadsheetml/2006/main" count="1464" uniqueCount="766">
  <si>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</si>
  <si>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</si>
  <si>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</si>
  <si>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</si>
  <si>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</si>
  <si>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</si>
  <si>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</si>
  <si>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</si>
  <si>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</si>
  <si>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</si>
  <si>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</si>
  <si>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</si>
  <si>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</si>
  <si>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</si>
  <si>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</si>
  <si>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</si>
  <si>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</si>
  <si>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</si>
  <si>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</si>
  <si>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</si>
  <si>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</si>
  <si>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</si>
  <si>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</si>
  <si>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</si>
  <si>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</si>
  <si>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</si>
  <si>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</si>
  <si>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</si>
  <si>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</si>
  <si>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</si>
  <si>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</si>
  <si>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</si>
  <si>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</si>
  <si>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</si>
  <si>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</si>
  <si>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</si>
  <si>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</si>
  <si>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</si>
  <si>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</si>
  <si>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</si>
  <si>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</si>
  <si>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</si>
  <si>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</si>
  <si>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</si>
  <si>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</si>
  <si>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</si>
  <si>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</si>
  <si>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</si>
  <si>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</si>
  <si>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</si>
  <si>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</si>
  <si>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</si>
  <si>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</si>
  <si>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</si>
  <si>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</si>
  <si>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</si>
  <si>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</si>
  <si>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</si>
  <si>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</si>
  <si>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</si>
  <si>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</si>
  <si>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</si>
  <si>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</si>
  <si>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</si>
  <si>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(published review times are 5–10 days once a queue exists; T2 = 6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</si>
  <si>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</si>
  <si>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</si>
  <si>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</si>
  <si>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searches hit a low ~45% below normal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</si>
  <si>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</si>
  <si>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</si>
  <si>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</si>
  <si>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</si>
  <si>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</si>
  <si>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</si>
  <si>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</si>
  <si>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</si>
  <si>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</si>
  <si>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</si>
  <si>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</si>
  <si>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</si>
  <si>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</si>
  <si>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</si>
  <si>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</si>
  <si>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</si>
  <si>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</si>
  <si>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</si>
  <si>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</si>
  <si>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</si>
  <si>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</si>
  <si>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</si>
  <si>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</si>
  <si>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</si>
  <si>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</si>
  <si>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</si>
  <si>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</si>
  <si>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</si>
  <si>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</si>
  <si>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</si>
  <si>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</si>
  <si>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</si>
  <si>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</si>
  <si>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</si>
  <si>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</si>
  <si>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</si>
  <si>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</si>
  <si>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</si>
  <si>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</si>
  <si>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</si>
  <si>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</si>
  <si>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</si>
  <si>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</si>
  <si>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</si>
  <si>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</si>
  <si>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</si>
  <si>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</si>
  <si>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</si>
  <si>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</si>
  <si>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</si>
  <si>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</si>
  <si>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</si>
  <si>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</si>
  <si>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</si>
  <si>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</si>
  <si>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</si>
  <si>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</si>
  <si>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</si>
  <si>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</si>
  <si>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</si>
  <si>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</si>
  <si>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</si>
  <si>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</si>
  <si>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</si>
  <si>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</si>
  <si>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</si>
  <si>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</si>
  <si>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</si>
  <si>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</si>
  <si>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</si>
  <si>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</si>
  <si>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</si>
  <si>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</si>
  <si>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</si>
  <si>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</si>
  <si>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</si>
  <si>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</si>
  <si>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</si>
  <si>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</si>
  <si>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</si>
  <si>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</si>
  <si>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</si>
  <si>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</si>
  <si>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</si>
  <si>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</si>
  <si>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</si>
  <si>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</si>
  <si>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</si>
  <si>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</si>
  <si>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</si>
  <si>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</si>
  <si>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</si>
  <si>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</si>
  <si>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</si>
  <si>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</si>
  <si>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</si>
  <si>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</si>
  <si>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</si>
  <si>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</si>
  <si>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</si>
  <si>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</si>
  <si>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</si>
  <si>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</si>
  <si>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</si>
  <si>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</si>
  <si>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</si>
  <si>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</si>
  <si>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</si>
  <si>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</si>
  <si>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</si>
  <si>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</si>
  <si>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</si>
  <si>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</si>
  <si>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</si>
  <si>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</si>
  <si>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</si>
  <si>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</si>
  <si>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</si>
  <si>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</si>
  <si>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</si>
  <si>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</si>
  <si>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</si>
  <si>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</si>
  <si>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</si>
  <si>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</si>
  <si>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</si>
  <si>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</si>
  <si>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</si>
  <si>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</si>
  <si>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</si>
  <si>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</si>
  <si>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</si>
  <si>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</si>
  <si>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</si>
  <si>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</si>
  <si>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</si>
  <si>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</si>
  <si>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</si>
  <si>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</si>
  <si>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</si>
  <si>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</si>
  <si>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</si>
  <si>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</si>
  <si>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</si>
  <si>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</si>
  <si>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</si>
  <si>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</si>
  <si>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</si>
  <si>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</si>
  <si>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</si>
  <si>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</si>
  <si>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</si>
  <si>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</si>
  <si>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</si>
  <si>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</si>
  <si>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</si>
  <si>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</si>
  <si>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</si>
  <si>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</si>
  <si>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</si>
  <si>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</si>
  <si>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</si>
  <si>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</si>
  <si>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</si>
  <si>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</si>
  <si>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</si>
  <si>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</si>
  <si>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</si>
  <si>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</si>
  <si>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</si>
  <si>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</si>
  <si>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</si>
  <si>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</si>
  <si>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</si>
  <si>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</si>
  <si>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</si>
  <si>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</si>
  <si>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</si>
  <si>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</si>
  <si>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</si>
  <si>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</si>
  <si>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</si>
  <si>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</si>
  <si>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</si>
  <si>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</si>
  <si>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</si>
  <si>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</si>
  <si>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</si>
  <si>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57%), relative to the average channel (0.41).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</si>
  <si>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</si>
  <si>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</si>
  <si>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70%), relative to the average channel (0.41).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</si>
  <si>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</si>
  <si>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</si>
  <si>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</si>
  <si>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</si>
  <si>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</si>
  <si>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</si>
  <si>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</si>
  <si>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</si>
  <si>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</si>
  <si>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</si>
  <si>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</si>
  <si>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</si>
  <si>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</si>
  <si>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</si>
  <si>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</si>
  <si>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</si>
  <si>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</si>
  <si>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</si>
  <si>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</si>
  <si>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</si>
  <si>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</si>
  <si>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</si>
  <si>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</si>
  <si>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</si>
  <si>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</si>
  <si>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</si>
  <si>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</si>
  <si>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</si>
  <si>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</si>
  <si>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</si>
  <si>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</si>
  <si>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</si>
  <si>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</si>
  <si>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</si>
  <si>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</si>
  <si>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</si>
  <si>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</si>
  <si>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</si>
  <si>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</si>
  <si>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</si>
  <si>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</si>
  <si>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</si>
  <si>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</si>
  <si>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</si>
  <si>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</si>
  <si>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</si>
  <si>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</si>
  <si>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</si>
  <si>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</si>
  <si>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</si>
  <si>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</si>
  <si>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</si>
  <si>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</si>
  <si>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</si>
  <si>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</si>
  <si>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</si>
  <si>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</si>
  <si>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</si>
  <si>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</si>
  <si>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</si>
  <si>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</si>
  <si>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</si>
  <si>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</si>
  <si>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</si>
  <si>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</si>
  <si>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</si>
  <si>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</si>
  <si>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</si>
  <si>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</si>
  <si>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DACH median is €161 per application (TalentBait, 2,549 campaigns),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</si>
  <si>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</si>
  <si>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</si>
  <si>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</si>
  <si>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</si>
  <si>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</si>
  <si>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</si>
  <si>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</si>
  <si>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</si>
  <si>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</si>
  <si>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</si>
  <si>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</si>
  <si>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</si>
  <si>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</si>
  <si>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</si>
  <si>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</si>
  <si>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</si>
  <si>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TalentBait's trades example: ~€84 per application for social ads;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</si>
  <si>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</si>
  <si>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</si>
  <si>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</si>
  <si>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</si>
  <si>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</si>
  <si>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</si>
  <si>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</si>
  <si>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</si>
  <si>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</si>
  <si>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</si>
  <si>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</si>
  <si>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</si>
  <si>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</si>
  <si>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</si>
  <si>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</si>
  <si>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</si>
  <si>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</si>
  <si>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</si>
  <si>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</si>
  <si>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</si>
  <si>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</si>
  <si>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</si>
  <si>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</si>
  <si>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</si>
  <si>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</si>
  <si>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</si>
  <si>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</si>
  <si>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</si>
  <si>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</si>
  <si>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</si>
  <si>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</si>
  <si>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</si>
  <si>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</si>
  <si>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</si>
  <si>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</si>
  <si>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</si>
  <si>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</si>
  <si>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</si>
  <si>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</si>
  <si>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</si>
  <si>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</si>
  <si>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</si>
  <si>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</si>
  <si>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</si>
  <si>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</si>
  <si>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</si>
  <si>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</si>
  <si>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TalentBait's trades example shows ~€84 per application for social ads.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</si>
  <si>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</si>
  <si>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</si>
  <si>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</si>
  <si>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</si>
  <si>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</si>
  <si>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</si>
  <si>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</si>
  <si>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</si>
  <si>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</si>
  <si>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</si>
  <si>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</si>
  <si>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</si>
  <si>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</si>
  <si>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</si>
  <si>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vocational upper-secondary: 58.7% know a foreign language × 23.6% of them good or proficient ≈ 14%.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</si>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</sst>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3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101667.57387493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18332.4261250701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1016.6757387493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86.977613550255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67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67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67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67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67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0.25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0.185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0.215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0.025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67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67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67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67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67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67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67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67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67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67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67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0.71</v>
      </c>
      <c r="E109" s="2" t="s">
        <v>256</v>
      </c>
      <c r="F109" s="2" t="s">
        <v>67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67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67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67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67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67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67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67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67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67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67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67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67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67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67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67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67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67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67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67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67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67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67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67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67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67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67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67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67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67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67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67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67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67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67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63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67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67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63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67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67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es hit a low ~45% below normal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), relative to the average channel (0.41). https://iab-forum.de/online-medien-sind-bei-der-personalsuche-auf-dem-vormarsch/"/>
    <hyperlink ref="G109" r:id="rId37" display="Derived from IAB 2025: decisive ÷ used for the employer homepage (20% ÷ 70%), relative to the average channel (0.41)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DACH median is €161 per application (TalentBait, 2,549 campaigns), used as the programmatic proxy. Volume capped by Indeed's reach. https://www.talentbait.de/recruiting-kanaele-uebersicht/"/>
    <hyperlink ref="L132" r:id="rId57" display="Indeed's DACH median is €161 per application (TalentBait, 2,549 campaigns), used as the programmatic proxy. Volume capped by Indeed's reach. https://www.talentbait.de/recruiting-kanaele-uebersicht/"/>
    <hyperlink ref="L133" r:id="rId58" display="Indeed's DACH median is €161 per application (TalentBait, 2,549 campaigns), used as the programmatic proxy. Volume capped by Indeed's reach. https://www.talentbait.de/recruiting-kanaele-uebersicht/"/>
    <hyperlink ref="L134" r:id="rId59" display="Indeed's DACH median is €161 per application (TalentBait, 2,549 campaign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TalentBait's trades example: ~€84 per application for social ads; volume from Redline campaign data. https://www.talentbait.de/social-media-recruiting"/>
    <hyperlink ref="L142" r:id="rId67" display="TalentBait's trades example: ~€84 per application for social ads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75 each (seven.io) plus email, rounded up to €0.30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TalentBait's trades example shows ~€84 per application for social ads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vocational upper-secondary: 58.7% know a foreign language × 23.6% of them good or proficient ≈ 14%.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413.059411486506</v>
      </c>
      <c r="N5" s="31" t="n">
        <f aca="false">IF(M5&gt;0,O5/M5,0)</f>
        <v>0.233024820549912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660.667213314308</v>
      </c>
      <c r="N6" s="31" t="n">
        <f aca="false">IF(M6&gt;0,O6/M6,0)</f>
        <v>0.179777532195495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1490.4890234349</v>
      </c>
      <c r="N9" s="34" t="n">
        <f aca="false">IF(M9&gt;0,O9/M9,0)</f>
        <v>0.206625524402199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110.5720875</v>
      </c>
      <c r="E30" s="40" t="n">
        <f aca="false">IF(B30&gt;0,D30/B30,0)</f>
        <v>3.68573625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3.40696125</v>
      </c>
      <c r="L30" s="40" t="n">
        <f aca="false">IF(B30&gt;0,K30,1000000000)</f>
        <v>3.40696125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551.49330375</v>
      </c>
      <c r="E31" s="40" t="n">
        <f aca="false">IF(B31&gt;0,D31/B31,0)</f>
        <v>12.25540675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12.25540675</v>
      </c>
      <c r="L31" s="40" t="n">
        <f aca="false">IF(B31&gt;0,K31,1000000000)</f>
        <v>12.25540675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101667.57387493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145239.3912499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145239.3912499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145239.3912499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132167.846037409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101667.57387493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322.5375</v>
      </c>
      <c r="J58" s="30" t="n">
        <f aca="false">IF(F58&gt;0,I58/F58,0)</f>
        <v>0.566849736379613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1483.58</v>
      </c>
      <c r="J59" s="30" t="n">
        <f aca="false">IF(F59&gt;0,I59/F59,0)</f>
        <v>0.505995907230559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22.9989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0.365</v>
      </c>
      <c r="D54" s="41" t="n">
        <f aca="false">B33+SUMIFS(Channels!$X:$X,Channels!$A:$A,"I2-E")*C54</f>
        <v>4817.88</v>
      </c>
      <c r="E54" s="32" t="n">
        <f aca="false">SUMIFS(Channels!$V:$V,Channels!$A:$A,"I2-E")*C54</f>
        <v>10.7675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29.1472854551251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43.9950150006831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20.6080875</v>
      </c>
      <c r="T9" s="32" t="n">
        <f aca="false">INDEX(Funnel!$B$5:$B$8,MATCH(C9,Funnel!$A$5:$A$8,0))-SUMIFS($AG$5:$AG$34,$C$5:$C$34,C9)</f>
        <v>29.1472854551251</v>
      </c>
      <c r="U9" s="46" t="n">
        <f aca="false">AG9+AI9</f>
        <v>8.86936099860335</v>
      </c>
      <c r="V9" s="32" t="n">
        <f aca="false">IF(L9&gt;0,U9/L9,0)</f>
        <v>28.1567015828678</v>
      </c>
      <c r="W9" s="29" t="n">
        <f aca="false">IF(I9&gt;0,V9/I9,0)</f>
        <v>125.140895923857</v>
      </c>
      <c r="X9" s="41" t="n">
        <f aca="false">IF(E9="Slot",IF(N(G9)&gt;0,ROUNDUP(W9/G9,0)*MAX(0,F9),0),W9*H9)</f>
        <v>20147.6842437409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20147.6842437409</v>
      </c>
      <c r="AB9" s="41" t="n">
        <f aca="false">IF(U9&gt;0,(X9+Y9)/U9,"–")</f>
        <v>2271.60493827161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8.53919795512509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37.35846</v>
      </c>
      <c r="T10" s="32" t="n">
        <f aca="false">INDEX(Funnel!$B$5:$B$8,MATCH(C10,Funnel!$A$5:$A$8,0))-SUMIFS($AG$5:$AG$34,$C$5:$C$34,C10)</f>
        <v>43.9950150006831</v>
      </c>
      <c r="U10" s="46" t="n">
        <f aca="false">AG10+AI10</f>
        <v>7.0256757304968</v>
      </c>
      <c r="V10" s="32" t="n">
        <f aca="false">IF(L10&gt;0,U10/L10,0)</f>
        <v>18.9243790720453</v>
      </c>
      <c r="W10" s="29" t="n">
        <f aca="false">IF(I10&gt;0,V10/I10,0)</f>
        <v>84.1083514313123</v>
      </c>
      <c r="X10" s="41" t="n">
        <f aca="false">IF(E10="Slot",IF(N(G10)&gt;0,ROUNDUP(W10/G10,0)*MAX(0,F10),0),W10*H10)</f>
        <v>13541.4445804413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13541.4445804413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6.63655500068314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29.1472854551251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43.9950150006831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84.7741744565217</v>
      </c>
      <c r="T19" s="32" t="n">
        <f aca="false">INDEX(Funnel!$B$5:$B$8,MATCH(C19,Funnel!$A$5:$A$8,0))-SUMIFS($AG$5:$AG$34,$C$5:$C$34,C19)</f>
        <v>29.1472854551251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428.730901770186</v>
      </c>
      <c r="T20" s="32" t="n">
        <f aca="false">INDEX(Funnel!$B$5:$B$8,MATCH(C20,Funnel!$A$5:$A$8,0))-SUMIFS($AG$5:$AG$34,$C$5:$C$34,C20)</f>
        <v>43.9950150006831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90.9433932065217</v>
      </c>
      <c r="T21" s="32" t="n">
        <f aca="false">INDEX(Funnel!$B$5:$B$8,MATCH(C21,Funnel!$A$5:$A$8,0))-SUMIFS($AG$5:$AG$34,$C$5:$C$34,C21)</f>
        <v>29.1472854551251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436.762829225544</v>
      </c>
      <c r="T22" s="32" t="n">
        <f aca="false">INDEX(Funnel!$B$5:$B$8,MATCH(C22,Funnel!$A$5:$A$8,0))-SUMIFS($AG$5:$AG$34,$C$5:$C$34,C22)</f>
        <v>43.9950150006831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29.1472854551251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43.9950150006831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29.1472854551251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43.9950150006831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29.1472854551251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43.9950150006831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10534.32</v>
      </c>
      <c r="K35" s="35" t="n">
        <f aca="false">SUM(K5:K34)</f>
        <v>2170.5725</v>
      </c>
      <c r="N35" s="35" t="n">
        <f aca="false">SUM(N5:N34)</f>
        <v>749.96689725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1490.4890234349</v>
      </c>
      <c r="X35" s="42" t="n">
        <f aca="false">SUM(X5:X34)</f>
        <v>100067.57387493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101667.57387493</v>
      </c>
      <c r="AB35" s="42" t="n">
        <f aca="false">IF(U35&gt;0,(X35+Y35)/U35,0)</f>
        <v>1016.6757387493</v>
      </c>
      <c r="AE35" s="33" t="n">
        <f aca="false">SUM(AE5:AE34)</f>
        <v>68.8754597661265</v>
      </c>
      <c r="AF35" s="35" t="n">
        <f aca="false">SUM(AF5:AF34)</f>
        <v>12.2294159235227</v>
      </c>
      <c r="AG35" s="35" t="n">
        <f aca="false">SUM(AG5:AG34)</f>
        <v>3.64126383307779</v>
      </c>
      <c r="AI35" s="35" t="n">
        <f aca="false">SUM(AI5:AI34)</f>
        <v>96.3587361669222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72621.0398814234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101667.57387493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101667.57387493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17941.3365661641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119608.910441094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120000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1016.6757387493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1200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0.39201909828295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37737.434243741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38937.434243741</v>
      </c>
      <c r="G21" s="32" t="n">
        <f aca="false">SUMIFS(Channels!$U$5:$U$34,Channels!$C$5:$C$34,B21)</f>
        <v>30</v>
      </c>
      <c r="H21" s="41" t="n">
        <f aca="false">IF(G21&gt;0,F21/G21,0)</f>
        <v>1297.91447479137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29450.9198239478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29850.9198239478</v>
      </c>
      <c r="G22" s="32" t="n">
        <f aca="false">SUMIFS(Channels!$U$5:$U$34,Channels!$C$5:$C$34,B22)</f>
        <v>45</v>
      </c>
      <c r="H22" s="41" t="n">
        <f aca="false">IF(G22&gt;0,F22/G22,0)</f>
        <v>663.353773865506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100067.57387493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101667.57387493</v>
      </c>
      <c r="G25" s="35" t="n">
        <f aca="false">SUM(G21:G24)</f>
        <v>100</v>
      </c>
      <c r="H25" s="42" t="n">
        <f aca="false">IF(G25&gt;0,F25/G25,0)</f>
        <v>1016.6757387493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35189.1288241822</v>
      </c>
      <c r="D30" s="32" t="n">
        <f aca="false">SUMIFS(Channels!$U$5:$U$34,Channels!$B$5:$B$34,B30)</f>
        <v>16.4216834682306</v>
      </c>
      <c r="E30" s="41" t="n">
        <f aca="false">IF(D30&gt;0,C30/D30,"–")</f>
        <v>2142.8453965916</v>
      </c>
      <c r="F30" s="30" t="n">
        <f aca="false">IF($C$9&gt;0,C30/$C$9,0)</f>
        <v>0.346119490049713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0.0570093273508244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0.266908218844914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0.0147539667056999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0.0295079334113998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0.000622617394980535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0.107976684026164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0.109297385355825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0.0678043768604805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101667.57387493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120000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1200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84000</v>
      </c>
      <c r="D46" s="32" t="n">
        <f aca="false">Budget!G87</f>
        <v>20.6080875</v>
      </c>
      <c r="E46" s="32" t="n">
        <f aca="false">Budget!G88</f>
        <v>44.3841357304968</v>
      </c>
      <c r="F46" s="32" t="n">
        <f aca="false">Budget!G89</f>
        <v>14.4920100346126</v>
      </c>
      <c r="G46" s="32" t="n">
        <f aca="false">Budget!G90</f>
        <v>7.4933802851456</v>
      </c>
      <c r="H46" s="35" t="n">
        <f aca="false">SUM(D46:G46)</f>
        <v>86.977613550255</v>
      </c>
      <c r="I46" s="41" t="n">
        <f aca="false">IF(H46&gt;0,C46/H46,0)</f>
        <v>965.765747889432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120000</v>
      </c>
      <c r="G52" s="41" t="n">
        <f aca="false">Budget!$C$12*G51</f>
        <v>84000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102000</v>
      </c>
      <c r="G53" s="41" t="n">
        <f aca="false">G52*(1-Assumptions!$D$48)</f>
        <v>71400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30267.5738749299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20147.6842437409</v>
      </c>
      <c r="D60" s="45" t="n">
        <f aca="false">IF(ISNUMBER(Channels!AB9),Channels!AB9,0)+ROW()/1000000</f>
        <v>2271.60499827161</v>
      </c>
      <c r="E60" s="32" t="n">
        <f aca="false">Channels!U9</f>
        <v>8.86936099860335</v>
      </c>
      <c r="F60" s="32" t="n">
        <f aca="false">IF(N60&gt;0,E60*MAX(0,N60-MIN(J60,N60))/N60,IF(C60&gt;0,E60*(1-J60/C60),E60))</f>
        <v>8.86936099860335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20147.6842437409</v>
      </c>
      <c r="N60" s="41" t="n">
        <f aca="false">Channels!X9</f>
        <v>20147.6842437409</v>
      </c>
      <c r="O60" s="32" t="n">
        <f aca="false">IF(E60&gt;0,F60*Channels!V9/E60,0)</f>
        <v>28.1567015828678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13541.4445804413</v>
      </c>
      <c r="D61" s="45" t="n">
        <f aca="false">IF(ISNUMBER(Channels!AB10),Channels!AB10,0)+ROW()/1000000</f>
        <v>1927.42243286682</v>
      </c>
      <c r="E61" s="32" t="n">
        <f aca="false">Channels!U10</f>
        <v>7.0256757304968</v>
      </c>
      <c r="F61" s="32" t="n">
        <f aca="false">IF(N61&gt;0,E61*MAX(0,N61-MIN(J61,N61))/N61,IF(C61&gt;0,E61*(1-J61/C61),E61))</f>
        <v>7.0256757304968</v>
      </c>
      <c r="G61" s="32" t="n">
        <f aca="false">IF(N61&gt;0,E61*MAX(0,N61-MIN(K61,N61))/N61,IF(C61&gt;0,E61*(1-K61/C61),E61))</f>
        <v>7.0256757304968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13541.4445804413</v>
      </c>
      <c r="O61" s="32" t="n">
        <f aca="false">IF(E61&gt;0,F61*Channels!V10/E61,0)</f>
        <v>18.9243790720453</v>
      </c>
      <c r="P61" s="32" t="n">
        <f aca="false">IF(E61&gt;0,G61*Channels!V10/E61,0)</f>
        <v>18.9243790720453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4.4991022851456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4119.88963118899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18.9037911140571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44.3841357304968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7.4933802851456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86.977613550255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1200</v>
      </c>
      <c r="G92" s="41" t="n">
        <f aca="false">IF(G91&gt;0,G52/G91,0)</f>
        <v>965.765747889432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264.174719851242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  <c r="AA3" s="49" t="s">
        <v>693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0.25</v>
      </c>
      <c r="E4" s="30" t="n">
        <f aca="false">IF(SUM($AA$4:$AA$14)&gt;0,AA4/SUM($AA$4:$AA$14),0)</f>
        <v>0.31616982836495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19398.7108822494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30394.7108822494</v>
      </c>
      <c r="N4" s="41" t="n">
        <f aca="false">SUM($M$4:M4)</f>
        <v>30394.7108822494</v>
      </c>
      <c r="O4" s="29" t="n">
        <f aca="false">(Funnel!$M$5+Funnel!$M$6+Funnel!$M$7-$F$27-$F$34)*D4+(Funnel!$M$8-$F$28-$F$35)*E4+($F$27+$F$28)*X4+($F$34+$F$35)*Y4</f>
        <v>403.092612777087</v>
      </c>
      <c r="P4" s="29" t="n">
        <f aca="false">(Funnel!$O$5+Funnel!$O$6+Funnel!$O$7-$F$25-$F$32)*D4+(Funnel!$O$8-$F$26-$F$33)*E4+($F$25+$F$26)*X4+($F$32+$F$33)*Y4</f>
        <v>85.6365349277805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0.990835941313163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0.25</v>
      </c>
      <c r="AA4" s="30" t="n">
        <f aca="false">D4*IF(MAX(0,MIN(C4,Funnel!$B$19)-B4+1)&gt;0,MAX(0,MIN(C4,Funnel!$B$20)-B4+1)/MAX(0,MIN(C4,Funnel!$B$19)-B4+1),0)</f>
        <v>0.25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IF(SUM($AA$4:$AA$14)&gt;0,AA5/SUM($AA$4:$AA$14),0)</f>
        <v>0.183378500451671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11247.5809117046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16647.5809117046</v>
      </c>
      <c r="N5" s="47" t="n">
        <f aca="false">SUM($M$4:M5)</f>
        <v>47042.291793954</v>
      </c>
      <c r="O5" s="29" t="n">
        <f aca="false">(Funnel!$M$5+Funnel!$M$6+Funnel!$M$7-$F$27-$F$34)*D5+(Funnel!$M$8-$F$28-$F$35)*E5+($F$27+$F$28)*X5+($F$34+$F$35)*Y5</f>
        <v>257.671324604645</v>
      </c>
      <c r="P5" s="29" t="n">
        <f aca="false">(Funnel!$O$5+Funnel!$O$6+Funnel!$O$7-$F$25-$F$32)*D5+(Funnel!$O$8-$F$26-$F$33)*E5+($F$25+$F$26)*X5+($F$32+$F$33)*Y5</f>
        <v>53.435335317969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0.971551551235801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  <c r="AA5" s="30" t="n">
        <f aca="false">D5*IF(MAX(0,MIN(C5,Funnel!$B$19)-B5+1)&gt;0,MAX(0,MIN(C5,Funnel!$B$20)-B5+1)/MAX(0,MIN(C5,Funnel!$B$19)-B5+1),0)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IF(SUM($AA$4:$AA$14)&gt;0,AA6/SUM($AA$4:$AA$14),0)</f>
        <v>0.227642276422764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13946.6892352196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13946.6892352196</v>
      </c>
      <c r="N6" s="41" t="n">
        <f aca="false">SUM($M$4:M6)</f>
        <v>60988.9810291736</v>
      </c>
      <c r="O6" s="29" t="n">
        <f aca="false">(Funnel!$M$5+Funnel!$M$6+Funnel!$M$7-$F$27-$F$34)*D6+(Funnel!$M$8-$F$28-$F$35)*E6+($F$27+$F$28)*X6+($F$34+$F$35)*Y6</f>
        <v>262.237508786858</v>
      </c>
      <c r="P6" s="29" t="n">
        <f aca="false">(Funnel!$O$5+Funnel!$O$6+Funnel!$O$7-$F$25-$F$32)*D6+(Funnel!$O$8-$F$26-$F$33)*E6+($F$25+$F$26)*X6+($F$32+$F$33)*Y6</f>
        <v>54.0597133620274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0.98290387930959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  <c r="AA6" s="30" t="n">
        <f aca="false">D6*IF(MAX(0,MIN(C6,Funnel!$B$19)-B6+1)&gt;0,MAX(0,MIN(C6,Funnel!$B$20)-B6+1)/MAX(0,MIN(C6,Funnel!$B$19)-B6+1),0)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0.185</v>
      </c>
      <c r="E7" s="30" t="n">
        <f aca="false">IF(SUM($AA$4:$AA$14)&gt;0,AA7/SUM($AA$4:$AA$14),0)</f>
        <v>0.233965672990063</v>
      </c>
      <c r="F7" s="30" t="n">
        <f aca="false">IF(A7-ROUNDUP(Funnel!$B$15/7,0)&gt;=1,INDEX($D$4:$D$14,A7-ROUNDUP(Funnel!$B$15/7,0)),0)</f>
        <v>0.25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14326.9408528645</v>
      </c>
      <c r="I7" s="41" t="n">
        <f aca="false">IF(A7=1,$F$21,0)</f>
        <v>0</v>
      </c>
      <c r="J7" s="41" t="n">
        <f aca="false">$F$22*F7+$F$23*G7</f>
        <v>2467.310625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16794.2514778646</v>
      </c>
      <c r="N7" s="41" t="n">
        <f aca="false">SUM($M$4:M7)</f>
        <v>77783.2325070381</v>
      </c>
      <c r="O7" s="29" t="n">
        <f aca="false">(Funnel!$M$5+Funnel!$M$6+Funnel!$M$7-$F$27-$F$34)*D7+(Funnel!$M$8-$F$28-$F$35)*E7+($F$27+$F$28)*X7+($F$34+$F$35)*Y7</f>
        <v>266.659317364271</v>
      </c>
      <c r="P7" s="29" t="n">
        <f aca="false">(Funnel!$O$5+Funnel!$O$6+Funnel!$O$7-$F$25-$F$32)*D7+(Funnel!$O$8-$F$26-$F$33)*E7+($F$25+$F$26)*X7+($F$32+$F$33)*Y7</f>
        <v>54.1300887331949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0.984183431512634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24.3656358529994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24.3656358529994</v>
      </c>
      <c r="W7" s="32" t="n">
        <f aca="false">SUM($V$4:V7)</f>
        <v>24.3656358529994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0.185</v>
      </c>
      <c r="AA7" s="30" t="n">
        <f aca="false">D7*IF(MAX(0,MIN(C7,Funnel!$B$19)-B7+1)&gt;0,MAX(0,MIN(C7,Funnel!$B$20)-B7+1)/MAX(0,MIN(C7,Funnel!$B$19)-B7+1),0)</f>
        <v>0.185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0.215</v>
      </c>
      <c r="E8" s="30" t="n">
        <f aca="false">IF(SUM($AA$4:$AA$14)&gt;0,AA8/SUM($AA$4:$AA$14),0)</f>
        <v>0.038843721770551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0.31616982836495</v>
      </c>
      <c r="H8" s="41" t="n">
        <f aca="false">$F$19*D8+$F$20*E8+$F$31*Y8</f>
        <v>13821.5824640265</v>
      </c>
      <c r="I8" s="41" t="n">
        <f aca="false">IF(A8=1,$F$21,0)</f>
        <v>0</v>
      </c>
      <c r="J8" s="41" t="n">
        <f aca="false">$F$22*F8+$F$23*G8</f>
        <v>1781.50967469512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15603.0921387216</v>
      </c>
      <c r="N8" s="41" t="n">
        <f aca="false">SUM($M$4:M8)</f>
        <v>93386.3246457597</v>
      </c>
      <c r="O8" s="29" t="n">
        <f aca="false">(Funnel!$M$5+Funnel!$M$6+Funnel!$M$7-$F$27-$F$34)*D8+(Funnel!$M$8-$F$28-$F$35)*E8+($F$27+$F$28)*X8+($F$34+$F$35)*Y8</f>
        <v>270.18156279478</v>
      </c>
      <c r="P8" s="29" t="n">
        <f aca="false">(Funnel!$O$5+Funnel!$O$6+Funnel!$O$7-$F$25-$F$32)*D8+(Funnel!$O$8-$F$26-$F$33)*E8+($F$25+$F$26)*X8+($F$32+$F$33)*Y8</f>
        <v>54.5327026287834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0.991503684159698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14.9480606707648</v>
      </c>
      <c r="U8" s="32" t="n">
        <f aca="false">$F$38*(G8*(Budget!$G$24-$F$30-$F$37)+IF(A8-ROUNDUP(Funnel!$B$16/7,0)&gt;=1,INDEX($X$4:$X$14,A8-ROUNDUP(Funnel!$B$16/7,0))*$F$30+INDEX($Y$4:$Y$14,A8-ROUNDUP(Funnel!$B$16/7,0))*$F$37,0))</f>
        <v>3.37600787400241</v>
      </c>
      <c r="V8" s="32" t="n">
        <f aca="false">T8+U8</f>
        <v>18.3240685447672</v>
      </c>
      <c r="W8" s="32" t="n">
        <f aca="false">SUM($V$4:V8)</f>
        <v>42.6897043977666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0.215</v>
      </c>
      <c r="AA8" s="30" t="n">
        <f aca="false">D8*IF(MAX(0,MIN(C8,Funnel!$B$19)-B8+1)&gt;0,MAX(0,MIN(C8,Funnel!$B$20)-B8+1)/MAX(0,MIN(C8,Funnel!$B$19)-B8+1),0)</f>
        <v>0.0307142857142857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0.025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0.183378500451671</v>
      </c>
      <c r="H9" s="41" t="n">
        <f aca="false">$F$19*D9+$F$20*E9+$F$31*Y9</f>
        <v>1552.34202886533</v>
      </c>
      <c r="I9" s="41" t="n">
        <f aca="false">IF(A9=1,$F$21,0)</f>
        <v>0</v>
      </c>
      <c r="J9" s="41" t="n">
        <f aca="false">$F$22*F9+$F$23*G9</f>
        <v>1979.73596707317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3532.0779959385</v>
      </c>
      <c r="N9" s="41" t="n">
        <f aca="false">SUM($M$4:M9)</f>
        <v>96918.4026416982</v>
      </c>
      <c r="O9" s="29" t="n">
        <f aca="false">(Funnel!$M$5+Funnel!$M$6+Funnel!$M$7-$F$27-$F$34)*D9+(Funnel!$M$8-$F$28-$F$35)*E9+($F$27+$F$28)*X9+($F$34+$F$35)*Y9</f>
        <v>30.6466971072619</v>
      </c>
      <c r="P9" s="29" t="n">
        <f aca="false">(Funnel!$O$5+Funnel!$O$6+Funnel!$O$7-$F$25-$F$32)*D9+(Funnel!$O$8-$F$26-$F$33)*E9+($F$25+$F$26)*X9+($F$32+$F$33)*Y9</f>
        <v>6.17870111320319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0.786380141680406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/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15.3972684264007</v>
      </c>
      <c r="U9" s="32" t="n">
        <f aca="false">$F$38*(G9*(Budget!$G$24-$F$30-$F$37)+IF(A9-ROUNDUP(Funnel!$B$16/7,0)&gt;=1,INDEX($X$4:$X$14,A9-ROUNDUP(Funnel!$B$16/7,0))*$F$30+INDEX($Y$4:$Y$14,A9-ROUNDUP(Funnel!$B$16/7,0))*$F$37,0))</f>
        <v>2.21362762346889</v>
      </c>
      <c r="V9" s="32" t="n">
        <f aca="false">T9+U9</f>
        <v>17.6108960498696</v>
      </c>
      <c r="W9" s="32" t="n">
        <f aca="false">SUM($V$4:V9)</f>
        <v>60.3006004476362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0.025</v>
      </c>
      <c r="AA9" s="30" t="n">
        <f aca="false">D9*IF(MAX(0,MIN(C9,Funnel!$B$19)-B9+1)&gt;0,MAX(0,MIN(C9,Funnel!$B$20)-B9+1)/MAX(0,MIN(C9,Funnel!$B$19)-B9+1),0)</f>
        <v>0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0.185</v>
      </c>
      <c r="G10" s="30" t="n">
        <f aca="false">IF(A10-ROUNDUP(Funnel!$B$16/7,0)&gt;=1,INDEX($E$4:$E$14,A10-ROUNDUP(Funnel!$B$16/7,0)),0)</f>
        <v>0.227642276422764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2078.14791128049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2078.14791128049</v>
      </c>
      <c r="N10" s="41" t="n">
        <f aca="false">SUM($M$4:M10)</f>
        <v>98996.5505529787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15.3611093746341</v>
      </c>
      <c r="U10" s="32" t="n">
        <f aca="false">$F$38*(G10*(Budget!$G$24-$F$30-$F$37)+IF(A10-ROUNDUP(Funnel!$B$16/7,0)&gt;=1,INDEX($X$4:$X$14,A10-ROUNDUP(Funnel!$B$16/7,0))*$F$30+INDEX($Y$4:$Y$14,A10-ROUNDUP(Funnel!$B$16/7,0))*$F$37,0))</f>
        <v>2.03766985111414</v>
      </c>
      <c r="V10" s="32" t="n">
        <f aca="false">T10+U10</f>
        <v>17.3987792257482</v>
      </c>
      <c r="W10" s="32" t="n">
        <f aca="false">SUM($V$4:V10)</f>
        <v>77.6993796733844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0.215</v>
      </c>
      <c r="G11" s="30" t="n">
        <f aca="false">IF(A11-ROUNDUP(Funnel!$B$16/7,0)&gt;=1,INDEX($E$4:$E$14,A11-ROUNDUP(Funnel!$B$16/7,0)),0)</f>
        <v>0.233965672990063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2381.23457652439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2381.23457652439</v>
      </c>
      <c r="N11" s="41" t="n">
        <f aca="false">SUM($M$4:M11)</f>
        <v>101377.785129503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17.8521000840342</v>
      </c>
      <c r="U11" s="32" t="n">
        <f aca="false">$F$38*(G11*(Budget!$G$24-$F$30-$F$37)+IF(A11-ROUNDUP(Funnel!$B$16/7,0)&gt;=1,INDEX($X$4:$X$14,A11-ROUNDUP(Funnel!$B$16/7,0))*$F$30+INDEX($Y$4:$Y$14,A11-ROUNDUP(Funnel!$B$16/7,0))*$F$37,0))</f>
        <v>2.0348606447562</v>
      </c>
      <c r="V11" s="32" t="n">
        <f aca="false">T11+U11</f>
        <v>19.8869607287904</v>
      </c>
      <c r="W11" s="32" t="n">
        <f aca="false">SUM($V$4:V11)</f>
        <v>97.5863404021749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0.025</v>
      </c>
      <c r="G12" s="30" t="n">
        <f aca="false">IF(A12-ROUNDUP(Funnel!$B$16/7,0)&gt;=1,INDEX($E$4:$E$14,A12-ROUNDUP(Funnel!$B$16/7,0)),0)</f>
        <v>0.038843721770551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289.788745426829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289.788745426829</v>
      </c>
      <c r="N12" s="41" t="n">
        <f aca="false">SUM($M$4:M12)</f>
        <v>101667.57387493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2.07582559116677</v>
      </c>
      <c r="U12" s="32" t="n">
        <f aca="false">$F$38*(G12*(Budget!$G$24-$F$30-$F$37)+IF(A12-ROUNDUP(Funnel!$B$16/7,0)&gt;=1,INDEX($X$4:$X$14,A12-ROUNDUP(Funnel!$B$16/7,0))*$F$30+INDEX($Y$4:$Y$14,A12-ROUNDUP(Funnel!$B$16/7,0))*$F$37,0))</f>
        <v>0.337834006658365</v>
      </c>
      <c r="V12" s="32" t="n">
        <f aca="false">T12+U12</f>
        <v>2.41365959782514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101667.57387493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101667.57387493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74293.8463749299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101667.57387493</v>
      </c>
      <c r="O15" s="35" t="n">
        <f aca="false">SUM(O4:O14)</f>
        <v>1490.4890234349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695</v>
      </c>
    </row>
    <row r="19" customFormat="false" ht="15" hidden="false" customHeight="false" outlineLevel="0" collapsed="false">
      <c r="B19" s="2" t="s">
        <v>696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62093.681154613</v>
      </c>
    </row>
    <row r="20" customFormat="false" ht="15" hidden="false" customHeight="false" outlineLevel="0" collapsed="false">
      <c r="B20" s="2" t="s">
        <v>697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698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699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700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701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702</v>
      </c>
      <c r="F25" s="32" t="n">
        <f aca="false">SUMIFS(Channels!$AF$5:$AF$34,Channels!$C$5:$C$34,"&lt;&gt;Supervisors")</f>
        <v>8.96372483214199</v>
      </c>
    </row>
    <row r="26" customFormat="false" ht="15" hidden="false" customHeight="false" outlineLevel="0" collapsed="false">
      <c r="B26" s="2" t="s">
        <v>703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704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705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706</v>
      </c>
      <c r="F29" s="32" t="n">
        <f aca="false">SUMIFS(Channels!$AG$5:$AG$34,Channels!$C$5:$C$34,"&lt;&gt;Supervisors")</f>
        <v>2.86402935332918</v>
      </c>
    </row>
    <row r="30" customFormat="false" ht="15" hidden="false" customHeight="false" outlineLevel="0" collapsed="false">
      <c r="B30" s="2" t="s">
        <v>707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708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709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710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711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712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713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714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715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716</v>
      </c>
    </row>
    <row r="43" customFormat="false" ht="30" hidden="false" customHeight="true" outlineLevel="0" collapsed="false">
      <c r="A43" s="12"/>
      <c r="B43" s="12" t="s">
        <v>311</v>
      </c>
      <c r="C43" s="12" t="s">
        <v>717</v>
      </c>
      <c r="D43" s="12" t="s">
        <v>718</v>
      </c>
      <c r="E43" s="12" t="s">
        <v>719</v>
      </c>
      <c r="F43" s="12" t="s">
        <v>720</v>
      </c>
      <c r="G43" s="12" t="s">
        <v>721</v>
      </c>
      <c r="H43" s="12" t="s">
        <v>722</v>
      </c>
      <c r="I43" s="12" t="s">
        <v>723</v>
      </c>
      <c r="J43" s="12" t="s">
        <v>724</v>
      </c>
      <c r="K43" s="12" t="s">
        <v>725</v>
      </c>
      <c r="L43" s="12" t="s">
        <v>726</v>
      </c>
      <c r="M43" s="12" t="s">
        <v>727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9247.28220604556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6467.42367950642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5794.0431883528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5954.98883247371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6920.66269719918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804.728220604556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35189.1288241822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7812.07205282721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5083.00179063978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5192.69187803559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5336.93331909214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3373.73587072339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337.476145923107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2467.310625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1781.50967469512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1979.73596707317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2078.14791128049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2381.23457652439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289.788745426829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3678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1833.72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2131.08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247.8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2023.37662337662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1201.2987012987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1396.1038961039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162.337662337662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30394.7108822494</v>
      </c>
      <c r="D54" s="42" t="n">
        <f aca="false">SUM(D44:D53)</f>
        <v>16647.5809117046</v>
      </c>
      <c r="E54" s="42" t="n">
        <f aca="false">SUM(E44:E53)</f>
        <v>13946.6892352196</v>
      </c>
      <c r="F54" s="42" t="n">
        <f aca="false">SUM(F44:F53)</f>
        <v>16794.2514778646</v>
      </c>
      <c r="G54" s="42" t="n">
        <f aca="false">SUM(G44:G53)</f>
        <v>15603.0921387216</v>
      </c>
      <c r="H54" s="42" t="n">
        <f aca="false">SUM(H44:H53)</f>
        <v>3532.0779959385</v>
      </c>
      <c r="I54" s="42" t="n">
        <f aca="false">SUM(I44:I53)</f>
        <v>2078.14791128049</v>
      </c>
      <c r="J54" s="42" t="n">
        <f aca="false">SUM(J44:J53)</f>
        <v>2381.23457652439</v>
      </c>
      <c r="K54" s="42" t="n">
        <f aca="false">SUM(K44:K53)</f>
        <v>289.788745426829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101667.57387493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730</v>
      </c>
      <c r="E4" s="12" t="s">
        <v>731</v>
      </c>
      <c r="F4" s="12" t="s">
        <v>732</v>
      </c>
      <c r="G4" s="12" t="s">
        <v>733</v>
      </c>
      <c r="H4" s="12" t="s">
        <v>734</v>
      </c>
      <c r="I4" s="12" t="s">
        <v>735</v>
      </c>
      <c r="J4" s="12" t="s">
        <v>736</v>
      </c>
      <c r="K4" s="12" t="s">
        <v>737</v>
      </c>
      <c r="L4" s="12" t="s">
        <v>738</v>
      </c>
      <c r="M4" s="12" t="s">
        <v>739</v>
      </c>
      <c r="N4" s="12" t="s">
        <v>740</v>
      </c>
      <c r="O4" s="12" t="s">
        <v>741</v>
      </c>
      <c r="P4" s="12" t="s">
        <v>742</v>
      </c>
      <c r="Q4" s="12" t="s">
        <v>743</v>
      </c>
      <c r="R4" s="12" t="s">
        <v>744</v>
      </c>
      <c r="S4" s="12" t="s">
        <v>745</v>
      </c>
      <c r="T4" s="12" t="s">
        <v>746</v>
      </c>
      <c r="U4" s="12" t="s">
        <v>747</v>
      </c>
      <c r="V4" s="12" t="s">
        <v>748</v>
      </c>
      <c r="W4" s="12" t="s">
        <v>749</v>
      </c>
      <c r="X4" s="12" t="s">
        <v>750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751</v>
      </c>
    </row>
    <row r="39" customFormat="false" ht="45" hidden="false" customHeight="true" outlineLevel="0" collapsed="false">
      <c r="A39" s="12"/>
      <c r="B39" s="12" t="s">
        <v>312</v>
      </c>
      <c r="C39" s="12" t="s">
        <v>752</v>
      </c>
      <c r="D39" s="12" t="s">
        <v>753</v>
      </c>
      <c r="E39" s="12" t="s">
        <v>754</v>
      </c>
      <c r="F39" s="12" t="s">
        <v>755</v>
      </c>
      <c r="G39" s="12" t="s">
        <v>756</v>
      </c>
      <c r="H39" s="12" t="s">
        <v>757</v>
      </c>
      <c r="I39" s="12" t="s">
        <v>758</v>
      </c>
      <c r="J39" s="12" t="s">
        <v>759</v>
      </c>
      <c r="K39" s="12" t="s">
        <v>760</v>
      </c>
      <c r="L39" s="12" t="s">
        <v>761</v>
      </c>
      <c r="M39" s="12" t="s">
        <v>762</v>
      </c>
      <c r="N39" s="12" t="s">
        <v>763</v>
      </c>
      <c r="O39" s="12" t="s">
        <v>47</v>
      </c>
      <c r="P39" s="12" t="s">
        <v>764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2026-10-09T14:48:57Z</dcterms:created>
  <dc:creator/>
  <dc:description/>
  <dc:language>en-US</dc:language>
  <cp:lastModifiedBy/>
  <dcterms:modified xsi:type="dcterms:W3CDTF">2026-10-09T14:48:57Z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