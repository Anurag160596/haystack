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Pool" sheetId="4" state="visible" r:id="rId6"/>
    <sheet name="Initiatives" sheetId="5" state="visible" r:id="rId7"/>
    <sheet name="Channels" sheetId="6" state="visible" r:id="rId8"/>
    <sheet name="Budget" sheetId="7" state="visible" r:id="rId9"/>
    <sheet name="Scenarios" sheetId="8" state="visible" r:id="rId10"/>
    <sheet name="Weekly" sheetId="9" state="visible" r:id="rId11"/>
    <sheet name="Track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<sst xmlns="http://schemas.openxmlformats.org/spreadsheetml/2006/main" count="1224" uniqueCount="631">
  <si>
    <t xml:space="preserve">Operation Uptime — model summary (hypothetical Tesla Giga Berlin maintenance hiring)</t>
  </si>
  <si>
    <t xml:space="preserve">Everything on this tab is a live link.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</si>
  <si>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</si>
  <si>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</si>
  <si>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</si>
  <si>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 to €5k)</t>
  </si>
  <si>
    <t xml:space="preserve">Hires the channel plan buys</t>
  </si>
  <si>
    <t xml:space="preserve">Hires actually possible (≤ 55 assessments/week)</t>
  </si>
  <si>
    <t xml:space="preserve">Media cost per hire</t>
  </si>
  <si>
    <t xml:space="preserve">Qualified applicants to assess</t>
  </si>
  <si>
    <t xml:space="preserve">Assessment slots available (55/week)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</si>
  <si>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</si>
  <si>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</si>
  <si>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</si>
  <si>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</t>
  </si>
  <si>
    <t xml:space="preserve">Electricians (see Funnel row 35)</t>
  </si>
  <si>
    <t xml:space="preserve">Most sensitive assumption</t>
  </si>
  <si>
    <t xml:space="preserve">Hires with 30% less budget</t>
  </si>
  <si>
    <t xml:space="preserve">Tabs: Assumptions (all inputs + labels) → Funnel (Part 1) → Pool (sanity) → Channels (Part 2.2–2.3) → Initiatives (Part 3) → Budget (Part 2.4–2.5) → Scenarios → Weekly → Tracker (Part 4, live round).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</si>
  <si>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</si>
  <si>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</si>
  <si>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</si>
  <si>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</si>
  <si>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</si>
  <si>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</si>
  <si>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</si>
  <si>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</si>
  <si>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</si>
  <si>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</si>
  <si>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</si>
  <si>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</si>
  <si>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</si>
  <si>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</si>
  <si>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</si>
  <si>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</si>
  <si>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</si>
  <si>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</si>
  <si>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</si>
  <si>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</si>
  <si>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</si>
  <si>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</si>
  <si>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</si>
  <si>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</si>
  <si>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</si>
  <si>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</si>
  <si>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</si>
  <si>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</si>
  <si>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</si>
  <si>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</si>
  <si>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</si>
  <si>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</si>
  <si>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</si>
  <si>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</si>
  <si>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</si>
  <si>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</si>
  <si>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</si>
  <si>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</si>
  <si>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</si>
  <si>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</si>
  <si>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</si>
  <si>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</si>
  <si>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Cross-check: legal processing deadline 3 months (§6 BQFG) https://www.hwk-berlin.de/artikel/auslaendische-qualifikationen-91,0,277.html ; typically 3–4 months https://www.anerkennung-in-deutschland.de/html/de/ag/berufliche-anerkennung.php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</si>
  <si>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</si>
  <si>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</si>
  <si>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</si>
  <si>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</si>
  <si>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</si>
  <si>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Day-1 re-engagement of past applicants (Initiative 1) gives recruiters candidates to assess from Thursday of week 1.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</si>
  <si>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</si>
  <si>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</si>
  <si>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</si>
  <si>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</si>
  <si>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</si>
  <si>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Knock-out questions + ATS auto-screen; recruiters assess within the working week.</t>
  </si>
  <si>
    <t xml:space="preserve">T3</t>
  </si>
  <si>
    <t xml:space="preserve">Days: recruiter assessment → technical interview/test done</t>
  </si>
  <si>
    <t xml:space="preserve">One on-site/online technical interview slot per week per hiring manager.</t>
  </si>
  <si>
    <t xml:space="preserve">T4</t>
  </si>
  <si>
    <t xml:space="preserve">Days: interview → written offer</t>
  </si>
  <si>
    <t xml:space="preserve">Tesla is known for fast decisions; assumes offer approval within 3 days (client to confirm).</t>
  </si>
  <si>
    <t xml:space="preserve">T5</t>
  </si>
  <si>
    <t xml:space="preserve">Days: offer → signed contract</t>
  </si>
  <si>
    <t xml:space="preserve">Candidates take ~a week to compare offers and resign from current job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</si>
  <si>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</si>
  <si>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</si>
  <si>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</si>
  <si>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</si>
  <si>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</si>
  <si>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</si>
  <si>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</si>
  <si>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</si>
  <si>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Largest, most standard trade pool (Mechatroniker/Industriemechaniker); Polish applicants mostly speak German/English near the border. Highest of the four.</t>
  </si>
  <si>
    <t xml:space="preserve">QA</t>
  </si>
  <si>
    <t xml:space="preserve">Many applicants are generalists or IT/PLC programmers without maintenance/robotics hands-on or without Siemens S7/TIA; lower share qualified.</t>
  </si>
  <si>
    <t xml:space="preserve">QS</t>
  </si>
  <si>
    <t xml:space="preserve">Requires Meister/Techniker + leadership; most applicants are technicians applying 'up'.</t>
  </si>
  <si>
    <t xml:space="preserve">PE</t>
  </si>
  <si>
    <t xml:space="preserve">Qualified → passed assessment</t>
  </si>
  <si>
    <t xml:space="preserve">Pass = practical/technical interview. Qualified on paper ≠ passes (fault-finding on live automation, DGUV V3 Elektrofachkraft). ~half pass.</t>
  </si>
  <si>
    <t xml:space="preserve">PM</t>
  </si>
  <si>
    <t xml:space="preserve">Most standardised skill set; slightly higher pass rate.</t>
  </si>
  <si>
    <t xml:space="preserve">PA</t>
  </si>
  <si>
    <t xml:space="preserve">PLC/robotics tests are hard to fake; half pass.</t>
  </si>
  <si>
    <t xml:space="preserve">PS</t>
  </si>
  <si>
    <t xml:space="preserve">Leadership + technical; lowest pass rate.</t>
  </si>
  <si>
    <t xml:space="preserve">OE</t>
  </si>
  <si>
    <t xml:space="preserve">Passed → offer made</t>
  </si>
  <si>
    <t xml:space="preserve">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</si>
  <si>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</si>
  <si>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</si>
  <si>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</si>
  <si>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</si>
  <si>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</si>
  <si>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Engpassberuf with counter-offers from energy/grid, rail, aerospace; Tesla shift work and IG Metall disputes are known. Tesla pays above Brandenburg trade median (€3,030/month, WSI https://www.lohnspiegel.de/gehaltsinfos/elektroniker_in_fuer_betriebstechnik_26252114.html) which helps.</t>
  </si>
  <si>
    <t xml:space="preserve">AM</t>
  </si>
  <si>
    <t xml:space="preserve">Bigger pool, fewer counter-offers; pay premium vs Brandenburg/Polish wages is strong for border commuters.</t>
  </si>
  <si>
    <t xml:space="preserve">AA</t>
  </si>
  <si>
    <t xml:space="preserve">Scarce, many counter-offers (car makers, integrators).</t>
  </si>
  <si>
    <t xml:space="preserve">AS</t>
  </si>
  <si>
    <t xml:space="preserve">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</si>
  <si>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</si>
  <si>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</si>
  <si>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</si>
  <si>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Covers ±30% error on the conversion that matters most (Part 1.4) for the cheapest channels; released from week 3 only on the rules in Part 4.</t>
  </si>
  <si>
    <t xml:space="preserve">B2</t>
  </si>
  <si>
    <t xml:space="preserve">Minimum test spend per paid channel × role cell in weeks 1–2</t>
  </si>
  <si>
    <t xml:space="preserve">Paid CPC/CPA cells</t>
  </si>
  <si>
    <t xml:space="preserve">€</t>
  </si>
  <si>
    <t xml:space="preserve">€300 at €20–60 CPA ≈ 5–15 applications ≈ 1–3 qualified: enough to spot a dud, not to prove a winner (hence the 'too little data' rule in Tracker).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</si>
  <si>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</si>
  <si>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</si>
  <si>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</si>
  <si>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</si>
  <si>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</si>
  <si>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</si>
  <si>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+ test, partial (Tue start).</t>
  </si>
  <si>
    <t xml:space="preserve">W2</t>
  </si>
  <si>
    <t xml:space="preserve">Share of media spend in week 2</t>
  </si>
  <si>
    <t xml:space="preserve">Week 2 = test read-out, first moves on Mon 2 Nov.</t>
  </si>
  <si>
    <t xml:space="preserve">W3</t>
  </si>
  <si>
    <t xml:space="preserve">Share of media spend in week 3</t>
  </si>
  <si>
    <t xml:space="preserve">Flat at 18% so qualified arrivals stay at/under 55 a week.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</si>
  <si>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</si>
  <si>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</si>
  <si>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</si>
  <si>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</si>
  <si>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</si>
  <si>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</si>
  <si>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</si>
  <si>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Runs Tue 24–Fri 27 Nov only: last useful applications for E/M/A (Funnel B19). Supervisor cells stop after week 5 (their share is spread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</si>
  <si>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</si>
  <si>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</si>
  <si>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</si>
  <si>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</si>
  <si>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</si>
  <si>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</si>
  <si>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</si>
  <si>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</si>
  <si>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</si>
  <si>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</si>
  <si>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</si>
  <si>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</si>
  <si>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</si>
  <si>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</si>
  <si>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</si>
  <si>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</si>
  <si>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</si>
  <si>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</si>
  <si>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≈7% of German employment is in Berlin+Brandenburg (BA statistics); assumed ~150–200k industrial electricians in DE, lower industrial density in the East → ~7,000 within 75 km of Grünheide. Order of magnitude only.</t>
  </si>
  <si>
    <t xml:space="preserve">PSM</t>
  </si>
  <si>
    <t xml:space="preserve">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</si>
  <si>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</si>
  <si>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Smaller local pool, but specialists relocate more: assume ~400 open to moving to Brandenburg in the window (national LinkedIn reach).</t>
  </si>
  <si>
    <t xml:space="preserve">PSS</t>
  </si>
  <si>
    <t xml:space="preserve">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</si>
  <si>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</si>
  <si>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</si>
  <si>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~12–15% of skilled workers change job per year → ~2% actively in market in 6 weeks + ~4% passive but persuadable by a targeted pay/shift offer.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</si>
  <si>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</si>
  <si>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</si>
  <si>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</si>
  <si>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</si>
  <si>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</si>
  <si>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(WSI: Brandenburg €3,030 vs West €3,600)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</si>
  <si>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</si>
  <si>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</si>
  <si>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</si>
  <si>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</si>
  <si>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</si>
  <si>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</si>
  <si>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</si>
  <si>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</si>
  <si>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</si>
  <si>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</si>
  <si>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</si>
  <si>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</si>
  <si>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</si>
  <si>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</si>
  <si>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</si>
  <si>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</si>
  <si>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</si>
  <si>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</si>
  <si>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</si>
  <si>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</si>
  <si>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</si>
  <si>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</si>
  <si>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</si>
  <si>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</si>
  <si>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€750 at plan CPA should have produced ≥2 qualified in almost every cell.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</si>
  <si>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</si>
  <si>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</si>
  <si>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</si>
  <si>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</si>
  <si>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</si>
  <si>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</si>
  <si>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</si>
  <si>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</si>
  <si>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</si>
  <si>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</si>
  <si>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</si>
  <si>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</si>
  <si>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</si>
  <si>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</si>
  <si>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</si>
  <si>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</si>
  <si>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</si>
  <si>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</si>
  <si>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</si>
  <si>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Tesla brand pulls unsolicited applicants; BA Jobbörse/Google for Jobs listings are free. Low share qualified (broad audience). ~30 apps/week.</t>
  </si>
  <si>
    <t xml:space="preserve">C02</t>
  </si>
  <si>
    <t xml:space="preserve">As above; bigger trade so more organic volume.</t>
  </si>
  <si>
    <t xml:space="preserve">C03</t>
  </si>
  <si>
    <t xml:space="preserve">As above.</t>
  </si>
  <si>
    <t xml:space="preserve">C04</t>
  </si>
  <si>
    <t xml:space="preserve">C05</t>
  </si>
  <si>
    <t xml:space="preserve">Programmatic job ads (Joveo: Indeed, Jooble, Talent.com, Kimeta, meinestadt…)</t>
  </si>
  <si>
    <t xml:space="preserve">CPC</t>
  </si>
  <si>
    <t xml:space="preserve">Researched + own</t>
  </si>
  <si>
    <t xml:space="preserve">Indeed CPCs €0.10–5+ by competition (https://www.pin.com/blog/indeed-pricing/); Engpass trade in a contested market → €2.00. Apply rate: Appcast 6.1% overall, trades lower (https://www.prnewswire.com/news-releases/appcast-releases-2025-recruitment-marketing-benchmark-report-302372820.html) → 3.5%.</t>
  </si>
  <si>
    <t xml:space="preserve">C06</t>
  </si>
  <si>
    <t xml:space="preserve">Same sources; less contested → €1.20, 5% apply.</t>
  </si>
  <si>
    <t xml:space="preserve">C07</t>
  </si>
  <si>
    <t xml:space="preserve">Same sources; specialist → €1.80, 4%.</t>
  </si>
  <si>
    <t xml:space="preserve">C08</t>
  </si>
  <si>
    <t xml:space="preserve">Same sources.</t>
  </si>
  <si>
    <t xml:space="preserve">C09</t>
  </si>
  <si>
    <t xml:space="preserve">StepStone (30-day single ad)</t>
  </si>
  <si>
    <t xml:space="preserve">Slot</t>
  </si>
  <si>
    <t xml:space="preserve">Price €1,449 net per 30-day ad (https://www.instaffo.com/knowledge-base/stepstone-alternative). Apps per ad for a Brandenburg trade ad: own estimate 15. StepStone audience is German, CV-based → higher share qualified.</t>
  </si>
  <si>
    <t xml:space="preserve">C10</t>
  </si>
  <si>
    <t xml:space="preserve">Same price; 25 apps/ad.</t>
  </si>
  <si>
    <t xml:space="preserve">C11</t>
  </si>
  <si>
    <t xml:space="preserve">Same price; 15 apps/ad.</t>
  </si>
  <si>
    <t xml:space="preserve">C12</t>
  </si>
  <si>
    <t xml:space="preserve">Same price; 15 apps/ad (Meister search StepStone).</t>
  </si>
  <si>
    <t xml:space="preserve">C13</t>
  </si>
  <si>
    <t xml:space="preserve">LinkedIn (promoted jobs + InMail)</t>
  </si>
  <si>
    <t xml:space="preserve">LinkedIn CPC typically $4–8 (https://www.peoplebox.ai/blog/how-much-does-it-cost-to-post-a-job-on-indeed/); €3.50 for DE niche targeting; Easy Apply lifts apply rate to ~8%. PLC/TIA specialists are on LinkedIn; trades mostly aren't.</t>
  </si>
  <si>
    <t xml:space="preserve">C14</t>
  </si>
  <si>
    <t xml:space="preserve">As above; Meister/shift leads partly on LinkedIn/Xing.</t>
  </si>
  <si>
    <t xml:space="preserve">C15</t>
  </si>
  <si>
    <t xml:space="preserve">Meta social (FB/IG lead ads, 75 km geo)</t>
  </si>
  <si>
    <t xml:space="preserve">CPA</t>
  </si>
  <si>
    <t xml:space="preserve">Lead-form CPA €10–20 in DE for blue-collar is typical in my experience; reaches passive people but low share qualified for a certified trade.</t>
  </si>
  <si>
    <t xml:space="preserve">C16</t>
  </si>
  <si>
    <t xml:space="preserve">Larger audience → cheaper leads, better share qualified.</t>
  </si>
  <si>
    <t xml:space="preserve">C17</t>
  </si>
  <si>
    <t xml:space="preserve">Google Search ads (job-intent keywords)</t>
  </si>
  <si>
    <t xml:space="preserve">Keywords like 'Elektroniker Betriebstechnik Job Berlin'. High intent, low volume; CPC ~€2.20, 7% apply.</t>
  </si>
  <si>
    <t xml:space="preserve">C18</t>
  </si>
  <si>
    <t xml:space="preserve">C19</t>
  </si>
  <si>
    <t xml:space="preserve">As above; very low search volume.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</si>
  <si>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</si>
  <si>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</si>
  <si>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</si>
  <si>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</si>
  <si>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</si>
  <si>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</si>
  <si>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</si>
  <si>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</si>
  <si>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</si>
  <si>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</si>
  <si>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</si>
  <si>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Personal email + SMS to people who already wanted Tesla; 10–15% is a normal re-engagement response.</t>
  </si>
  <si>
    <t xml:space="preserve">I1Q</t>
  </si>
  <si>
    <t xml:space="preserve">I1: share qualified among re-applicants</t>
  </si>
  <si>
    <t xml:space="preserve">They were screened before; half still meet the bar (some lacked a certificate then and still do).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</si>
  <si>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</si>
  <si>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</si>
  <si>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</si>
  <si>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</si>
  <si>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</si>
  <si>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</si>
  <si>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</si>
  <si>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</si>
  <si>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Referrers know the job; referrals usually qualify 2–3× more often than job-board applicants.</t>
  </si>
  <si>
    <t xml:space="preserve">I1M</t>
  </si>
  <si>
    <t xml:space="preserve">I1: messaging cost per contacted past applicant (email + SMS tool)</t>
  </si>
  <si>
    <t xml:space="preserve">SMS ~€0.08 ×2 + email platform seat amortised.</t>
  </si>
  <si>
    <t xml:space="preserve">I1B</t>
  </si>
  <si>
    <t xml:space="preserve">I1: referral bonus per signed referred hire (paid from this budget)</t>
  </si>
  <si>
    <t xml:space="preserve">Large enough to motivate in Brandenburg trade wages (~1/3 month's pay), cheaper than the marginal paid cost per hire for electricians.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</si>
  <si>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</si>
  <si>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</si>
  <si>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</si>
  <si>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</si>
  <si>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</si>
  <si>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</si>
  <si>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Bauelektrik is a larger occupation than industrial electrics and is itself an Engpassberuf (BA Engpassanalyse https://statistik.arbeitsagentur.de/DE/Navigation/Statistiken/Interaktive-Statistiken/Fachkraeftebedarf/Engpassanalyse-Nav.html); Berlin construction boom → large local pool.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</si>
  <si>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</si>
  <si>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</si>
  <si>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</si>
  <si>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</si>
  <si>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</si>
  <si>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Quiz funnel halves volume vs plain lead ads (C15 €18) but filters.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</si>
  <si>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</si>
  <si>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</si>
  <si>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</si>
  <si>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</si>
  <si>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</si>
  <si>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</si>
  <si>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</si>
  <si>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</si>
  <si>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</si>
  <si>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</si>
  <si>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</si>
  <si>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1,499 PLN ≈ €350 (https://dlafirm.pracuj.pl/cennik-uslug/pakiety-ogloszen) ÷ ~25 apps ≈ €14; PL Meta leads ~€8–10.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</si>
  <si>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</si>
  <si>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</si>
  <si>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</si>
  <si>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</si>
  <si>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</si>
  <si>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</si>
  <si>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</si>
  <si>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</si>
  <si>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</si>
  <si>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</si>
  <si>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remote Polish-speaking pre-screener, hours per week</t>
  </si>
  <si>
    <t xml:space="preserve">hours</t>
  </si>
  <si>
    <t xml:space="preserve">~15 min per call → ~60–80 calls/week capacity, matches expected volume.</t>
  </si>
  <si>
    <t xml:space="preserve">I3W</t>
  </si>
  <si>
    <t xml:space="preserve">I3: pre-screener hourly rate</t>
  </si>
  <si>
    <t xml:space="preserve">Freelance bilingual recruiter rates in Poland ~€20–35/h.</t>
  </si>
  <si>
    <t xml:space="preserve">I3N</t>
  </si>
  <si>
    <t xml:space="preserve">I3: weeks of pre-screener</t>
  </si>
  <si>
    <t xml:space="preserve">weeks</t>
  </si>
  <si>
    <t xml:space="preserve">Weeks 1–6 (application window).</t>
  </si>
  <si>
    <t xml:space="preserve">I3T</t>
  </si>
  <si>
    <t xml:space="preserve">I3: Polish translation of job ads + landing page</t>
  </si>
  <si>
    <t xml:space="preserve">Freelance translator.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</si>
  <si>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</si>
  <si>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</si>
  <si>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</si>
  <si>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</si>
  <si>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</si>
  <si>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</si>
  <si>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</si>
  <si>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</si>
  <si>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</si>
  <si>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</si>
  <si>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</si>
  <si>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</si>
  <si>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</si>
  <si>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</si>
  <si>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</si>
  <si>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</si>
  <si>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</si>
  <si>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</si>
  <si>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</si>
  <si>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</si>
  <si>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</si>
  <si>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</si>
  <si>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</si>
  <si>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</si>
  <si>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</si>
  <si>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</si>
  <si>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Assessment slots available (capacity × weeks)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</si>
  <si>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</si>
  <si>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</si>
  <si>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</si>
  <si>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</si>
  <si>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</si>
  <si>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</si>
  <si>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</si>
  <si>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</si>
  <si>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tab)</t>
  </si>
  <si>
    <t xml:space="preserve">Qualified needed ÷ reachable pool</t>
  </si>
  <si>
    <t xml:space="preserve">Highest cost per hire we must buy</t>
  </si>
  <si>
    <t xml:space="preserve">Polish route allowed?</t>
  </si>
  <si>
    <t xml:space="preserve">Foreign-trained route by 31 Dec?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</si>
  <si>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</si>
  <si>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</si>
  <si>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</si>
  <si>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</si>
  <si>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Verdict: Electricians. Biggest scarce volume (30), lowest channel coverage, highest share of the reachable pool needed, no Polish route and no foreign-trained route by 31 Dec, and every competitor (energy/grid, rail, aerospace, agencies, Tesla's own lines) wants the same certificate. Supervisors are close behind on coverage but are only 10 hires, have the earliest cut-off (see B20), and have an internal-promotion fallback.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</si>
  <si>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</si>
  <si>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</si>
  <si>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</si>
  <si>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</si>
  <si>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</si>
  <si>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</si>
  <si>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</si>
  <si>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</si>
  <si>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</si>
  <si>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</si>
  <si>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</si>
  <si>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</si>
  <si>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</si>
  <si>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</si>
  <si>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</si>
  <si>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</si>
  <si>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</si>
  <si>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</si>
  <si>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</si>
  <si>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</si>
  <si>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</si>
  <si>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</si>
  <si>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</si>
  <si>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</si>
  <si>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</si>
  <si>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</si>
  <si>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</si>
  <si>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</si>
  <si>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</si>
  <si>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Plan ÷ pool</t>
  </si>
  <si>
    <t xml:space="preserve">Max qualified all channels could deliver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</si>
  <si>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</si>
  <si>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</si>
  <si>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widens the pool with construction electricians (not counted here).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</si>
  <si>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</si>
  <si>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</si>
  <si>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</si>
  <si>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</si>
  <si>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</si>
  <si>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</si>
  <si>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</si>
  <si>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</si>
  <si>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</si>
  <si>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</si>
  <si>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≈€4 per application: messaging is nearly free; the scarce input is the client's ATS export.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</si>
  <si>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</si>
  <si>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</si>
  <si>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</si>
  <si>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</si>
  <si>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</si>
  <si>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</si>
  <si>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</si>
  <si>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</si>
  <si>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</si>
  <si>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</si>
  <si>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</si>
  <si>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</si>
  <si>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</si>
  <si>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</si>
  <si>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</si>
  <si>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</si>
  <si>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</si>
  <si>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</si>
  <si>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</si>
  <si>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</si>
  <si>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</si>
  <si>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</si>
  <si>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</si>
  <si>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Cost per application (Pracuj.pl, OLX Praca, PL-geo Meta)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</si>
  <si>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</si>
  <si>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</si>
  <si>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</si>
  <si>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</si>
  <si>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Pre-screener cost (hours × rate × weeks)</t>
  </si>
  <si>
    <t xml:space="preserve">Translation</t>
  </si>
  <si>
    <t xml:space="preserve">Fixed cost total</t>
  </si>
  <si>
    <t xml:space="preserve">Applications needed to hit the cap</t>
  </si>
  <si>
    <t xml:space="preserve">Cost per hire at cap</t>
  </si>
  <si>
    <t xml:space="preserve">Two-week tests (weeks 1–2)</t>
  </si>
  <si>
    <t xml:space="preserve">Initiative</t>
  </si>
  <si>
    <t xml:space="preserve">Test budget (€)</t>
  </si>
  <si>
    <t xml:space="preserve">Success metric</t>
  </si>
  <si>
    <t xml:space="preserve">Kill rule</t>
  </si>
  <si>
    <t xml:space="preserve">I1 Rediscovery + referrals</t>
  </si>
  <si>
    <t xml:space="preserve">≥15 qualified re-applicants + referrals across roles by day 14, ≥5 of them electricians</t>
  </si>
  <si>
    <t xml:space="preserve">&lt;5 qualified by day 14 → stop re-contact waves (cost is tiny, so mostly a signal that the ATS data is stale); referral bonus stays live because it only costs on a hire</t>
  </si>
  <si>
    <t xml:space="preserve">I2 Handwerk → Industrie</t>
  </si>
  <si>
    <t xml:space="preserve">≥8 qualified by day 14 at ≤ €250 per qualified, and ≥50% of the first 6 assessed pass the technical interview</t>
  </si>
  <si>
    <t xml:space="preserve">&gt; €400 per qualified, &lt;40% interview pass, or client rejects the EGT profile → switch off and move the money to StepStone/programmatic electricians</t>
  </si>
  <si>
    <t xml:space="preserve">I3 Polish corridor</t>
  </si>
  <si>
    <t xml:space="preserve">≥12 qualified Polish applicants handed to Tesla recruiters by day 14 at ≤ €80 per qualified</t>
  </si>
  <si>
    <t xml:space="preserve">&lt;6 qualified, or the pre-screener finds &lt;30% speak German/English → end the freelancer contract (weekly notice) and let paid ads run out</t>
  </si>
  <si>
    <t xml:space="preserve">Who does what: see memo Part 3 (all set-up done from Bangalore; client provides ATS export, referral approval, EGT profile sign-off).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</si>
  <si>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</si>
  <si>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up to their capacity until hires = openings. Polish cap enforced in hire capacity. Slots bought in whole 30-day ads.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</si>
  <si>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</si>
  <si>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</si>
  <si>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</si>
  <si>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</si>
  <si>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</si>
  <si>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</si>
  <si>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</si>
  <si>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</t>
  </si>
  <si>
    <t xml:space="preserve">Sort key</t>
  </si>
  <si>
    <t xml:space="preserve">Rank in role</t>
  </si>
  <si>
    <t xml:space="preserve">Hire capacity of cheaper channels</t>
  </si>
  <si>
    <t xml:space="preserve">Hires allocated</t>
  </si>
  <si>
    <t xml:space="preserve">Qualified allocated</t>
  </si>
  <si>
    <t xml:space="preserve">Applications allocated</t>
  </si>
  <si>
    <t xml:space="preserve">Media €</t>
  </si>
  <si>
    <t xml:space="preserve">Fixed €</t>
  </si>
  <si>
    <t xml:space="preserve">Test top-up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</si>
  <si>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</si>
  <si>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</si>
  <si>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</si>
  <si>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</si>
  <si>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</si>
  <si>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</si>
  <si>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</si>
  <si>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</si>
  <si>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</si>
  <si>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</si>
  <si>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</si>
  <si>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</si>
  <si>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</si>
  <si>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</si>
  <si>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</si>
  <si>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</si>
  <si>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</si>
  <si>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</si>
  <si>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</si>
  <si>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Shortfall</t>
  </si>
  <si>
    <t xml:space="preserve">Part 2.4 — Recommended budget and allocation</t>
  </si>
  <si>
    <t xml:space="preserve">Paid channels: media</t>
  </si>
  <si>
    <t xml:space="preserve">New initiatives: media + referral bonuses</t>
  </si>
  <si>
    <t xml:space="preserve">New initiatives: fixed costs (pre-screener, translation, creative)</t>
  </si>
  <si>
    <t xml:space="preserve">Media + initiatives to hit plan</t>
  </si>
  <si>
    <t xml:space="preserve">Extra test spend on cells not in the plan (wk 1–2)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</si>
  <si>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</si>
  <si>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</si>
  <si>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</si>
  <si>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 to €5k)</t>
  </si>
  <si>
    <t xml:space="preserve">Expected signed hires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</si>
  <si>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</si>
  <si>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</si>
  <si>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</si>
  <si>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</si>
  <si>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Test top-ups €</t>
  </si>
  <si>
    <t xml:space="preserve">Hires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</si>
  <si>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</si>
  <si>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</si>
  <si>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</si>
  <si>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</si>
  <si>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roles); keep reserve at the same %. Fixed set-up costs and tests are kept. Detail on Scenarios tab.</t>
  </si>
  <si>
    <t xml:space="preserve">Budget level</t>
  </si>
  <si>
    <t xml:space="preserve">Total budget €</t>
  </si>
  <si>
    <t xml:space="preserve">Total hires</t>
  </si>
  <si>
    <t xml:space="preserve">Above the recommended budget, extra money buys almost nothing before 31 Dec: hires are capped by 55 assessments/week (Funnel B26), not by media.</t>
  </si>
  <si>
    <t xml:space="preserve">Budget scenarios: cut the most expensive cost-per-hire cells first</t>
  </si>
  <si>
    <t xml:space="preserve">Budget level →</t>
  </si>
  <si>
    <t xml:space="preserve">Media available €</t>
  </si>
  <si>
    <t xml:space="preserve">Savings needed €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</si>
  <si>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</si>
  <si>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</si>
  <si>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</si>
  <si>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</si>
  <si>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</si>
  <si>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</si>
  <si>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</si>
  <si>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</si>
  <si>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Hires by role</t>
  </si>
  <si>
    <t xml:space="preserve">Week-by-week plan: spend, qualified flow vs 55/week, signatures</t>
  </si>
  <si>
    <t xml:space="preserve">E/M/A cells follow the spend share in col D; supervisor cells follow col E (same shares, but only up to their earlier cut-off, re-scaled to 100%).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</si>
  <si>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</si>
  <si>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</si>
  <si>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</si>
  <si>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</si>
  <si>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</si>
  <si>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Media + initiative spend €</t>
  </si>
  <si>
    <t xml:space="preserve">Fixed costs €</t>
  </si>
  <si>
    <t xml:space="preserve">Planned spend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</si>
  <si>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</si>
  <si>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</si>
  <si>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</si>
  <si>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</si>
  <si>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</si>
  <si>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</si>
  <si>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</si>
  <si>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</si>
  <si>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</si>
  <si>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</si>
  <si>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phase = weeks 1–2 (J5 = cumulative spend). Duds are cut on Mon 2 Nov using week-1 data; full re-allocation on Mon 9 Nov using two weeks. The reserve (Budget C10) is released only from week 3. Paid spend stops after the last useful application date (Funnel B19/B20): later applicants cannot sign by 18 Dec. Week 9 signatures are due by Fri 18 Dec.</t>
  </si>
  <si>
    <t xml:space="preserve">Spend by channel × week (€): media × week share (supervisor cells on their own share), fixed costs spread with spend, test top-ups in weeks 1–2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</si>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</sst>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50000</v>
      </c>
    </row>
    <row r="6" customFormat="false" ht="15" hidden="false" customHeight="false" outlineLevel="0" collapsed="false">
      <c r="B6" s="2" t="s">
        <v>4</v>
      </c>
      <c r="C6" s="4" t="n">
        <f aca="false">Budget!C9</f>
        <v>41794.3001581941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8205.69984180593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">
        <v>7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8</v>
      </c>
      <c r="C10" s="4" t="n">
        <f aca="false">Budget!C14</f>
        <v>417.943001581941</v>
      </c>
    </row>
    <row r="11" customFormat="false" ht="15" hidden="false" customHeight="false" outlineLevel="0" collapsed="false">
      <c r="B11" s="2" t="s">
        <v>9</v>
      </c>
      <c r="C11" s="3" t="n">
        <f aca="false">Funnel!B23</f>
        <v>289.506458238408</v>
      </c>
    </row>
    <row r="12" customFormat="false" ht="15" hidden="false" customHeight="false" outlineLevel="0" collapsed="false">
      <c r="B12" s="2" t="s">
        <v>10</v>
      </c>
      <c r="C12" s="3" t="n">
        <f aca="false">Funnel!B22</f>
        <v>322.142857142857</v>
      </c>
    </row>
    <row r="13" customFormat="false" ht="15" hidden="false" customHeight="false" outlineLevel="0" collapsed="false">
      <c r="B13" s="2" t="s">
        <v>11</v>
      </c>
      <c r="C13" s="6" t="n">
        <f aca="false">Funnel!B24</f>
        <v>0.898689670806589</v>
      </c>
    </row>
    <row r="14" customFormat="false" ht="15" hidden="false" customHeight="false" outlineLevel="0" collapsed="false">
      <c r="B14" s="2" t="s">
        <v>12</v>
      </c>
      <c r="C14" s="7" t="n">
        <f aca="false">Funnel!B19</f>
        <v>46353</v>
      </c>
    </row>
    <row r="15" customFormat="false" ht="15" hidden="false" customHeight="false" outlineLevel="0" collapsed="false">
      <c r="B15" s="2" t="s">
        <v>13</v>
      </c>
      <c r="C15" s="7" t="n">
        <f aca="false">Funnel!B20</f>
        <v>46346</v>
      </c>
    </row>
    <row r="16" customFormat="false" ht="15" hidden="false" customHeight="false" outlineLevel="0" collapsed="false">
      <c r="B16" s="2" t="s">
        <v>14</v>
      </c>
      <c r="C16" s="8" t="s">
        <v>15</v>
      </c>
    </row>
    <row r="17" customFormat="false" ht="15" hidden="false" customHeight="false" outlineLevel="0" collapsed="false">
      <c r="B17" s="2" t="s">
        <v>16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17</v>
      </c>
      <c r="C18" s="5" t="n">
        <f aca="false">Budget!H47</f>
        <v>87.4362783297683</v>
      </c>
    </row>
    <row r="20" customFormat="false" ht="15" hidden="false" customHeight="true" outlineLevel="0" collapsed="false">
      <c r="B20" s="9" t="s">
        <v>18</v>
      </c>
      <c r="C20" s="9"/>
      <c r="D20" s="9"/>
      <c r="E20" s="9"/>
      <c r="F20" s="9"/>
      <c r="G20" s="9"/>
    </row>
    <row r="21" customFormat="false" ht="15" hidden="false" customHeight="false" outlineLevel="0" collapsed="false">
      <c r="B21" s="9"/>
      <c r="C21" s="9"/>
      <c r="D21" s="9"/>
      <c r="E21" s="9"/>
      <c r="F21" s="9"/>
      <c r="G21" s="9"/>
    </row>
  </sheetData>
  <mergeCells count="1"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3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26.8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4</v>
      </c>
      <c r="E21" s="2" t="s">
        <v>65</v>
      </c>
      <c r="F21" s="2" t="s">
        <v>66</v>
      </c>
      <c r="G21" s="13" t="s">
        <v>73</v>
      </c>
    </row>
    <row r="22" customFormat="false" ht="26.85" hidden="false" customHeight="false" outlineLevel="0" collapsed="false">
      <c r="A22" s="2" t="s">
        <v>74</v>
      </c>
      <c r="B22" s="13" t="s">
        <v>75</v>
      </c>
      <c r="C22" s="2" t="s">
        <v>31</v>
      </c>
      <c r="D22" s="15" t="n">
        <v>7</v>
      </c>
      <c r="E22" s="2" t="s">
        <v>65</v>
      </c>
      <c r="F22" s="2" t="s">
        <v>66</v>
      </c>
      <c r="G22" s="13" t="s">
        <v>76</v>
      </c>
    </row>
    <row r="23" customFormat="false" ht="15" hidden="false" customHeight="false" outlineLevel="0" collapsed="false">
      <c r="A23" s="2" t="s">
        <v>77</v>
      </c>
      <c r="B23" s="13" t="s">
        <v>78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79</v>
      </c>
    </row>
    <row r="24" customFormat="false" ht="26.85" hidden="false" customHeight="false" outlineLevel="0" collapsed="false">
      <c r="A24" s="2" t="s">
        <v>80</v>
      </c>
      <c r="B24" s="13" t="s">
        <v>81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82</v>
      </c>
    </row>
    <row r="25" customFormat="false" ht="26.85" hidden="false" customHeight="false" outlineLevel="0" collapsed="false">
      <c r="A25" s="2" t="s">
        <v>83</v>
      </c>
      <c r="B25" s="13" t="s">
        <v>84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85</v>
      </c>
    </row>
    <row r="27" customFormat="false" ht="15" hidden="false" customHeight="false" outlineLevel="0" collapsed="false">
      <c r="A27" s="10" t="s">
        <v>86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39.55" hidden="false" customHeight="false" outlineLevel="0" collapsed="false">
      <c r="A29" s="2" t="s">
        <v>87</v>
      </c>
      <c r="B29" s="13" t="s">
        <v>88</v>
      </c>
      <c r="C29" s="2" t="s">
        <v>50</v>
      </c>
      <c r="D29" s="16" t="n">
        <v>0.15</v>
      </c>
      <c r="E29" s="2" t="s">
        <v>46</v>
      </c>
      <c r="F29" s="2" t="s">
        <v>66</v>
      </c>
      <c r="G29" s="13" t="s">
        <v>89</v>
      </c>
    </row>
    <row r="30" customFormat="false" ht="26.85" hidden="false" customHeight="false" outlineLevel="0" collapsed="false">
      <c r="A30" s="2" t="s">
        <v>90</v>
      </c>
      <c r="B30" s="13" t="s">
        <v>88</v>
      </c>
      <c r="C30" s="2" t="s">
        <v>45</v>
      </c>
      <c r="D30" s="16" t="n">
        <v>0.22</v>
      </c>
      <c r="E30" s="2" t="s">
        <v>46</v>
      </c>
      <c r="F30" s="2" t="s">
        <v>66</v>
      </c>
      <c r="G30" s="13" t="s">
        <v>91</v>
      </c>
    </row>
    <row r="31" customFormat="false" ht="26.85" hidden="false" customHeight="false" outlineLevel="0" collapsed="false">
      <c r="A31" s="2" t="s">
        <v>92</v>
      </c>
      <c r="B31" s="13" t="s">
        <v>88</v>
      </c>
      <c r="C31" s="2" t="s">
        <v>55</v>
      </c>
      <c r="D31" s="16" t="n">
        <v>0.12</v>
      </c>
      <c r="E31" s="2" t="s">
        <v>46</v>
      </c>
      <c r="F31" s="2" t="s">
        <v>66</v>
      </c>
      <c r="G31" s="13" t="s">
        <v>93</v>
      </c>
    </row>
    <row r="32" customFormat="false" ht="15" hidden="false" customHeight="false" outlineLevel="0" collapsed="false">
      <c r="A32" s="2" t="s">
        <v>94</v>
      </c>
      <c r="B32" s="13" t="s">
        <v>88</v>
      </c>
      <c r="C32" s="2" t="s">
        <v>57</v>
      </c>
      <c r="D32" s="16" t="n">
        <v>0.1</v>
      </c>
      <c r="E32" s="2" t="s">
        <v>46</v>
      </c>
      <c r="F32" s="2" t="s">
        <v>66</v>
      </c>
      <c r="G32" s="13" t="s">
        <v>95</v>
      </c>
    </row>
    <row r="33" customFormat="false" ht="26.85" hidden="false" customHeight="false" outlineLevel="0" collapsed="false">
      <c r="A33" s="2" t="s">
        <v>96</v>
      </c>
      <c r="B33" s="13" t="s">
        <v>97</v>
      </c>
      <c r="C33" s="2" t="s">
        <v>50</v>
      </c>
      <c r="D33" s="16" t="n">
        <v>0.55</v>
      </c>
      <c r="E33" s="2" t="s">
        <v>46</v>
      </c>
      <c r="F33" s="2" t="s">
        <v>66</v>
      </c>
      <c r="G33" s="13" t="s">
        <v>98</v>
      </c>
    </row>
    <row r="34" customFormat="false" ht="15" hidden="false" customHeight="false" outlineLevel="0" collapsed="false">
      <c r="A34" s="2" t="s">
        <v>99</v>
      </c>
      <c r="B34" s="13" t="s">
        <v>97</v>
      </c>
      <c r="C34" s="2" t="s">
        <v>45</v>
      </c>
      <c r="D34" s="16" t="n">
        <v>0.6</v>
      </c>
      <c r="E34" s="2" t="s">
        <v>46</v>
      </c>
      <c r="F34" s="2" t="s">
        <v>66</v>
      </c>
      <c r="G34" s="13" t="s">
        <v>100</v>
      </c>
    </row>
    <row r="35" customFormat="false" ht="15" hidden="false" customHeight="false" outlineLevel="0" collapsed="false">
      <c r="A35" s="2" t="s">
        <v>101</v>
      </c>
      <c r="B35" s="13" t="s">
        <v>97</v>
      </c>
      <c r="C35" s="2" t="s">
        <v>55</v>
      </c>
      <c r="D35" s="16" t="n">
        <v>0.5</v>
      </c>
      <c r="E35" s="2" t="s">
        <v>46</v>
      </c>
      <c r="F35" s="2" t="s">
        <v>66</v>
      </c>
      <c r="G35" s="13" t="s">
        <v>102</v>
      </c>
    </row>
    <row r="36" customFormat="false" ht="15" hidden="false" customHeight="false" outlineLevel="0" collapsed="false">
      <c r="A36" s="2" t="s">
        <v>103</v>
      </c>
      <c r="B36" s="13" t="s">
        <v>97</v>
      </c>
      <c r="C36" s="2" t="s">
        <v>57</v>
      </c>
      <c r="D36" s="16" t="n">
        <v>0.45</v>
      </c>
      <c r="E36" s="2" t="s">
        <v>46</v>
      </c>
      <c r="F36" s="2" t="s">
        <v>66</v>
      </c>
      <c r="G36" s="13" t="s">
        <v>104</v>
      </c>
    </row>
    <row r="37" customFormat="false" ht="26.85" hidden="false" customHeight="false" outlineLevel="0" collapsed="false">
      <c r="A37" s="2" t="s">
        <v>105</v>
      </c>
      <c r="B37" s="13" t="s">
        <v>106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107</v>
      </c>
    </row>
    <row r="38" customFormat="false" ht="26.85" hidden="false" customHeight="false" outlineLevel="0" collapsed="false">
      <c r="A38" s="2" t="s">
        <v>108</v>
      </c>
      <c r="B38" s="13" t="s">
        <v>106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107</v>
      </c>
    </row>
    <row r="39" customFormat="false" ht="26.85" hidden="false" customHeight="false" outlineLevel="0" collapsed="false">
      <c r="A39" s="2" t="s">
        <v>109</v>
      </c>
      <c r="B39" s="13" t="s">
        <v>106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107</v>
      </c>
    </row>
    <row r="40" customFormat="false" ht="26.85" hidden="false" customHeight="false" outlineLevel="0" collapsed="false">
      <c r="A40" s="2" t="s">
        <v>110</v>
      </c>
      <c r="B40" s="13" t="s">
        <v>106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107</v>
      </c>
    </row>
    <row r="41" customFormat="false" ht="52.2" hidden="false" customHeight="false" outlineLevel="0" collapsed="false">
      <c r="A41" s="2" t="s">
        <v>111</v>
      </c>
      <c r="B41" s="13" t="s">
        <v>112</v>
      </c>
      <c r="C41" s="2" t="s">
        <v>50</v>
      </c>
      <c r="D41" s="16" t="n">
        <v>0.65</v>
      </c>
      <c r="E41" s="2" t="s">
        <v>46</v>
      </c>
      <c r="F41" s="2" t="s">
        <v>66</v>
      </c>
      <c r="G41" s="13" t="s">
        <v>113</v>
      </c>
    </row>
    <row r="42" customFormat="false" ht="26.85" hidden="false" customHeight="false" outlineLevel="0" collapsed="false">
      <c r="A42" s="2" t="s">
        <v>114</v>
      </c>
      <c r="B42" s="13" t="s">
        <v>112</v>
      </c>
      <c r="C42" s="2" t="s">
        <v>45</v>
      </c>
      <c r="D42" s="16" t="n">
        <v>0.75</v>
      </c>
      <c r="E42" s="2" t="s">
        <v>46</v>
      </c>
      <c r="F42" s="2" t="s">
        <v>66</v>
      </c>
      <c r="G42" s="13" t="s">
        <v>115</v>
      </c>
    </row>
    <row r="43" customFormat="false" ht="15" hidden="false" customHeight="false" outlineLevel="0" collapsed="false">
      <c r="A43" s="2" t="s">
        <v>116</v>
      </c>
      <c r="B43" s="13" t="s">
        <v>112</v>
      </c>
      <c r="C43" s="2" t="s">
        <v>55</v>
      </c>
      <c r="D43" s="16" t="n">
        <v>0.65</v>
      </c>
      <c r="E43" s="2" t="s">
        <v>46</v>
      </c>
      <c r="F43" s="2" t="s">
        <v>66</v>
      </c>
      <c r="G43" s="13" t="s">
        <v>117</v>
      </c>
    </row>
    <row r="44" customFormat="false" ht="15" hidden="false" customHeight="false" outlineLevel="0" collapsed="false">
      <c r="A44" s="2" t="s">
        <v>118</v>
      </c>
      <c r="B44" s="13" t="s">
        <v>112</v>
      </c>
      <c r="C44" s="2" t="s">
        <v>57</v>
      </c>
      <c r="D44" s="16" t="n">
        <v>0.7</v>
      </c>
      <c r="E44" s="2" t="s">
        <v>46</v>
      </c>
      <c r="F44" s="2" t="s">
        <v>66</v>
      </c>
      <c r="G44" s="13" t="s">
        <v>119</v>
      </c>
    </row>
    <row r="46" customFormat="false" ht="15" hidden="false" customHeight="false" outlineLevel="0" collapsed="false">
      <c r="A46" s="10" t="s">
        <v>120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26.85" hidden="false" customHeight="false" outlineLevel="0" collapsed="false">
      <c r="A48" s="2" t="s">
        <v>121</v>
      </c>
      <c r="B48" s="13" t="s">
        <v>122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123</v>
      </c>
    </row>
    <row r="49" customFormat="false" ht="26.85" hidden="false" customHeight="false" outlineLevel="0" collapsed="false">
      <c r="A49" s="2" t="s">
        <v>124</v>
      </c>
      <c r="B49" s="13" t="s">
        <v>125</v>
      </c>
      <c r="C49" s="2" t="s">
        <v>126</v>
      </c>
      <c r="D49" s="17" t="n">
        <v>300</v>
      </c>
      <c r="E49" s="2" t="s">
        <v>127</v>
      </c>
      <c r="F49" s="2" t="s">
        <v>66</v>
      </c>
      <c r="G49" s="13" t="s">
        <v>128</v>
      </c>
    </row>
    <row r="50" customFormat="false" ht="15" hidden="false" customHeight="false" outlineLevel="0" collapsed="false">
      <c r="A50" s="2" t="s">
        <v>129</v>
      </c>
      <c r="B50" s="13" t="s">
        <v>130</v>
      </c>
      <c r="C50" s="2" t="s">
        <v>31</v>
      </c>
      <c r="D50" s="16" t="n">
        <v>0.3</v>
      </c>
      <c r="E50" s="2" t="s">
        <v>46</v>
      </c>
      <c r="F50" s="2" t="s">
        <v>33</v>
      </c>
      <c r="G50" s="13" t="s">
        <v>131</v>
      </c>
    </row>
    <row r="51" customFormat="false" ht="15" hidden="false" customHeight="false" outlineLevel="0" collapsed="false">
      <c r="A51" s="2" t="s">
        <v>132</v>
      </c>
      <c r="B51" s="13" t="s">
        <v>133</v>
      </c>
      <c r="C51" s="2" t="s">
        <v>134</v>
      </c>
      <c r="D51" s="16" t="n">
        <v>0.13</v>
      </c>
      <c r="E51" s="2" t="s">
        <v>46</v>
      </c>
      <c r="F51" s="2" t="s">
        <v>66</v>
      </c>
      <c r="G51" s="13" t="s">
        <v>135</v>
      </c>
    </row>
    <row r="52" customFormat="false" ht="15" hidden="false" customHeight="false" outlineLevel="0" collapsed="false">
      <c r="A52" s="2" t="s">
        <v>136</v>
      </c>
      <c r="B52" s="13" t="s">
        <v>137</v>
      </c>
      <c r="C52" s="2" t="s">
        <v>134</v>
      </c>
      <c r="D52" s="16" t="n">
        <v>0.18</v>
      </c>
      <c r="E52" s="2" t="s">
        <v>46</v>
      </c>
      <c r="F52" s="2" t="s">
        <v>66</v>
      </c>
      <c r="G52" s="13" t="s">
        <v>138</v>
      </c>
    </row>
    <row r="53" customFormat="false" ht="15" hidden="false" customHeight="false" outlineLevel="0" collapsed="false">
      <c r="A53" s="2" t="s">
        <v>139</v>
      </c>
      <c r="B53" s="13" t="s">
        <v>140</v>
      </c>
      <c r="C53" s="2" t="s">
        <v>134</v>
      </c>
      <c r="D53" s="16" t="n">
        <v>0.18</v>
      </c>
      <c r="E53" s="2" t="s">
        <v>46</v>
      </c>
      <c r="F53" s="2" t="s">
        <v>66</v>
      </c>
      <c r="G53" s="13" t="s">
        <v>141</v>
      </c>
    </row>
    <row r="54" customFormat="false" ht="15" hidden="false" customHeight="false" outlineLevel="0" collapsed="false">
      <c r="A54" s="2" t="s">
        <v>142</v>
      </c>
      <c r="B54" s="13" t="s">
        <v>143</v>
      </c>
      <c r="C54" s="2" t="s">
        <v>134</v>
      </c>
      <c r="D54" s="16" t="n">
        <v>0.18</v>
      </c>
      <c r="E54" s="2" t="s">
        <v>46</v>
      </c>
      <c r="F54" s="2" t="s">
        <v>66</v>
      </c>
      <c r="G54" s="13" t="s">
        <v>144</v>
      </c>
    </row>
    <row r="55" customFormat="false" ht="15" hidden="false" customHeight="false" outlineLevel="0" collapsed="false">
      <c r="A55" s="2" t="s">
        <v>145</v>
      </c>
      <c r="B55" s="13" t="s">
        <v>146</v>
      </c>
      <c r="C55" s="2" t="s">
        <v>134</v>
      </c>
      <c r="D55" s="16" t="n">
        <v>0.18</v>
      </c>
      <c r="E55" s="2" t="s">
        <v>46</v>
      </c>
      <c r="F55" s="2" t="s">
        <v>66</v>
      </c>
      <c r="G55" s="13" t="s">
        <v>144</v>
      </c>
    </row>
    <row r="56" customFormat="false" ht="26.85" hidden="false" customHeight="false" outlineLevel="0" collapsed="false">
      <c r="A56" s="2" t="s">
        <v>147</v>
      </c>
      <c r="B56" s="13" t="s">
        <v>148</v>
      </c>
      <c r="C56" s="2" t="s">
        <v>134</v>
      </c>
      <c r="D56" s="16" t="n">
        <v>0.15</v>
      </c>
      <c r="E56" s="2" t="s">
        <v>46</v>
      </c>
      <c r="F56" s="2" t="s">
        <v>66</v>
      </c>
      <c r="G56" s="13" t="s">
        <v>149</v>
      </c>
    </row>
    <row r="57" customFormat="false" ht="15" hidden="false" customHeight="false" outlineLevel="0" collapsed="false">
      <c r="A57" s="2" t="s">
        <v>150</v>
      </c>
      <c r="B57" s="13" t="s">
        <v>151</v>
      </c>
      <c r="C57" s="2" t="s">
        <v>134</v>
      </c>
      <c r="D57" s="16" t="n">
        <v>0</v>
      </c>
      <c r="E57" s="2" t="s">
        <v>46</v>
      </c>
      <c r="F57" s="2" t="s">
        <v>66</v>
      </c>
      <c r="G57" s="13" t="s">
        <v>152</v>
      </c>
    </row>
    <row r="58" customFormat="false" ht="15" hidden="false" customHeight="false" outlineLevel="0" collapsed="false">
      <c r="A58" s="2" t="s">
        <v>153</v>
      </c>
      <c r="B58" s="13" t="s">
        <v>154</v>
      </c>
      <c r="C58" s="2" t="s">
        <v>134</v>
      </c>
      <c r="D58" s="16" t="n">
        <v>0</v>
      </c>
      <c r="E58" s="2" t="s">
        <v>46</v>
      </c>
      <c r="F58" s="2" t="s">
        <v>66</v>
      </c>
      <c r="G58" s="13" t="s">
        <v>144</v>
      </c>
    </row>
    <row r="59" customFormat="false" ht="15" hidden="false" customHeight="false" outlineLevel="0" collapsed="false">
      <c r="A59" s="2" t="s">
        <v>155</v>
      </c>
      <c r="B59" s="13" t="s">
        <v>156</v>
      </c>
      <c r="C59" s="2" t="s">
        <v>134</v>
      </c>
      <c r="D59" s="16" t="n">
        <v>0</v>
      </c>
      <c r="E59" s="2" t="s">
        <v>46</v>
      </c>
      <c r="F59" s="2" t="s">
        <v>66</v>
      </c>
      <c r="G59" s="13" t="s">
        <v>144</v>
      </c>
    </row>
    <row r="60" customFormat="false" ht="15" hidden="false" customHeight="false" outlineLevel="0" collapsed="false">
      <c r="A60" s="2" t="s">
        <v>157</v>
      </c>
      <c r="B60" s="13" t="s">
        <v>158</v>
      </c>
      <c r="C60" s="2" t="s">
        <v>134</v>
      </c>
      <c r="D60" s="16" t="n">
        <v>0</v>
      </c>
      <c r="E60" s="2" t="s">
        <v>46</v>
      </c>
      <c r="F60" s="2" t="s">
        <v>66</v>
      </c>
      <c r="G60" s="13" t="s">
        <v>144</v>
      </c>
    </row>
    <row r="61" customFormat="false" ht="15" hidden="false" customHeight="false" outlineLevel="0" collapsed="false">
      <c r="A61" s="2" t="s">
        <v>159</v>
      </c>
      <c r="B61" s="13" t="s">
        <v>160</v>
      </c>
      <c r="C61" s="2" t="s">
        <v>134</v>
      </c>
      <c r="D61" s="16" t="n">
        <v>0</v>
      </c>
      <c r="E61" s="2" t="s">
        <v>46</v>
      </c>
      <c r="F61" s="2" t="s">
        <v>66</v>
      </c>
      <c r="G61" s="13" t="s">
        <v>144</v>
      </c>
    </row>
    <row r="62" customFormat="false" ht="15" hidden="false" customHeight="false" outlineLevel="0" collapsed="false">
      <c r="A62" s="2" t="s">
        <v>161</v>
      </c>
      <c r="B62" s="13" t="s">
        <v>162</v>
      </c>
      <c r="C62" s="2" t="s">
        <v>31</v>
      </c>
      <c r="D62" s="16" t="n">
        <v>0.3</v>
      </c>
      <c r="E62" s="2" t="s">
        <v>46</v>
      </c>
      <c r="F62" s="2" t="s">
        <v>33</v>
      </c>
      <c r="G62" s="13" t="s">
        <v>163</v>
      </c>
    </row>
    <row r="64" customFormat="false" ht="15" hidden="false" customHeight="false" outlineLevel="0" collapsed="false">
      <c r="A64" s="10" t="s">
        <v>164</v>
      </c>
      <c r="B64" s="11"/>
      <c r="C64" s="11"/>
      <c r="D64" s="11"/>
      <c r="E64" s="11"/>
      <c r="F64" s="11"/>
      <c r="G64" s="11"/>
    </row>
    <row r="65" customFormat="false" ht="15" hidden="false" customHeight="false" outlineLevel="0" collapsed="false">
      <c r="A65" s="12" t="s">
        <v>22</v>
      </c>
      <c r="B65" s="12" t="s">
        <v>23</v>
      </c>
      <c r="C65" s="12" t="s">
        <v>24</v>
      </c>
      <c r="D65" s="12" t="s">
        <v>25</v>
      </c>
      <c r="E65" s="12" t="s">
        <v>26</v>
      </c>
      <c r="F65" s="12" t="s">
        <v>27</v>
      </c>
      <c r="G65" s="12" t="s">
        <v>28</v>
      </c>
    </row>
    <row r="66" customFormat="false" ht="39.55" hidden="false" customHeight="false" outlineLevel="0" collapsed="false">
      <c r="A66" s="2" t="s">
        <v>165</v>
      </c>
      <c r="B66" s="13" t="s">
        <v>166</v>
      </c>
      <c r="C66" s="2" t="s">
        <v>50</v>
      </c>
      <c r="D66" s="15" t="n">
        <v>7000</v>
      </c>
      <c r="E66" s="2" t="s">
        <v>167</v>
      </c>
      <c r="F66" s="2" t="s">
        <v>66</v>
      </c>
      <c r="G66" s="13" t="s">
        <v>168</v>
      </c>
    </row>
    <row r="67" customFormat="false" ht="64.9" hidden="false" customHeight="false" outlineLevel="0" collapsed="false">
      <c r="A67" s="2" t="s">
        <v>169</v>
      </c>
      <c r="B67" s="13" t="s">
        <v>166</v>
      </c>
      <c r="C67" s="2" t="s">
        <v>45</v>
      </c>
      <c r="D67" s="15" t="n">
        <v>27000</v>
      </c>
      <c r="E67" s="2" t="s">
        <v>167</v>
      </c>
      <c r="F67" s="2" t="s">
        <v>66</v>
      </c>
      <c r="G67" s="13" t="s">
        <v>170</v>
      </c>
    </row>
    <row r="68" customFormat="false" ht="26.85" hidden="false" customHeight="false" outlineLevel="0" collapsed="false">
      <c r="A68" s="2" t="s">
        <v>171</v>
      </c>
      <c r="B68" s="13" t="s">
        <v>166</v>
      </c>
      <c r="C68" s="2" t="s">
        <v>55</v>
      </c>
      <c r="D68" s="15" t="n">
        <v>2500</v>
      </c>
      <c r="E68" s="2" t="s">
        <v>167</v>
      </c>
      <c r="F68" s="2" t="s">
        <v>66</v>
      </c>
      <c r="G68" s="13" t="s">
        <v>172</v>
      </c>
    </row>
    <row r="69" customFormat="false" ht="26.85" hidden="false" customHeight="false" outlineLevel="0" collapsed="false">
      <c r="A69" s="2" t="s">
        <v>173</v>
      </c>
      <c r="B69" s="13" t="s">
        <v>166</v>
      </c>
      <c r="C69" s="2" t="s">
        <v>57</v>
      </c>
      <c r="D69" s="15" t="n">
        <v>2000</v>
      </c>
      <c r="E69" s="2" t="s">
        <v>167</v>
      </c>
      <c r="F69" s="2" t="s">
        <v>66</v>
      </c>
      <c r="G69" s="13" t="s">
        <v>174</v>
      </c>
    </row>
    <row r="70" customFormat="false" ht="26.85" hidden="false" customHeight="false" outlineLevel="0" collapsed="false">
      <c r="A70" s="2" t="s">
        <v>175</v>
      </c>
      <c r="B70" s="13" t="s">
        <v>176</v>
      </c>
      <c r="C70" s="2" t="s">
        <v>50</v>
      </c>
      <c r="D70" s="16" t="n">
        <v>0.06</v>
      </c>
      <c r="E70" s="2" t="s">
        <v>46</v>
      </c>
      <c r="F70" s="2" t="s">
        <v>66</v>
      </c>
      <c r="G70" s="13" t="s">
        <v>177</v>
      </c>
    </row>
    <row r="71" customFormat="false" ht="26.85" hidden="false" customHeight="false" outlineLevel="0" collapsed="false">
      <c r="A71" s="2" t="s">
        <v>178</v>
      </c>
      <c r="B71" s="13" t="s">
        <v>176</v>
      </c>
      <c r="C71" s="2" t="s">
        <v>45</v>
      </c>
      <c r="D71" s="16" t="n">
        <v>0.06</v>
      </c>
      <c r="E71" s="2" t="s">
        <v>46</v>
      </c>
      <c r="F71" s="2" t="s">
        <v>66</v>
      </c>
      <c r="G71" s="13" t="s">
        <v>177</v>
      </c>
    </row>
    <row r="72" customFormat="false" ht="26.85" hidden="false" customHeight="false" outlineLevel="0" collapsed="false">
      <c r="A72" s="2" t="s">
        <v>179</v>
      </c>
      <c r="B72" s="13" t="s">
        <v>176</v>
      </c>
      <c r="C72" s="2" t="s">
        <v>55</v>
      </c>
      <c r="D72" s="16" t="n">
        <v>0.06</v>
      </c>
      <c r="E72" s="2" t="s">
        <v>46</v>
      </c>
      <c r="F72" s="2" t="s">
        <v>66</v>
      </c>
      <c r="G72" s="13" t="s">
        <v>177</v>
      </c>
    </row>
    <row r="73" customFormat="false" ht="26.85" hidden="false" customHeight="false" outlineLevel="0" collapsed="false">
      <c r="A73" s="2" t="s">
        <v>180</v>
      </c>
      <c r="B73" s="13" t="s">
        <v>176</v>
      </c>
      <c r="C73" s="2" t="s">
        <v>57</v>
      </c>
      <c r="D73" s="16" t="n">
        <v>0.06</v>
      </c>
      <c r="E73" s="2" t="s">
        <v>46</v>
      </c>
      <c r="F73" s="2" t="s">
        <v>66</v>
      </c>
      <c r="G73" s="13" t="s">
        <v>177</v>
      </c>
    </row>
    <row r="74" customFormat="false" ht="26.85" hidden="false" customHeight="false" outlineLevel="0" collapsed="false">
      <c r="A74" s="2" t="s">
        <v>181</v>
      </c>
      <c r="B74" s="13" t="s">
        <v>182</v>
      </c>
      <c r="C74" s="2" t="s">
        <v>50</v>
      </c>
      <c r="D74" s="15" t="n">
        <v>150</v>
      </c>
      <c r="E74" s="2" t="s">
        <v>167</v>
      </c>
      <c r="F74" s="2" t="s">
        <v>66</v>
      </c>
      <c r="G74" s="13" t="s">
        <v>183</v>
      </c>
    </row>
    <row r="75" customFormat="false" ht="26.85" hidden="false" customHeight="false" outlineLevel="0" collapsed="false">
      <c r="A75" s="2" t="s">
        <v>184</v>
      </c>
      <c r="B75" s="13" t="s">
        <v>182</v>
      </c>
      <c r="C75" s="2" t="s">
        <v>45</v>
      </c>
      <c r="D75" s="15" t="n">
        <v>300</v>
      </c>
      <c r="E75" s="2" t="s">
        <v>167</v>
      </c>
      <c r="F75" s="2" t="s">
        <v>66</v>
      </c>
      <c r="G75" s="13" t="s">
        <v>183</v>
      </c>
    </row>
    <row r="76" customFormat="false" ht="26.85" hidden="false" customHeight="false" outlineLevel="0" collapsed="false">
      <c r="A76" s="2" t="s">
        <v>185</v>
      </c>
      <c r="B76" s="13" t="s">
        <v>182</v>
      </c>
      <c r="C76" s="2" t="s">
        <v>55</v>
      </c>
      <c r="D76" s="15" t="n">
        <v>400</v>
      </c>
      <c r="E76" s="2" t="s">
        <v>167</v>
      </c>
      <c r="F76" s="2" t="s">
        <v>66</v>
      </c>
      <c r="G76" s="13" t="s">
        <v>183</v>
      </c>
    </row>
    <row r="77" customFormat="false" ht="26.85" hidden="false" customHeight="false" outlineLevel="0" collapsed="false">
      <c r="A77" s="2" t="s">
        <v>186</v>
      </c>
      <c r="B77" s="13" t="s">
        <v>182</v>
      </c>
      <c r="C77" s="2" t="s">
        <v>57</v>
      </c>
      <c r="D77" s="15" t="n">
        <v>100</v>
      </c>
      <c r="E77" s="2" t="s">
        <v>167</v>
      </c>
      <c r="F77" s="2" t="s">
        <v>66</v>
      </c>
      <c r="G77" s="13" t="s">
        <v>183</v>
      </c>
    </row>
    <row r="79" customFormat="false" ht="15" hidden="false" customHeight="false" outlineLevel="0" collapsed="false">
      <c r="A79" s="10" t="s">
        <v>187</v>
      </c>
      <c r="B79" s="11"/>
      <c r="C79" s="11"/>
      <c r="D79" s="11"/>
      <c r="E79" s="11"/>
      <c r="F79" s="11"/>
      <c r="G79" s="11"/>
    </row>
    <row r="80" customFormat="false" ht="15" hidden="false" customHeight="false" outlineLevel="0" collapsed="false">
      <c r="A80" s="12" t="s">
        <v>22</v>
      </c>
      <c r="B80" s="12" t="s">
        <v>23</v>
      </c>
      <c r="C80" s="12" t="s">
        <v>24</v>
      </c>
      <c r="D80" s="12" t="s">
        <v>25</v>
      </c>
      <c r="E80" s="12" t="s">
        <v>26</v>
      </c>
      <c r="F80" s="12" t="s">
        <v>27</v>
      </c>
      <c r="G80" s="12" t="s">
        <v>28</v>
      </c>
    </row>
    <row r="81" customFormat="false" ht="15" hidden="false" customHeight="false" outlineLevel="0" collapsed="false">
      <c r="A81" s="2" t="s">
        <v>188</v>
      </c>
      <c r="B81" s="13" t="s">
        <v>189</v>
      </c>
      <c r="C81" s="2" t="s">
        <v>190</v>
      </c>
      <c r="D81" s="17" t="n">
        <v>500</v>
      </c>
      <c r="E81" s="2" t="s">
        <v>127</v>
      </c>
      <c r="F81" s="2" t="s">
        <v>66</v>
      </c>
      <c r="G81" s="13" t="s">
        <v>191</v>
      </c>
    </row>
    <row r="82" customFormat="false" ht="15" hidden="false" customHeight="false" outlineLevel="0" collapsed="false">
      <c r="A82" s="2" t="s">
        <v>192</v>
      </c>
      <c r="B82" s="13" t="s">
        <v>193</v>
      </c>
      <c r="C82" s="2" t="s">
        <v>190</v>
      </c>
      <c r="D82" s="15" t="n">
        <v>30</v>
      </c>
      <c r="E82" s="2" t="s">
        <v>194</v>
      </c>
      <c r="F82" s="2" t="s">
        <v>66</v>
      </c>
      <c r="G82" s="13" t="s">
        <v>195</v>
      </c>
    </row>
    <row r="83" customFormat="false" ht="26.85" hidden="false" customHeight="false" outlineLevel="0" collapsed="false">
      <c r="A83" s="2" t="s">
        <v>196</v>
      </c>
      <c r="B83" s="13" t="s">
        <v>197</v>
      </c>
      <c r="C83" s="2" t="s">
        <v>190</v>
      </c>
      <c r="D83" s="18" t="n">
        <v>0.8</v>
      </c>
      <c r="E83" s="2" t="s">
        <v>198</v>
      </c>
      <c r="F83" s="2" t="s">
        <v>66</v>
      </c>
      <c r="G83" s="13" t="s">
        <v>199</v>
      </c>
    </row>
    <row r="84" customFormat="false" ht="26.85" hidden="false" customHeight="false" outlineLevel="0" collapsed="false">
      <c r="A84" s="2" t="s">
        <v>200</v>
      </c>
      <c r="B84" s="13" t="s">
        <v>201</v>
      </c>
      <c r="C84" s="2" t="s">
        <v>190</v>
      </c>
      <c r="D84" s="18" t="n">
        <v>1.5</v>
      </c>
      <c r="E84" s="2" t="s">
        <v>198</v>
      </c>
      <c r="F84" s="2" t="s">
        <v>66</v>
      </c>
      <c r="G84" s="13" t="s">
        <v>202</v>
      </c>
    </row>
    <row r="85" customFormat="false" ht="15" hidden="false" customHeight="false" outlineLevel="0" collapsed="false">
      <c r="A85" s="2" t="s">
        <v>203</v>
      </c>
      <c r="B85" s="13" t="s">
        <v>204</v>
      </c>
      <c r="C85" s="2" t="s">
        <v>190</v>
      </c>
      <c r="D85" s="18" t="n">
        <v>2</v>
      </c>
      <c r="E85" s="2" t="s">
        <v>198</v>
      </c>
      <c r="F85" s="2" t="s">
        <v>66</v>
      </c>
      <c r="G85" s="13" t="s">
        <v>205</v>
      </c>
    </row>
    <row r="86" customFormat="false" ht="26.85" hidden="false" customHeight="false" outlineLevel="0" collapsed="false">
      <c r="A86" s="2" t="s">
        <v>206</v>
      </c>
      <c r="B86" s="13" t="s">
        <v>207</v>
      </c>
      <c r="C86" s="2" t="s">
        <v>190</v>
      </c>
      <c r="D86" s="17" t="n">
        <v>750</v>
      </c>
      <c r="E86" s="2" t="s">
        <v>127</v>
      </c>
      <c r="F86" s="2" t="s">
        <v>66</v>
      </c>
      <c r="G86" s="13" t="s">
        <v>208</v>
      </c>
    </row>
    <row r="87" customFormat="false" ht="15" hidden="false" customHeight="false" outlineLevel="0" collapsed="false">
      <c r="A87" s="2" t="s">
        <v>209</v>
      </c>
      <c r="B87" s="13" t="s">
        <v>210</v>
      </c>
      <c r="C87" s="2" t="s">
        <v>190</v>
      </c>
      <c r="D87" s="16" t="n">
        <v>0.25</v>
      </c>
      <c r="E87" s="2" t="s">
        <v>46</v>
      </c>
      <c r="F87" s="2" t="s">
        <v>66</v>
      </c>
      <c r="G87" s="13" t="s">
        <v>211</v>
      </c>
    </row>
    <row r="88" customFormat="false" ht="26.85" hidden="false" customHeight="false" outlineLevel="0" collapsed="false">
      <c r="A88" s="2" t="s">
        <v>212</v>
      </c>
      <c r="B88" s="13" t="s">
        <v>213</v>
      </c>
      <c r="C88" s="2" t="s">
        <v>190</v>
      </c>
      <c r="D88" s="15" t="n">
        <v>30</v>
      </c>
      <c r="E88" s="2" t="s">
        <v>194</v>
      </c>
      <c r="F88" s="2" t="s">
        <v>66</v>
      </c>
      <c r="G88" s="13" t="s">
        <v>214</v>
      </c>
    </row>
    <row r="90" customFormat="false" ht="15" hidden="false" customHeight="false" outlineLevel="0" collapsed="false">
      <c r="A90" s="10" t="s">
        <v>215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</row>
    <row r="91" customFormat="false" ht="45" hidden="false" customHeight="true" outlineLevel="0" collapsed="false">
      <c r="A91" s="12" t="s">
        <v>22</v>
      </c>
      <c r="B91" s="12" t="s">
        <v>216</v>
      </c>
      <c r="C91" s="12" t="s">
        <v>217</v>
      </c>
      <c r="D91" s="12" t="s">
        <v>218</v>
      </c>
      <c r="E91" s="12" t="s">
        <v>219</v>
      </c>
      <c r="F91" s="12" t="s">
        <v>220</v>
      </c>
      <c r="G91" s="12" t="s">
        <v>221</v>
      </c>
      <c r="H91" s="12" t="s">
        <v>222</v>
      </c>
      <c r="I91" s="12" t="s">
        <v>223</v>
      </c>
      <c r="J91" s="12" t="s">
        <v>224</v>
      </c>
      <c r="K91" s="12" t="s">
        <v>27</v>
      </c>
      <c r="L91" s="12" t="s">
        <v>28</v>
      </c>
    </row>
    <row r="92" customFormat="false" ht="26.85" hidden="false" customHeight="false" outlineLevel="0" collapsed="false">
      <c r="A92" s="2" t="s">
        <v>225</v>
      </c>
      <c r="B92" s="13" t="s">
        <v>226</v>
      </c>
      <c r="C92" s="2" t="s">
        <v>50</v>
      </c>
      <c r="D92" s="2" t="s">
        <v>227</v>
      </c>
      <c r="E92" s="19" t="n">
        <v>0</v>
      </c>
      <c r="F92" s="15"/>
      <c r="G92" s="16" t="n">
        <v>0.08</v>
      </c>
      <c r="H92" s="15" t="n">
        <v>150</v>
      </c>
      <c r="I92" s="20" t="n">
        <v>1</v>
      </c>
      <c r="J92" s="17" t="n">
        <v>0</v>
      </c>
      <c r="K92" s="2" t="s">
        <v>66</v>
      </c>
      <c r="L92" s="13" t="s">
        <v>228</v>
      </c>
    </row>
    <row r="93" customFormat="false" ht="26.85" hidden="false" customHeight="false" outlineLevel="0" collapsed="false">
      <c r="A93" s="2" t="s">
        <v>229</v>
      </c>
      <c r="B93" s="13" t="s">
        <v>226</v>
      </c>
      <c r="C93" s="2" t="s">
        <v>45</v>
      </c>
      <c r="D93" s="2" t="s">
        <v>227</v>
      </c>
      <c r="E93" s="19" t="n">
        <v>0</v>
      </c>
      <c r="F93" s="15"/>
      <c r="G93" s="16" t="n">
        <v>0.18</v>
      </c>
      <c r="H93" s="15" t="n">
        <v>200</v>
      </c>
      <c r="I93" s="20" t="n">
        <v>1</v>
      </c>
      <c r="J93" s="17" t="n">
        <v>0</v>
      </c>
      <c r="K93" s="2" t="s">
        <v>66</v>
      </c>
      <c r="L93" s="13" t="s">
        <v>230</v>
      </c>
    </row>
    <row r="94" customFormat="false" ht="26.85" hidden="false" customHeight="false" outlineLevel="0" collapsed="false">
      <c r="A94" s="2" t="s">
        <v>231</v>
      </c>
      <c r="B94" s="13" t="s">
        <v>226</v>
      </c>
      <c r="C94" s="2" t="s">
        <v>55</v>
      </c>
      <c r="D94" s="2" t="s">
        <v>227</v>
      </c>
      <c r="E94" s="19" t="n">
        <v>0</v>
      </c>
      <c r="F94" s="15"/>
      <c r="G94" s="16" t="n">
        <v>0.1</v>
      </c>
      <c r="H94" s="15" t="n">
        <v>80</v>
      </c>
      <c r="I94" s="20" t="n">
        <v>1</v>
      </c>
      <c r="J94" s="17" t="n">
        <v>0</v>
      </c>
      <c r="K94" s="2" t="s">
        <v>66</v>
      </c>
      <c r="L94" s="13" t="s">
        <v>232</v>
      </c>
    </row>
    <row r="95" customFormat="false" ht="26.85" hidden="false" customHeight="false" outlineLevel="0" collapsed="false">
      <c r="A95" s="2" t="s">
        <v>233</v>
      </c>
      <c r="B95" s="13" t="s">
        <v>226</v>
      </c>
      <c r="C95" s="2" t="s">
        <v>57</v>
      </c>
      <c r="D95" s="2" t="s">
        <v>227</v>
      </c>
      <c r="E95" s="19" t="n">
        <v>0</v>
      </c>
      <c r="F95" s="15"/>
      <c r="G95" s="16" t="n">
        <v>0.08</v>
      </c>
      <c r="H95" s="15" t="n">
        <v>60</v>
      </c>
      <c r="I95" s="20" t="n">
        <v>1</v>
      </c>
      <c r="J95" s="17" t="n">
        <v>0</v>
      </c>
      <c r="K95" s="2" t="s">
        <v>66</v>
      </c>
      <c r="L95" s="13" t="s">
        <v>232</v>
      </c>
    </row>
    <row r="96" customFormat="false" ht="52.2" hidden="false" customHeight="false" outlineLevel="0" collapsed="false">
      <c r="A96" s="2" t="s">
        <v>234</v>
      </c>
      <c r="B96" s="13" t="s">
        <v>235</v>
      </c>
      <c r="C96" s="2" t="s">
        <v>50</v>
      </c>
      <c r="D96" s="2" t="s">
        <v>236</v>
      </c>
      <c r="E96" s="19" t="n">
        <v>2</v>
      </c>
      <c r="F96" s="21" t="n">
        <v>0.035</v>
      </c>
      <c r="G96" s="16" t="n">
        <v>0.12</v>
      </c>
      <c r="H96" s="15" t="n">
        <v>450</v>
      </c>
      <c r="I96" s="20" t="n">
        <v>1</v>
      </c>
      <c r="J96" s="17" t="n">
        <v>0</v>
      </c>
      <c r="K96" s="2" t="s">
        <v>237</v>
      </c>
      <c r="L96" s="13" t="s">
        <v>238</v>
      </c>
    </row>
    <row r="97" customFormat="false" ht="26.85" hidden="false" customHeight="false" outlineLevel="0" collapsed="false">
      <c r="A97" s="2" t="s">
        <v>239</v>
      </c>
      <c r="B97" s="13" t="s">
        <v>235</v>
      </c>
      <c r="C97" s="2" t="s">
        <v>45</v>
      </c>
      <c r="D97" s="2" t="s">
        <v>236</v>
      </c>
      <c r="E97" s="19" t="n">
        <v>1.2</v>
      </c>
      <c r="F97" s="21" t="n">
        <v>0.05</v>
      </c>
      <c r="G97" s="16" t="n">
        <v>0.22</v>
      </c>
      <c r="H97" s="15" t="n">
        <v>600</v>
      </c>
      <c r="I97" s="20" t="n">
        <v>1</v>
      </c>
      <c r="J97" s="17" t="n">
        <v>0</v>
      </c>
      <c r="K97" s="2" t="s">
        <v>237</v>
      </c>
      <c r="L97" s="13" t="s">
        <v>240</v>
      </c>
    </row>
    <row r="98" customFormat="false" ht="26.85" hidden="false" customHeight="false" outlineLevel="0" collapsed="false">
      <c r="A98" s="2" t="s">
        <v>241</v>
      </c>
      <c r="B98" s="13" t="s">
        <v>235</v>
      </c>
      <c r="C98" s="2" t="s">
        <v>55</v>
      </c>
      <c r="D98" s="2" t="s">
        <v>236</v>
      </c>
      <c r="E98" s="19" t="n">
        <v>1.8</v>
      </c>
      <c r="F98" s="21" t="n">
        <v>0.04</v>
      </c>
      <c r="G98" s="16" t="n">
        <v>0.12</v>
      </c>
      <c r="H98" s="15" t="n">
        <v>250</v>
      </c>
      <c r="I98" s="20" t="n">
        <v>1</v>
      </c>
      <c r="J98" s="17" t="n">
        <v>0</v>
      </c>
      <c r="K98" s="2" t="s">
        <v>237</v>
      </c>
      <c r="L98" s="13" t="s">
        <v>242</v>
      </c>
    </row>
    <row r="99" customFormat="false" ht="26.85" hidden="false" customHeight="false" outlineLevel="0" collapsed="false">
      <c r="A99" s="2" t="s">
        <v>243</v>
      </c>
      <c r="B99" s="13" t="s">
        <v>235</v>
      </c>
      <c r="C99" s="2" t="s">
        <v>57</v>
      </c>
      <c r="D99" s="2" t="s">
        <v>236</v>
      </c>
      <c r="E99" s="19" t="n">
        <v>1.7</v>
      </c>
      <c r="F99" s="21" t="n">
        <v>0.04</v>
      </c>
      <c r="G99" s="16" t="n">
        <v>0.1</v>
      </c>
      <c r="H99" s="15" t="n">
        <v>200</v>
      </c>
      <c r="I99" s="20" t="n">
        <v>1</v>
      </c>
      <c r="J99" s="17" t="n">
        <v>0</v>
      </c>
      <c r="K99" s="2" t="s">
        <v>237</v>
      </c>
      <c r="L99" s="13" t="s">
        <v>244</v>
      </c>
    </row>
    <row r="100" customFormat="false" ht="39.55" hidden="false" customHeight="false" outlineLevel="0" collapsed="false">
      <c r="A100" s="2" t="s">
        <v>245</v>
      </c>
      <c r="B100" s="13" t="s">
        <v>246</v>
      </c>
      <c r="C100" s="2" t="s">
        <v>50</v>
      </c>
      <c r="D100" s="2" t="s">
        <v>247</v>
      </c>
      <c r="E100" s="19" t="n">
        <v>1449</v>
      </c>
      <c r="F100" s="15" t="n">
        <v>15</v>
      </c>
      <c r="G100" s="16" t="n">
        <v>0.3</v>
      </c>
      <c r="H100" s="15" t="n">
        <v>3</v>
      </c>
      <c r="I100" s="20" t="n">
        <v>1</v>
      </c>
      <c r="J100" s="17" t="n">
        <v>0</v>
      </c>
      <c r="K100" s="2" t="s">
        <v>237</v>
      </c>
      <c r="L100" s="13" t="s">
        <v>248</v>
      </c>
    </row>
    <row r="101" customFormat="false" ht="15" hidden="false" customHeight="false" outlineLevel="0" collapsed="false">
      <c r="A101" s="2" t="s">
        <v>249</v>
      </c>
      <c r="B101" s="13" t="s">
        <v>246</v>
      </c>
      <c r="C101" s="2" t="s">
        <v>45</v>
      </c>
      <c r="D101" s="2" t="s">
        <v>247</v>
      </c>
      <c r="E101" s="19" t="n">
        <v>1449</v>
      </c>
      <c r="F101" s="15" t="n">
        <v>25</v>
      </c>
      <c r="G101" s="16" t="n">
        <v>0.35</v>
      </c>
      <c r="H101" s="15" t="n">
        <v>3</v>
      </c>
      <c r="I101" s="20" t="n">
        <v>1</v>
      </c>
      <c r="J101" s="17" t="n">
        <v>0</v>
      </c>
      <c r="K101" s="2" t="s">
        <v>237</v>
      </c>
      <c r="L101" s="13" t="s">
        <v>250</v>
      </c>
    </row>
    <row r="102" customFormat="false" ht="15" hidden="false" customHeight="false" outlineLevel="0" collapsed="false">
      <c r="A102" s="2" t="s">
        <v>251</v>
      </c>
      <c r="B102" s="13" t="s">
        <v>246</v>
      </c>
      <c r="C102" s="2" t="s">
        <v>55</v>
      </c>
      <c r="D102" s="2" t="s">
        <v>247</v>
      </c>
      <c r="E102" s="19" t="n">
        <v>1449</v>
      </c>
      <c r="F102" s="15" t="n">
        <v>15</v>
      </c>
      <c r="G102" s="16" t="n">
        <v>0.25</v>
      </c>
      <c r="H102" s="15" t="n">
        <v>2</v>
      </c>
      <c r="I102" s="20" t="n">
        <v>1</v>
      </c>
      <c r="J102" s="17" t="n">
        <v>0</v>
      </c>
      <c r="K102" s="2" t="s">
        <v>237</v>
      </c>
      <c r="L102" s="13" t="s">
        <v>252</v>
      </c>
    </row>
    <row r="103" customFormat="false" ht="15" hidden="false" customHeight="false" outlineLevel="0" collapsed="false">
      <c r="A103" s="2" t="s">
        <v>253</v>
      </c>
      <c r="B103" s="13" t="s">
        <v>246</v>
      </c>
      <c r="C103" s="2" t="s">
        <v>57</v>
      </c>
      <c r="D103" s="2" t="s">
        <v>247</v>
      </c>
      <c r="E103" s="19" t="n">
        <v>1449</v>
      </c>
      <c r="F103" s="15" t="n">
        <v>15</v>
      </c>
      <c r="G103" s="16" t="n">
        <v>0.25</v>
      </c>
      <c r="H103" s="15" t="n">
        <v>2</v>
      </c>
      <c r="I103" s="20" t="n">
        <v>1</v>
      </c>
      <c r="J103" s="17" t="n">
        <v>0</v>
      </c>
      <c r="K103" s="2" t="s">
        <v>237</v>
      </c>
      <c r="L103" s="13" t="s">
        <v>254</v>
      </c>
    </row>
    <row r="104" customFormat="false" ht="39.55" hidden="false" customHeight="false" outlineLevel="0" collapsed="false">
      <c r="A104" s="2" t="s">
        <v>255</v>
      </c>
      <c r="B104" s="13" t="s">
        <v>256</v>
      </c>
      <c r="C104" s="2" t="s">
        <v>55</v>
      </c>
      <c r="D104" s="2" t="s">
        <v>236</v>
      </c>
      <c r="E104" s="19" t="n">
        <v>3.5</v>
      </c>
      <c r="F104" s="21" t="n">
        <v>0.08</v>
      </c>
      <c r="G104" s="16" t="n">
        <v>0.25</v>
      </c>
      <c r="H104" s="15" t="n">
        <v>150</v>
      </c>
      <c r="I104" s="20" t="n">
        <v>1</v>
      </c>
      <c r="J104" s="17" t="n">
        <v>0</v>
      </c>
      <c r="K104" s="2" t="s">
        <v>237</v>
      </c>
      <c r="L104" s="13" t="s">
        <v>257</v>
      </c>
    </row>
    <row r="105" customFormat="false" ht="15" hidden="false" customHeight="false" outlineLevel="0" collapsed="false">
      <c r="A105" s="2" t="s">
        <v>258</v>
      </c>
      <c r="B105" s="13" t="s">
        <v>256</v>
      </c>
      <c r="C105" s="2" t="s">
        <v>57</v>
      </c>
      <c r="D105" s="2" t="s">
        <v>236</v>
      </c>
      <c r="E105" s="19" t="n">
        <v>3.5</v>
      </c>
      <c r="F105" s="21" t="n">
        <v>0.08</v>
      </c>
      <c r="G105" s="16" t="n">
        <v>0.2</v>
      </c>
      <c r="H105" s="15" t="n">
        <v>100</v>
      </c>
      <c r="I105" s="20" t="n">
        <v>1</v>
      </c>
      <c r="J105" s="17" t="n">
        <v>0</v>
      </c>
      <c r="K105" s="2" t="s">
        <v>237</v>
      </c>
      <c r="L105" s="13" t="s">
        <v>259</v>
      </c>
    </row>
    <row r="106" customFormat="false" ht="26.85" hidden="false" customHeight="false" outlineLevel="0" collapsed="false">
      <c r="A106" s="2" t="s">
        <v>260</v>
      </c>
      <c r="B106" s="13" t="s">
        <v>261</v>
      </c>
      <c r="C106" s="2" t="s">
        <v>50</v>
      </c>
      <c r="D106" s="2" t="s">
        <v>262</v>
      </c>
      <c r="E106" s="19" t="n">
        <v>18</v>
      </c>
      <c r="F106" s="15"/>
      <c r="G106" s="16" t="n">
        <v>0.05</v>
      </c>
      <c r="H106" s="15" t="n">
        <v>400</v>
      </c>
      <c r="I106" s="20" t="n">
        <v>1</v>
      </c>
      <c r="J106" s="17" t="n">
        <v>0</v>
      </c>
      <c r="K106" s="2" t="s">
        <v>66</v>
      </c>
      <c r="L106" s="13" t="s">
        <v>263</v>
      </c>
    </row>
    <row r="107" customFormat="false" ht="15" hidden="false" customHeight="false" outlineLevel="0" collapsed="false">
      <c r="A107" s="2" t="s">
        <v>264</v>
      </c>
      <c r="B107" s="13" t="s">
        <v>261</v>
      </c>
      <c r="C107" s="2" t="s">
        <v>45</v>
      </c>
      <c r="D107" s="2" t="s">
        <v>262</v>
      </c>
      <c r="E107" s="19" t="n">
        <v>12</v>
      </c>
      <c r="F107" s="15"/>
      <c r="G107" s="16" t="n">
        <v>0.12</v>
      </c>
      <c r="H107" s="15" t="n">
        <v>500</v>
      </c>
      <c r="I107" s="20" t="n">
        <v>1</v>
      </c>
      <c r="J107" s="17" t="n">
        <v>0</v>
      </c>
      <c r="K107" s="2" t="s">
        <v>66</v>
      </c>
      <c r="L107" s="13" t="s">
        <v>265</v>
      </c>
    </row>
    <row r="108" customFormat="false" ht="26.85" hidden="false" customHeight="false" outlineLevel="0" collapsed="false">
      <c r="A108" s="2" t="s">
        <v>266</v>
      </c>
      <c r="B108" s="13" t="s">
        <v>267</v>
      </c>
      <c r="C108" s="2" t="s">
        <v>50</v>
      </c>
      <c r="D108" s="2" t="s">
        <v>236</v>
      </c>
      <c r="E108" s="19" t="n">
        <v>2.2</v>
      </c>
      <c r="F108" s="21" t="n">
        <v>0.07</v>
      </c>
      <c r="G108" s="16" t="n">
        <v>0.15</v>
      </c>
      <c r="H108" s="15" t="n">
        <v>80</v>
      </c>
      <c r="I108" s="20" t="n">
        <v>1</v>
      </c>
      <c r="J108" s="17" t="n">
        <v>0</v>
      </c>
      <c r="K108" s="2" t="s">
        <v>66</v>
      </c>
      <c r="L108" s="13" t="s">
        <v>268</v>
      </c>
    </row>
    <row r="109" customFormat="false" ht="15" hidden="false" customHeight="false" outlineLevel="0" collapsed="false">
      <c r="A109" s="2" t="s">
        <v>269</v>
      </c>
      <c r="B109" s="13" t="s">
        <v>267</v>
      </c>
      <c r="C109" s="2" t="s">
        <v>45</v>
      </c>
      <c r="D109" s="2" t="s">
        <v>236</v>
      </c>
      <c r="E109" s="19" t="n">
        <v>2.2</v>
      </c>
      <c r="F109" s="21" t="n">
        <v>0.07</v>
      </c>
      <c r="G109" s="16" t="n">
        <v>0.25</v>
      </c>
      <c r="H109" s="15" t="n">
        <v>100</v>
      </c>
      <c r="I109" s="20" t="n">
        <v>1</v>
      </c>
      <c r="J109" s="17" t="n">
        <v>0</v>
      </c>
      <c r="K109" s="2" t="s">
        <v>66</v>
      </c>
      <c r="L109" s="13" t="s">
        <v>232</v>
      </c>
    </row>
    <row r="110" customFormat="false" ht="15" hidden="false" customHeight="false" outlineLevel="0" collapsed="false">
      <c r="A110" s="2" t="s">
        <v>270</v>
      </c>
      <c r="B110" s="13" t="s">
        <v>267</v>
      </c>
      <c r="C110" s="2" t="s">
        <v>55</v>
      </c>
      <c r="D110" s="2" t="s">
        <v>236</v>
      </c>
      <c r="E110" s="19" t="n">
        <v>2.2</v>
      </c>
      <c r="F110" s="21" t="n">
        <v>0.07</v>
      </c>
      <c r="G110" s="16" t="n">
        <v>0.15</v>
      </c>
      <c r="H110" s="15" t="n">
        <v>40</v>
      </c>
      <c r="I110" s="20" t="n">
        <v>1</v>
      </c>
      <c r="J110" s="17" t="n">
        <v>0</v>
      </c>
      <c r="K110" s="2" t="s">
        <v>66</v>
      </c>
      <c r="L110" s="13" t="s">
        <v>271</v>
      </c>
    </row>
    <row r="111" customFormat="false" ht="15" hidden="false" customHeight="false" outlineLevel="0" collapsed="false">
      <c r="A111" s="2" t="s">
        <v>272</v>
      </c>
      <c r="B111" s="13" t="s">
        <v>267</v>
      </c>
      <c r="C111" s="2" t="s">
        <v>57</v>
      </c>
      <c r="D111" s="2" t="s">
        <v>236</v>
      </c>
      <c r="E111" s="19" t="n">
        <v>2.2</v>
      </c>
      <c r="F111" s="21" t="n">
        <v>0.07</v>
      </c>
      <c r="G111" s="16" t="n">
        <v>0.12</v>
      </c>
      <c r="H111" s="15" t="n">
        <v>30</v>
      </c>
      <c r="I111" s="20" t="n">
        <v>1</v>
      </c>
      <c r="J111" s="17" t="n">
        <v>0</v>
      </c>
      <c r="K111" s="2" t="s">
        <v>66</v>
      </c>
      <c r="L111" s="13" t="s">
        <v>232</v>
      </c>
    </row>
    <row r="113" customFormat="false" ht="15" hidden="false" customHeight="false" outlineLevel="0" collapsed="false">
      <c r="A113" s="10" t="s">
        <v>273</v>
      </c>
      <c r="B113" s="11"/>
      <c r="C113" s="11"/>
      <c r="D113" s="11"/>
      <c r="E113" s="11"/>
      <c r="F113" s="11"/>
      <c r="G113" s="11"/>
    </row>
    <row r="114" customFormat="false" ht="15" hidden="false" customHeight="false" outlineLevel="0" collapsed="false">
      <c r="A114" s="12" t="s">
        <v>22</v>
      </c>
      <c r="B114" s="12" t="s">
        <v>23</v>
      </c>
      <c r="C114" s="12" t="s">
        <v>24</v>
      </c>
      <c r="D114" s="12" t="s">
        <v>25</v>
      </c>
      <c r="E114" s="12" t="s">
        <v>26</v>
      </c>
      <c r="F114" s="12" t="s">
        <v>27</v>
      </c>
      <c r="G114" s="12" t="s">
        <v>28</v>
      </c>
    </row>
    <row r="115" customFormat="false" ht="52.2" hidden="false" customHeight="false" outlineLevel="0" collapsed="false">
      <c r="A115" s="2" t="s">
        <v>274</v>
      </c>
      <c r="B115" s="13" t="s">
        <v>275</v>
      </c>
      <c r="C115" s="2" t="s">
        <v>50</v>
      </c>
      <c r="D115" s="15" t="n">
        <v>200</v>
      </c>
      <c r="E115" s="2" t="s">
        <v>276</v>
      </c>
      <c r="F115" s="2" t="s">
        <v>66</v>
      </c>
      <c r="G115" s="13" t="s">
        <v>277</v>
      </c>
    </row>
    <row r="116" customFormat="false" ht="52.2" hidden="false" customHeight="false" outlineLevel="0" collapsed="false">
      <c r="A116" s="2" t="s">
        <v>278</v>
      </c>
      <c r="B116" s="13" t="s">
        <v>275</v>
      </c>
      <c r="C116" s="2" t="s">
        <v>45</v>
      </c>
      <c r="D116" s="15" t="n">
        <v>300</v>
      </c>
      <c r="E116" s="2" t="s">
        <v>276</v>
      </c>
      <c r="F116" s="2" t="s">
        <v>66</v>
      </c>
      <c r="G116" s="13" t="s">
        <v>277</v>
      </c>
    </row>
    <row r="117" customFormat="false" ht="52.2" hidden="false" customHeight="false" outlineLevel="0" collapsed="false">
      <c r="A117" s="2" t="s">
        <v>279</v>
      </c>
      <c r="B117" s="13" t="s">
        <v>275</v>
      </c>
      <c r="C117" s="2" t="s">
        <v>55</v>
      </c>
      <c r="D117" s="15" t="n">
        <v>120</v>
      </c>
      <c r="E117" s="2" t="s">
        <v>276</v>
      </c>
      <c r="F117" s="2" t="s">
        <v>66</v>
      </c>
      <c r="G117" s="13" t="s">
        <v>277</v>
      </c>
    </row>
    <row r="118" customFormat="false" ht="52.2" hidden="false" customHeight="false" outlineLevel="0" collapsed="false">
      <c r="A118" s="2" t="s">
        <v>280</v>
      </c>
      <c r="B118" s="13" t="s">
        <v>275</v>
      </c>
      <c r="C118" s="2" t="s">
        <v>57</v>
      </c>
      <c r="D118" s="15" t="n">
        <v>80</v>
      </c>
      <c r="E118" s="2" t="s">
        <v>276</v>
      </c>
      <c r="F118" s="2" t="s">
        <v>66</v>
      </c>
      <c r="G118" s="13" t="s">
        <v>277</v>
      </c>
    </row>
    <row r="119" customFormat="false" ht="26.85" hidden="false" customHeight="false" outlineLevel="0" collapsed="false">
      <c r="A119" s="2" t="s">
        <v>281</v>
      </c>
      <c r="B119" s="13" t="s">
        <v>282</v>
      </c>
      <c r="C119" s="2" t="s">
        <v>31</v>
      </c>
      <c r="D119" s="16" t="n">
        <v>0.12</v>
      </c>
      <c r="E119" s="2" t="s">
        <v>46</v>
      </c>
      <c r="F119" s="2" t="s">
        <v>66</v>
      </c>
      <c r="G119" s="13" t="s">
        <v>283</v>
      </c>
    </row>
    <row r="120" customFormat="false" ht="15" hidden="false" customHeight="false" outlineLevel="0" collapsed="false">
      <c r="A120" s="2" t="s">
        <v>284</v>
      </c>
      <c r="B120" s="13" t="s">
        <v>285</v>
      </c>
      <c r="C120" s="2" t="s">
        <v>31</v>
      </c>
      <c r="D120" s="16" t="n">
        <v>0.5</v>
      </c>
      <c r="E120" s="2" t="s">
        <v>46</v>
      </c>
      <c r="F120" s="2" t="s">
        <v>66</v>
      </c>
      <c r="G120" s="13" t="s">
        <v>286</v>
      </c>
    </row>
    <row r="121" customFormat="false" ht="26.85" hidden="false" customHeight="false" outlineLevel="0" collapsed="false">
      <c r="A121" s="2" t="s">
        <v>287</v>
      </c>
      <c r="B121" s="13" t="s">
        <v>288</v>
      </c>
      <c r="C121" s="2" t="s">
        <v>50</v>
      </c>
      <c r="D121" s="15" t="n">
        <v>25</v>
      </c>
      <c r="E121" s="2" t="s">
        <v>194</v>
      </c>
      <c r="F121" s="2" t="s">
        <v>66</v>
      </c>
      <c r="G121" s="13" t="s">
        <v>289</v>
      </c>
    </row>
    <row r="122" customFormat="false" ht="26.85" hidden="false" customHeight="false" outlineLevel="0" collapsed="false">
      <c r="A122" s="2" t="s">
        <v>290</v>
      </c>
      <c r="B122" s="13" t="s">
        <v>288</v>
      </c>
      <c r="C122" s="2" t="s">
        <v>45</v>
      </c>
      <c r="D122" s="15" t="n">
        <v>30</v>
      </c>
      <c r="E122" s="2" t="s">
        <v>194</v>
      </c>
      <c r="F122" s="2" t="s">
        <v>66</v>
      </c>
      <c r="G122" s="13" t="s">
        <v>289</v>
      </c>
    </row>
    <row r="123" customFormat="false" ht="26.85" hidden="false" customHeight="false" outlineLevel="0" collapsed="false">
      <c r="A123" s="2" t="s">
        <v>291</v>
      </c>
      <c r="B123" s="13" t="s">
        <v>288</v>
      </c>
      <c r="C123" s="2" t="s">
        <v>55</v>
      </c>
      <c r="D123" s="15" t="n">
        <v>10</v>
      </c>
      <c r="E123" s="2" t="s">
        <v>194</v>
      </c>
      <c r="F123" s="2" t="s">
        <v>66</v>
      </c>
      <c r="G123" s="13" t="s">
        <v>289</v>
      </c>
    </row>
    <row r="124" customFormat="false" ht="26.85" hidden="false" customHeight="false" outlineLevel="0" collapsed="false">
      <c r="A124" s="2" t="s">
        <v>292</v>
      </c>
      <c r="B124" s="13" t="s">
        <v>288</v>
      </c>
      <c r="C124" s="2" t="s">
        <v>57</v>
      </c>
      <c r="D124" s="15" t="n">
        <v>8</v>
      </c>
      <c r="E124" s="2" t="s">
        <v>194</v>
      </c>
      <c r="F124" s="2" t="s">
        <v>66</v>
      </c>
      <c r="G124" s="13" t="s">
        <v>289</v>
      </c>
    </row>
    <row r="125" customFormat="false" ht="15" hidden="false" customHeight="false" outlineLevel="0" collapsed="false">
      <c r="A125" s="2" t="s">
        <v>293</v>
      </c>
      <c r="B125" s="13" t="s">
        <v>294</v>
      </c>
      <c r="C125" s="2" t="s">
        <v>31</v>
      </c>
      <c r="D125" s="16" t="n">
        <v>0.45</v>
      </c>
      <c r="E125" s="2" t="s">
        <v>46</v>
      </c>
      <c r="F125" s="2" t="s">
        <v>66</v>
      </c>
      <c r="G125" s="13" t="s">
        <v>295</v>
      </c>
    </row>
    <row r="126" customFormat="false" ht="26.85" hidden="false" customHeight="false" outlineLevel="0" collapsed="false">
      <c r="A126" s="2" t="s">
        <v>296</v>
      </c>
      <c r="B126" s="13" t="s">
        <v>297</v>
      </c>
      <c r="C126" s="2" t="s">
        <v>31</v>
      </c>
      <c r="D126" s="19" t="n">
        <v>0.5</v>
      </c>
      <c r="E126" s="2" t="s">
        <v>127</v>
      </c>
      <c r="F126" s="2" t="s">
        <v>66</v>
      </c>
      <c r="G126" s="13" t="s">
        <v>298</v>
      </c>
    </row>
    <row r="127" customFormat="false" ht="26.85" hidden="false" customHeight="false" outlineLevel="0" collapsed="false">
      <c r="A127" s="2" t="s">
        <v>299</v>
      </c>
      <c r="B127" s="13" t="s">
        <v>300</v>
      </c>
      <c r="C127" s="2" t="s">
        <v>31</v>
      </c>
      <c r="D127" s="17" t="n">
        <v>1000</v>
      </c>
      <c r="E127" s="2" t="s">
        <v>127</v>
      </c>
      <c r="F127" s="2" t="s">
        <v>66</v>
      </c>
      <c r="G127" s="13" t="s">
        <v>301</v>
      </c>
    </row>
    <row r="128" customFormat="false" ht="26.85" hidden="false" customHeight="false" outlineLevel="0" collapsed="false">
      <c r="A128" s="2" t="s">
        <v>302</v>
      </c>
      <c r="B128" s="13" t="s">
        <v>303</v>
      </c>
      <c r="C128" s="2" t="s">
        <v>31</v>
      </c>
      <c r="D128" s="20" t="n">
        <v>1.15</v>
      </c>
      <c r="E128" s="2" t="s">
        <v>304</v>
      </c>
      <c r="F128" s="2" t="s">
        <v>66</v>
      </c>
      <c r="G128" s="13" t="s">
        <v>305</v>
      </c>
    </row>
    <row r="129" customFormat="false" ht="39.55" hidden="false" customHeight="false" outlineLevel="0" collapsed="false">
      <c r="A129" s="2" t="s">
        <v>306</v>
      </c>
      <c r="B129" s="13" t="s">
        <v>307</v>
      </c>
      <c r="C129" s="2" t="s">
        <v>50</v>
      </c>
      <c r="D129" s="15" t="n">
        <v>12000</v>
      </c>
      <c r="E129" s="2" t="s">
        <v>167</v>
      </c>
      <c r="F129" s="2" t="s">
        <v>66</v>
      </c>
      <c r="G129" s="13" t="s">
        <v>308</v>
      </c>
    </row>
    <row r="130" customFormat="false" ht="26.85" hidden="false" customHeight="false" outlineLevel="0" collapsed="false">
      <c r="A130" s="2" t="s">
        <v>309</v>
      </c>
      <c r="B130" s="13" t="s">
        <v>310</v>
      </c>
      <c r="C130" s="2" t="s">
        <v>50</v>
      </c>
      <c r="D130" s="21" t="n">
        <v>0.025</v>
      </c>
      <c r="E130" s="2" t="s">
        <v>46</v>
      </c>
      <c r="F130" s="2" t="s">
        <v>66</v>
      </c>
      <c r="G130" s="13" t="s">
        <v>311</v>
      </c>
    </row>
    <row r="131" customFormat="false" ht="26.85" hidden="false" customHeight="false" outlineLevel="0" collapsed="false">
      <c r="A131" s="2" t="s">
        <v>312</v>
      </c>
      <c r="B131" s="13" t="s">
        <v>313</v>
      </c>
      <c r="C131" s="2" t="s">
        <v>50</v>
      </c>
      <c r="D131" s="17" t="n">
        <v>30</v>
      </c>
      <c r="E131" s="2" t="s">
        <v>127</v>
      </c>
      <c r="F131" s="2" t="s">
        <v>66</v>
      </c>
      <c r="G131" s="13" t="s">
        <v>314</v>
      </c>
    </row>
    <row r="132" customFormat="false" ht="26.85" hidden="false" customHeight="false" outlineLevel="0" collapsed="false">
      <c r="A132" s="2" t="s">
        <v>315</v>
      </c>
      <c r="B132" s="13" t="s">
        <v>316</v>
      </c>
      <c r="C132" s="2" t="s">
        <v>50</v>
      </c>
      <c r="D132" s="16" t="n">
        <v>0.15</v>
      </c>
      <c r="E132" s="2" t="s">
        <v>46</v>
      </c>
      <c r="F132" s="2" t="s">
        <v>66</v>
      </c>
      <c r="G132" s="13" t="s">
        <v>317</v>
      </c>
    </row>
    <row r="133" customFormat="false" ht="15" hidden="false" customHeight="false" outlineLevel="0" collapsed="false">
      <c r="A133" s="2" t="s">
        <v>318</v>
      </c>
      <c r="B133" s="13" t="s">
        <v>319</v>
      </c>
      <c r="C133" s="2" t="s">
        <v>50</v>
      </c>
      <c r="D133" s="20" t="n">
        <v>0.8</v>
      </c>
      <c r="E133" s="2" t="s">
        <v>304</v>
      </c>
      <c r="F133" s="2" t="s">
        <v>66</v>
      </c>
      <c r="G133" s="13" t="s">
        <v>320</v>
      </c>
    </row>
    <row r="134" customFormat="false" ht="26.85" hidden="false" customHeight="false" outlineLevel="0" collapsed="false">
      <c r="A134" s="2" t="s">
        <v>321</v>
      </c>
      <c r="B134" s="13" t="s">
        <v>322</v>
      </c>
      <c r="C134" s="2" t="s">
        <v>50</v>
      </c>
      <c r="D134" s="17" t="n">
        <v>1200</v>
      </c>
      <c r="E134" s="2" t="s">
        <v>127</v>
      </c>
      <c r="F134" s="2" t="s">
        <v>66</v>
      </c>
      <c r="G134" s="13" t="s">
        <v>323</v>
      </c>
    </row>
    <row r="135" customFormat="false" ht="26.85" hidden="false" customHeight="false" outlineLevel="0" collapsed="false">
      <c r="A135" s="2" t="s">
        <v>324</v>
      </c>
      <c r="B135" s="13" t="s">
        <v>325</v>
      </c>
      <c r="C135" s="2" t="s">
        <v>45</v>
      </c>
      <c r="D135" s="17" t="n">
        <v>12</v>
      </c>
      <c r="E135" s="2" t="s">
        <v>127</v>
      </c>
      <c r="F135" s="2" t="s">
        <v>237</v>
      </c>
      <c r="G135" s="13" t="s">
        <v>326</v>
      </c>
    </row>
    <row r="136" customFormat="false" ht="26.85" hidden="false" customHeight="false" outlineLevel="0" collapsed="false">
      <c r="A136" s="2" t="s">
        <v>327</v>
      </c>
      <c r="B136" s="13" t="s">
        <v>328</v>
      </c>
      <c r="C136" s="2" t="s">
        <v>45</v>
      </c>
      <c r="D136" s="16" t="n">
        <v>0.22</v>
      </c>
      <c r="E136" s="2" t="s">
        <v>46</v>
      </c>
      <c r="F136" s="2" t="s">
        <v>66</v>
      </c>
      <c r="G136" s="13" t="s">
        <v>329</v>
      </c>
    </row>
    <row r="137" customFormat="false" ht="15" hidden="false" customHeight="false" outlineLevel="0" collapsed="false">
      <c r="A137" s="2" t="s">
        <v>330</v>
      </c>
      <c r="B137" s="13" t="s">
        <v>331</v>
      </c>
      <c r="C137" s="2" t="s">
        <v>45</v>
      </c>
      <c r="D137" s="15" t="n">
        <v>450</v>
      </c>
      <c r="E137" s="2" t="s">
        <v>194</v>
      </c>
      <c r="F137" s="2" t="s">
        <v>66</v>
      </c>
      <c r="G137" s="13" t="s">
        <v>332</v>
      </c>
    </row>
    <row r="138" customFormat="false" ht="15" hidden="false" customHeight="false" outlineLevel="0" collapsed="false">
      <c r="A138" s="2" t="s">
        <v>333</v>
      </c>
      <c r="B138" s="13" t="s">
        <v>334</v>
      </c>
      <c r="C138" s="2" t="s">
        <v>45</v>
      </c>
      <c r="D138" s="20" t="n">
        <v>1.1</v>
      </c>
      <c r="E138" s="2" t="s">
        <v>304</v>
      </c>
      <c r="F138" s="2" t="s">
        <v>66</v>
      </c>
      <c r="G138" s="13" t="s">
        <v>335</v>
      </c>
    </row>
    <row r="139" customFormat="false" ht="26.85" hidden="false" customHeight="false" outlineLevel="0" collapsed="false">
      <c r="A139" s="2" t="s">
        <v>336</v>
      </c>
      <c r="B139" s="13" t="s">
        <v>337</v>
      </c>
      <c r="C139" s="2" t="s">
        <v>45</v>
      </c>
      <c r="D139" s="15" t="n">
        <v>20</v>
      </c>
      <c r="E139" s="2" t="s">
        <v>338</v>
      </c>
      <c r="F139" s="2" t="s">
        <v>66</v>
      </c>
      <c r="G139" s="13" t="s">
        <v>339</v>
      </c>
    </row>
    <row r="140" customFormat="false" ht="15" hidden="false" customHeight="false" outlineLevel="0" collapsed="false">
      <c r="A140" s="2" t="s">
        <v>340</v>
      </c>
      <c r="B140" s="13" t="s">
        <v>341</v>
      </c>
      <c r="C140" s="2" t="s">
        <v>45</v>
      </c>
      <c r="D140" s="17" t="n">
        <v>30</v>
      </c>
      <c r="E140" s="2" t="s">
        <v>127</v>
      </c>
      <c r="F140" s="2" t="s">
        <v>66</v>
      </c>
      <c r="G140" s="13" t="s">
        <v>342</v>
      </c>
    </row>
    <row r="141" customFormat="false" ht="15" hidden="false" customHeight="false" outlineLevel="0" collapsed="false">
      <c r="A141" s="2" t="s">
        <v>343</v>
      </c>
      <c r="B141" s="13" t="s">
        <v>344</v>
      </c>
      <c r="C141" s="2" t="s">
        <v>45</v>
      </c>
      <c r="D141" s="15" t="n">
        <v>6</v>
      </c>
      <c r="E141" s="2" t="s">
        <v>345</v>
      </c>
      <c r="F141" s="2" t="s">
        <v>66</v>
      </c>
      <c r="G141" s="13" t="s">
        <v>346</v>
      </c>
    </row>
    <row r="142" customFormat="false" ht="15" hidden="false" customHeight="false" outlineLevel="0" collapsed="false">
      <c r="A142" s="2" t="s">
        <v>347</v>
      </c>
      <c r="B142" s="13" t="s">
        <v>348</v>
      </c>
      <c r="C142" s="2" t="s">
        <v>45</v>
      </c>
      <c r="D142" s="17" t="n">
        <v>400</v>
      </c>
      <c r="E142" s="2" t="s">
        <v>127</v>
      </c>
      <c r="F142" s="2" t="s">
        <v>66</v>
      </c>
      <c r="G142" s="13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  <col collapsed="false" customWidth="true" hidden="false" outlineLevel="0" max="17" min="9" style="0" width="14"/>
  </cols>
  <sheetData>
    <row r="1" customFormat="false" ht="17.35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4" customFormat="false" ht="48" hidden="false" customHeight="true" outlineLevel="0" collapsed="false">
      <c r="A4" s="12" t="s">
        <v>217</v>
      </c>
      <c r="B4" s="12" t="s">
        <v>49</v>
      </c>
      <c r="C4" s="12" t="s">
        <v>352</v>
      </c>
      <c r="D4" s="12" t="s">
        <v>353</v>
      </c>
      <c r="E4" s="12" t="s">
        <v>354</v>
      </c>
      <c r="F4" s="12" t="s">
        <v>355</v>
      </c>
      <c r="G4" s="12" t="s">
        <v>356</v>
      </c>
      <c r="H4" s="12" t="s">
        <v>357</v>
      </c>
      <c r="I4" s="12" t="s">
        <v>358</v>
      </c>
      <c r="J4" s="12" t="s">
        <v>359</v>
      </c>
      <c r="K4" s="12" t="s">
        <v>360</v>
      </c>
      <c r="L4" s="12" t="s">
        <v>361</v>
      </c>
      <c r="M4" s="12" t="s">
        <v>362</v>
      </c>
      <c r="N4" s="12" t="s">
        <v>363</v>
      </c>
      <c r="O4" s="12" t="s">
        <v>364</v>
      </c>
      <c r="P4" s="12" t="s">
        <v>365</v>
      </c>
    </row>
    <row r="5" customFormat="false" ht="15" hidden="false" customHeight="false" outlineLevel="0" collapsed="false">
      <c r="A5" s="22" t="s">
        <v>50</v>
      </c>
      <c r="B5" s="23" t="n">
        <f aca="false">Assumptions!$D$11</f>
        <v>30</v>
      </c>
      <c r="C5" s="24" t="n">
        <f aca="false">Assumptions!$D$29</f>
        <v>0.15</v>
      </c>
      <c r="D5" s="24" t="n">
        <f aca="false">Assumptions!$D$33</f>
        <v>0.55</v>
      </c>
      <c r="E5" s="24" t="n">
        <f aca="false">Assumptions!$D$37</f>
        <v>0.9</v>
      </c>
      <c r="F5" s="24" t="n">
        <f aca="false">Assumptions!$D$41</f>
        <v>0.65</v>
      </c>
      <c r="G5" s="25" t="n">
        <f aca="false">D5*E5*F5</f>
        <v>0.32175</v>
      </c>
      <c r="H5" s="25" t="n">
        <f aca="false">C5*G5</f>
        <v>0.0482625</v>
      </c>
      <c r="I5" s="26" t="n">
        <f aca="false">B5/F5</f>
        <v>46.1538461538462</v>
      </c>
      <c r="J5" s="26" t="n">
        <f aca="false">I5/E5</f>
        <v>51.2820512820513</v>
      </c>
      <c r="K5" s="26" t="n">
        <f aca="false">J5/D5</f>
        <v>93.2400932400932</v>
      </c>
      <c r="L5" s="23" t="n">
        <f aca="false">K5/C5</f>
        <v>621.600621600622</v>
      </c>
      <c r="M5" s="23" t="n">
        <f aca="false">SUMIFS(Channels!$W:$W,Channels!$C:$C,A5)</f>
        <v>600.675310800311</v>
      </c>
      <c r="N5" s="25" t="n">
        <f aca="false">IF(M5&gt;0,O5/M5,0)</f>
        <v>0.164402617295058</v>
      </c>
      <c r="O5" s="26" t="n">
        <f aca="false">SUMIFS(Channels!$V:$V,Channels!$C:$C,A5)</f>
        <v>98.7525932400932</v>
      </c>
      <c r="P5" s="25" t="n">
        <f aca="false">O5/$B$22</f>
        <v>0.306549069924901</v>
      </c>
    </row>
    <row r="6" customFormat="false" ht="15" hidden="false" customHeight="false" outlineLevel="0" collapsed="false">
      <c r="A6" s="22" t="s">
        <v>45</v>
      </c>
      <c r="B6" s="23" t="n">
        <f aca="false">Assumptions!$D$12</f>
        <v>45</v>
      </c>
      <c r="C6" s="24" t="n">
        <f aca="false">Assumptions!$D$30</f>
        <v>0.22</v>
      </c>
      <c r="D6" s="24" t="n">
        <f aca="false">Assumptions!$D$34</f>
        <v>0.6</v>
      </c>
      <c r="E6" s="24" t="n">
        <f aca="false">Assumptions!$D$38</f>
        <v>0.9</v>
      </c>
      <c r="F6" s="24" t="n">
        <f aca="false">Assumptions!$D$42</f>
        <v>0.75</v>
      </c>
      <c r="G6" s="25" t="n">
        <f aca="false">D6*E6*F6</f>
        <v>0.405</v>
      </c>
      <c r="H6" s="25" t="n">
        <f aca="false">C6*G6</f>
        <v>0.0891</v>
      </c>
      <c r="I6" s="26" t="n">
        <f aca="false">B6/F6</f>
        <v>60</v>
      </c>
      <c r="J6" s="26" t="n">
        <f aca="false">I6/E6</f>
        <v>66.6666666666667</v>
      </c>
      <c r="K6" s="26" t="n">
        <f aca="false">J6/D6</f>
        <v>111.111111111111</v>
      </c>
      <c r="L6" s="23" t="n">
        <f aca="false">K6/C6</f>
        <v>505.050505050505</v>
      </c>
      <c r="M6" s="23" t="n">
        <f aca="false">SUMIFS(Channels!$W:$W,Channels!$C:$C,A6)</f>
        <v>502.71028466483</v>
      </c>
      <c r="N6" s="25" t="n">
        <f aca="false">IF(M6&gt;0,O6/M6,0)</f>
        <v>0.207616017126631</v>
      </c>
      <c r="O6" s="26" t="n">
        <f aca="false">SUMIFS(Channels!$V:$V,Channels!$C:$C,A6)</f>
        <v>104.370707070707</v>
      </c>
      <c r="P6" s="25" t="n">
        <f aca="false">O6/$B$22</f>
        <v>0.323988891128581</v>
      </c>
    </row>
    <row r="7" customFormat="false" ht="15" hidden="false" customHeight="false" outlineLevel="0" collapsed="false">
      <c r="A7" s="22" t="s">
        <v>55</v>
      </c>
      <c r="B7" s="23" t="n">
        <f aca="false">Assumptions!$D$13</f>
        <v>15</v>
      </c>
      <c r="C7" s="24" t="n">
        <f aca="false">Assumptions!$D$31</f>
        <v>0.12</v>
      </c>
      <c r="D7" s="24" t="n">
        <f aca="false">Assumptions!$D$35</f>
        <v>0.5</v>
      </c>
      <c r="E7" s="24" t="n">
        <f aca="false">Assumptions!$D$39</f>
        <v>0.9</v>
      </c>
      <c r="F7" s="24" t="n">
        <f aca="false">Assumptions!$D$43</f>
        <v>0.65</v>
      </c>
      <c r="G7" s="25" t="n">
        <f aca="false">D7*E7*F7</f>
        <v>0.2925</v>
      </c>
      <c r="H7" s="25" t="n">
        <f aca="false">C7*G7</f>
        <v>0.0351</v>
      </c>
      <c r="I7" s="26" t="n">
        <f aca="false">B7/F7</f>
        <v>23.0769230769231</v>
      </c>
      <c r="J7" s="26" t="n">
        <f aca="false">I7/E7</f>
        <v>25.6410256410256</v>
      </c>
      <c r="K7" s="26" t="n">
        <f aca="false">J7/D7</f>
        <v>51.2820512820513</v>
      </c>
      <c r="L7" s="23" t="n">
        <f aca="false">K7/C7</f>
        <v>427.350427350427</v>
      </c>
      <c r="M7" s="23" t="n">
        <f aca="false">SUMIFS(Channels!$W:$W,Channels!$C:$C,A7)</f>
        <v>234.408205128205</v>
      </c>
      <c r="N7" s="25" t="n">
        <f aca="false">IF(M7&gt;0,O7/M7,0)</f>
        <v>0.214165076920384</v>
      </c>
      <c r="O7" s="26" t="n">
        <f aca="false">SUMIFS(Channels!$V:$V,Channels!$C:$C,A7)</f>
        <v>50.2020512820513</v>
      </c>
      <c r="P7" s="25" t="n">
        <f aca="false">O7/$B$22</f>
        <v>0.155837853203707</v>
      </c>
    </row>
    <row r="8" customFormat="false" ht="15" hidden="false" customHeight="false" outlineLevel="0" collapsed="false">
      <c r="A8" s="22" t="s">
        <v>57</v>
      </c>
      <c r="B8" s="23" t="n">
        <f aca="false">Assumptions!$D$14</f>
        <v>10</v>
      </c>
      <c r="C8" s="24" t="n">
        <f aca="false">Assumptions!$D$32</f>
        <v>0.1</v>
      </c>
      <c r="D8" s="24" t="n">
        <f aca="false">Assumptions!$D$36</f>
        <v>0.45</v>
      </c>
      <c r="E8" s="24" t="n">
        <f aca="false">Assumptions!$D$40</f>
        <v>0.85</v>
      </c>
      <c r="F8" s="24" t="n">
        <f aca="false">Assumptions!$D$44</f>
        <v>0.7</v>
      </c>
      <c r="G8" s="25" t="n">
        <f aca="false">D8*E8*F8</f>
        <v>0.26775</v>
      </c>
      <c r="H8" s="25" t="n">
        <f aca="false">C8*G8</f>
        <v>0.026775</v>
      </c>
      <c r="I8" s="26" t="n">
        <f aca="false">B8/F8</f>
        <v>14.2857142857143</v>
      </c>
      <c r="J8" s="26" t="n">
        <f aca="false">I8/E8</f>
        <v>16.8067226890756</v>
      </c>
      <c r="K8" s="26" t="n">
        <f aca="false">J8/D8</f>
        <v>37.3482726423903</v>
      </c>
      <c r="L8" s="23" t="n">
        <f aca="false">K8/C8</f>
        <v>373.482726423903</v>
      </c>
      <c r="M8" s="23" t="n">
        <f aca="false">SUMIFS(Channels!$W:$W,Channels!$C:$C,A8)</f>
        <v>206.224681434571</v>
      </c>
      <c r="N8" s="25" t="n">
        <f aca="false">IF(M8&gt;0,O8/M8,0)</f>
        <v>0.175445084428636</v>
      </c>
      <c r="O8" s="26" t="n">
        <f aca="false">SUMIFS(Channels!$V:$V,Channels!$C:$C,A8)</f>
        <v>36.1811066455568</v>
      </c>
      <c r="P8" s="25" t="n">
        <f aca="false">O8/$B$22</f>
        <v>0.1123138565494</v>
      </c>
    </row>
    <row r="9" customFormat="false" ht="15" hidden="false" customHeight="false" outlineLevel="0" collapsed="false">
      <c r="A9" s="22" t="s">
        <v>366</v>
      </c>
      <c r="B9" s="27" t="n">
        <f aca="false">SUM(B5:B8)</f>
        <v>100</v>
      </c>
      <c r="G9" s="28" t="n">
        <f aca="false">B9/O9</f>
        <v>0.345415437736626</v>
      </c>
      <c r="I9" s="29" t="n">
        <f aca="false">SUM(I5:I8)</f>
        <v>143.516483516484</v>
      </c>
      <c r="J9" s="29" t="n">
        <f aca="false">SUM(J5:J8)</f>
        <v>160.396466278819</v>
      </c>
      <c r="K9" s="29" t="n">
        <f aca="false">SUM(K5:K8)</f>
        <v>292.981528275646</v>
      </c>
      <c r="L9" s="27" t="n">
        <f aca="false">SUM(L5:L8)</f>
        <v>1927.48428042546</v>
      </c>
      <c r="M9" s="27" t="n">
        <f aca="false">SUM(M5:M8)</f>
        <v>1544.01848202792</v>
      </c>
      <c r="N9" s="28" t="n">
        <f aca="false">O9/M9</f>
        <v>0.187501938356444</v>
      </c>
      <c r="O9" s="29" t="n">
        <f aca="false">SUM(O5:O8)</f>
        <v>289.506458238408</v>
      </c>
      <c r="P9" s="28" t="n">
        <f aca="false">O9/$B$22</f>
        <v>0.898689670806589</v>
      </c>
    </row>
    <row r="10" customFormat="false" ht="15" hidden="false" customHeight="false" outlineLevel="0" collapsed="false">
      <c r="A10" s="2" t="s">
        <v>367</v>
      </c>
    </row>
    <row r="12" customFormat="false" ht="15" hidden="false" customHeight="false" outlineLevel="0" collapsed="false">
      <c r="A12" s="22" t="s">
        <v>368</v>
      </c>
    </row>
    <row r="13" customFormat="false" ht="15" hidden="false" customHeight="false" outlineLevel="0" collapsed="false">
      <c r="A13" s="2" t="s">
        <v>369</v>
      </c>
      <c r="B13" s="30" t="n">
        <f aca="false">Assumptions!$D$7+Assumptions!$D$19</f>
        <v>46317</v>
      </c>
    </row>
    <row r="14" customFormat="false" ht="15" hidden="false" customHeight="false" outlineLevel="0" collapsed="false">
      <c r="A14" s="2" t="s">
        <v>370</v>
      </c>
      <c r="B14" s="30" t="n">
        <f aca="false">Assumptions!$D$20</f>
        <v>46374</v>
      </c>
    </row>
    <row r="15" customFormat="false" ht="15" hidden="false" customHeight="false" outlineLevel="0" collapsed="false">
      <c r="A15" s="2" t="s">
        <v>371</v>
      </c>
      <c r="B15" s="23" t="n">
        <f aca="false">Assumptions!$D$22+Assumptions!$D$23+Assumptions!$D$24</f>
        <v>17</v>
      </c>
    </row>
    <row r="16" customFormat="false" ht="15" hidden="false" customHeight="false" outlineLevel="0" collapsed="false">
      <c r="A16" s="2" t="s">
        <v>372</v>
      </c>
      <c r="B16" s="23" t="n">
        <f aca="false">B15+Assumptions!$D$25</f>
        <v>24</v>
      </c>
    </row>
    <row r="17" customFormat="false" ht="15" hidden="false" customHeight="false" outlineLevel="0" collapsed="false">
      <c r="A17" s="2" t="s">
        <v>373</v>
      </c>
      <c r="B17" s="30" t="n">
        <f aca="false">B14-B15</f>
        <v>46357</v>
      </c>
    </row>
    <row r="18" customFormat="false" ht="15" hidden="false" customHeight="false" outlineLevel="0" collapsed="false">
      <c r="A18" s="2" t="s">
        <v>374</v>
      </c>
      <c r="B18" s="30" t="n">
        <f aca="false">B14-B16</f>
        <v>46350</v>
      </c>
    </row>
    <row r="19" customFormat="false" ht="15" hidden="false" customHeight="false" outlineLevel="0" collapsed="false">
      <c r="A19" s="2" t="s">
        <v>12</v>
      </c>
      <c r="B19" s="31" t="n">
        <f aca="false">B17-Assumptions!$D$21</f>
        <v>46353</v>
      </c>
    </row>
    <row r="20" customFormat="false" ht="15" hidden="false" customHeight="false" outlineLevel="0" collapsed="false">
      <c r="A20" s="2" t="s">
        <v>13</v>
      </c>
      <c r="B20" s="30" t="n">
        <f aca="false">B18-Assumptions!$D$21</f>
        <v>46346</v>
      </c>
    </row>
    <row r="21" customFormat="false" ht="15" hidden="false" customHeight="false" outlineLevel="0" collapsed="false">
      <c r="A21" s="2" t="s">
        <v>375</v>
      </c>
      <c r="B21" s="23" t="n">
        <f aca="false">B17-B13+1</f>
        <v>41</v>
      </c>
    </row>
    <row r="22" customFormat="false" ht="15" hidden="false" customHeight="false" outlineLevel="0" collapsed="false">
      <c r="A22" s="2" t="s">
        <v>376</v>
      </c>
      <c r="B22" s="32" t="n">
        <f aca="false">Assumptions!$D$9*B21/7</f>
        <v>322.142857142857</v>
      </c>
    </row>
    <row r="23" customFormat="false" ht="15" hidden="false" customHeight="false" outlineLevel="0" collapsed="false">
      <c r="A23" s="2" t="s">
        <v>377</v>
      </c>
      <c r="B23" s="23" t="n">
        <f aca="false">O9</f>
        <v>289.506458238408</v>
      </c>
    </row>
    <row r="24" customFormat="false" ht="15" hidden="false" customHeight="false" outlineLevel="0" collapsed="false">
      <c r="A24" s="2" t="s">
        <v>11</v>
      </c>
      <c r="B24" s="33" t="n">
        <f aca="false">B23/B22</f>
        <v>0.898689670806589</v>
      </c>
      <c r="C24" s="22" t="str">
        <f aca="false">IF(B24&gt;1,"OVER CAPACITY – plan cannot be assessed",IF(B24&gt;0.85,"Tight: &lt;15% headroom","OK"))</f>
        <v>Tight: &lt;15% headroom</v>
      </c>
    </row>
    <row r="25" customFormat="false" ht="15" hidden="false" customHeight="false" outlineLevel="0" collapsed="false">
      <c r="A25" s="2" t="s">
        <v>378</v>
      </c>
      <c r="B25" s="25" t="n">
        <f aca="false">B9/O9</f>
        <v>0.345415437736626</v>
      </c>
    </row>
    <row r="26" customFormat="false" ht="15" hidden="false" customHeight="false" outlineLevel="0" collapsed="false">
      <c r="A26" s="2" t="s">
        <v>379</v>
      </c>
      <c r="B26" s="32" t="n">
        <f aca="false">B22*B25</f>
        <v>111.273116013727</v>
      </c>
      <c r="C26" s="2" t="s">
        <v>380</v>
      </c>
    </row>
    <row r="28" customFormat="false" ht="15" hidden="false" customHeight="false" outlineLevel="0" collapsed="false">
      <c r="A28" s="22" t="s">
        <v>381</v>
      </c>
    </row>
    <row r="29" customFormat="false" ht="60" hidden="false" customHeight="true" outlineLevel="0" collapsed="false">
      <c r="A29" s="12" t="s">
        <v>217</v>
      </c>
      <c r="B29" s="12" t="s">
        <v>49</v>
      </c>
      <c r="C29" s="12" t="s">
        <v>382</v>
      </c>
      <c r="D29" s="12" t="s">
        <v>383</v>
      </c>
      <c r="E29" s="12" t="s">
        <v>384</v>
      </c>
      <c r="F29" s="12" t="s">
        <v>385</v>
      </c>
      <c r="G29" s="12" t="s">
        <v>386</v>
      </c>
      <c r="H29" s="12" t="s">
        <v>387</v>
      </c>
      <c r="I29" s="12" t="s">
        <v>388</v>
      </c>
      <c r="J29" s="12" t="s">
        <v>389</v>
      </c>
    </row>
    <row r="30" customFormat="false" ht="15" hidden="false" customHeight="false" outlineLevel="0" collapsed="false">
      <c r="A30" s="22" t="s">
        <v>50</v>
      </c>
      <c r="B30" s="23" t="n">
        <f aca="false">B5</f>
        <v>30</v>
      </c>
      <c r="C30" s="26" t="n">
        <f aca="false">O5</f>
        <v>98.7525932400932</v>
      </c>
      <c r="D30" s="26" t="n">
        <f aca="false">SUMIFS(Channels!$N:$N,Channels!$C:$C,A30)</f>
        <v>56.060915625</v>
      </c>
      <c r="E30" s="34" t="n">
        <f aca="false">D30/B30</f>
        <v>1.8686971875</v>
      </c>
      <c r="F30" s="23" t="n">
        <f aca="false">Pool!F5</f>
        <v>570</v>
      </c>
      <c r="G30" s="25" t="n">
        <f aca="false">C30/F30</f>
        <v>0.173250163579111</v>
      </c>
      <c r="H30" s="35" t="n">
        <f aca="false">_xlfn.MAXIFS(Channels!$P:$P,Channels!$C:$C,A30,Channels!$U:$U,"&gt;0")</f>
        <v>1000.777000777</v>
      </c>
      <c r="I30" s="2" t="s">
        <v>390</v>
      </c>
      <c r="J30" s="2" t="s">
        <v>391</v>
      </c>
    </row>
    <row r="31" customFormat="false" ht="15" hidden="false" customHeight="false" outlineLevel="0" collapsed="false">
      <c r="A31" s="22" t="s">
        <v>45</v>
      </c>
      <c r="B31" s="23" t="n">
        <f aca="false">B6</f>
        <v>45</v>
      </c>
      <c r="C31" s="26" t="n">
        <f aca="false">O6</f>
        <v>104.370707070707</v>
      </c>
      <c r="D31" s="26" t="n">
        <f aca="false">SUMIFS(Channels!$N:$N,Channels!$C:$C,A31)</f>
        <v>145.767375</v>
      </c>
      <c r="E31" s="34" t="n">
        <f aca="false">D31/B31</f>
        <v>3.239275</v>
      </c>
      <c r="F31" s="23" t="n">
        <f aca="false">Pool!F6</f>
        <v>1920</v>
      </c>
      <c r="G31" s="25" t="n">
        <f aca="false">C31/F31</f>
        <v>0.0543597432659933</v>
      </c>
      <c r="H31" s="35" t="n">
        <f aca="false">_xlfn.MAXIFS(Channels!$P:$P,Channels!$C:$C,A31,Channels!$U:$U,"&gt;0")</f>
        <v>246.913580246914</v>
      </c>
      <c r="I31" s="2" t="s">
        <v>392</v>
      </c>
      <c r="J31" s="2" t="s">
        <v>393</v>
      </c>
    </row>
    <row r="32" customFormat="false" ht="15" hidden="false" customHeight="false" outlineLevel="0" collapsed="false">
      <c r="A32" s="22" t="s">
        <v>55</v>
      </c>
      <c r="B32" s="23" t="n">
        <f aca="false">B7</f>
        <v>15</v>
      </c>
      <c r="C32" s="26" t="n">
        <f aca="false">O7</f>
        <v>50.2020512820513</v>
      </c>
      <c r="D32" s="26" t="n">
        <f aca="false">SUMIFS(Channels!$N:$N,Channels!$C:$C,A32)</f>
        <v>29.9680875</v>
      </c>
      <c r="E32" s="34" t="n">
        <f aca="false">D32/B32</f>
        <v>1.9978725</v>
      </c>
      <c r="F32" s="23" t="n">
        <f aca="false">Pool!F7</f>
        <v>550</v>
      </c>
      <c r="G32" s="25" t="n">
        <f aca="false">C32/F32</f>
        <v>0.0912764568764569</v>
      </c>
      <c r="H32" s="35" t="n">
        <f aca="false">_xlfn.MAXIFS(Channels!$P:$P,Channels!$C:$C,A32,Channels!$U:$U,"&gt;0")</f>
        <v>598.290598290598</v>
      </c>
      <c r="I32" s="2" t="s">
        <v>390</v>
      </c>
      <c r="J32" s="2" t="s">
        <v>393</v>
      </c>
    </row>
    <row r="33" customFormat="false" ht="15" hidden="false" customHeight="false" outlineLevel="0" collapsed="false">
      <c r="A33" s="22" t="s">
        <v>57</v>
      </c>
      <c r="B33" s="23" t="n">
        <f aca="false">B8</f>
        <v>10</v>
      </c>
      <c r="C33" s="26" t="n">
        <f aca="false">O8</f>
        <v>36.1811066455568</v>
      </c>
      <c r="D33" s="26" t="n">
        <f aca="false">SUMIFS(Channels!$N:$N,Channels!$C:$C,A33)</f>
        <v>17.55369</v>
      </c>
      <c r="E33" s="34" t="n">
        <f aca="false">D33/B33</f>
        <v>1.755369</v>
      </c>
      <c r="F33" s="23" t="n">
        <f aca="false">Pool!F8</f>
        <v>220</v>
      </c>
      <c r="G33" s="25" t="n">
        <f aca="false">C33/F33</f>
        <v>0.164459575661622</v>
      </c>
      <c r="H33" s="35" t="n">
        <f aca="false">_xlfn.MAXIFS(Channels!$P:$P,Channels!$C:$C,A33,Channels!$U:$U,"&gt;0")</f>
        <v>1000</v>
      </c>
      <c r="I33" s="2" t="s">
        <v>390</v>
      </c>
      <c r="J33" s="2" t="s">
        <v>393</v>
      </c>
    </row>
    <row r="35" customFormat="false" ht="30" hidden="false" customHeight="true" outlineLevel="0" collapsed="false">
      <c r="A35" s="9" t="s">
        <v>394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2" t="s">
        <v>395</v>
      </c>
    </row>
    <row r="40" customFormat="false" ht="15" hidden="false" customHeight="false" outlineLevel="0" collapsed="false">
      <c r="A40" s="2" t="s">
        <v>396</v>
      </c>
      <c r="B40" s="24" t="n">
        <f aca="false">Assumptions!$D$62</f>
        <v>0.3</v>
      </c>
    </row>
    <row r="41" customFormat="false" ht="45" hidden="false" customHeight="true" outlineLevel="0" collapsed="false">
      <c r="A41" s="12" t="s">
        <v>397</v>
      </c>
      <c r="B41" s="12" t="s">
        <v>398</v>
      </c>
      <c r="C41" s="12" t="s">
        <v>11</v>
      </c>
      <c r="D41" s="12" t="s">
        <v>399</v>
      </c>
      <c r="E41" s="12" t="s">
        <v>400</v>
      </c>
      <c r="F41" s="12" t="s">
        <v>401</v>
      </c>
      <c r="G41" s="12" t="s">
        <v>402</v>
      </c>
      <c r="H41" s="12" t="s">
        <v>403</v>
      </c>
    </row>
    <row r="42" customFormat="false" ht="30" hidden="false" customHeight="true" outlineLevel="0" collapsed="false">
      <c r="A42" s="13" t="s">
        <v>404</v>
      </c>
      <c r="B42" s="23" t="n">
        <f aca="false">O9</f>
        <v>289.506458238408</v>
      </c>
      <c r="C42" s="24" t="n">
        <f aca="false">B42/$B$22</f>
        <v>0.898689670806589</v>
      </c>
      <c r="D42" s="32" t="n">
        <f aca="false">MIN($B$9,$B$22/B42*$B$9,MIN(B5,D30*1)+MIN(B6,D31*1)+MIN(B7,D32*1)+MIN(B8,D33*1))</f>
        <v>100</v>
      </c>
      <c r="E42" s="23" t="n">
        <f aca="false">$B$9-D42</f>
        <v>0</v>
      </c>
      <c r="F42" s="35" t="n">
        <f aca="false">Budget!$C$7*1</f>
        <v>39686.5858724798</v>
      </c>
      <c r="G42" s="24" t="n">
        <f aca="false">F42/Budget!$C$7-1</f>
        <v>0</v>
      </c>
      <c r="H42" s="13" t="s">
        <v>405</v>
      </c>
    </row>
    <row r="43" customFormat="false" ht="30" hidden="false" customHeight="true" outlineLevel="0" collapsed="false">
      <c r="A43" s="13" t="s">
        <v>406</v>
      </c>
      <c r="B43" s="23" t="n">
        <f aca="false">O9/(1-$B$40)</f>
        <v>413.580654626298</v>
      </c>
      <c r="C43" s="24" t="n">
        <f aca="false">B43/$B$22</f>
        <v>1.28384238686656</v>
      </c>
      <c r="D43" s="32" t="n">
        <f aca="false">MIN($B$9,$B$22/B43*$B$9,MIN(B5,D30*(1-$B$40))+MIN(B6,D31*(1-$B$40))+MIN(B7,D32*(1-$B$40))+MIN(B8,D33*(1-$B$40)))</f>
        <v>77.8911812096091</v>
      </c>
      <c r="E43" s="23" t="n">
        <f aca="false">$B$9-D43</f>
        <v>22.1088187903909</v>
      </c>
      <c r="F43" s="35" t="n">
        <f aca="false">Budget!$C$7*1/(1-$B$40)</f>
        <v>56695.1226749711</v>
      </c>
      <c r="G43" s="24" t="n">
        <f aca="false">F43/Budget!$C$7-1</f>
        <v>0.428571428571429</v>
      </c>
      <c r="H43" s="13" t="s">
        <v>407</v>
      </c>
    </row>
    <row r="44" customFormat="false" ht="30" hidden="false" customHeight="true" outlineLevel="0" collapsed="false">
      <c r="A44" s="13" t="s">
        <v>408</v>
      </c>
      <c r="B44" s="23" t="n">
        <f aca="false">O9/(1-$B$40)</f>
        <v>413.580654626298</v>
      </c>
      <c r="C44" s="24" t="n">
        <f aca="false">B44/$B$22</f>
        <v>1.28384238686656</v>
      </c>
      <c r="D44" s="32" t="n">
        <f aca="false">MIN($B$9,$B$22/B44*$B$9,MIN(B5,D30*(1-$B$40))+MIN(B6,D31*(1-$B$40))+MIN(B7,D32*(1-$B$40))+MIN(B8,D33*(1-$B$40)))</f>
        <v>77.8911812096091</v>
      </c>
      <c r="E44" s="23" t="n">
        <f aca="false">$B$9-D44</f>
        <v>22.1088187903909</v>
      </c>
      <c r="F44" s="35" t="n">
        <f aca="false">Budget!$C$7*1/(1-$B$40)</f>
        <v>56695.1226749711</v>
      </c>
      <c r="G44" s="24" t="n">
        <f aca="false">F44/Budget!$C$7-1</f>
        <v>0.428571428571429</v>
      </c>
      <c r="H44" s="13" t="s">
        <v>409</v>
      </c>
    </row>
    <row r="45" customFormat="false" ht="30" hidden="false" customHeight="true" outlineLevel="0" collapsed="false">
      <c r="A45" s="13" t="s">
        <v>410</v>
      </c>
      <c r="B45" s="23" t="n">
        <f aca="false">O9</f>
        <v>289.506458238408</v>
      </c>
      <c r="C45" s="24" t="n">
        <f aca="false">B45/$B$22</f>
        <v>0.898689670806589</v>
      </c>
      <c r="D45" s="32" t="n">
        <f aca="false">MIN($B$9,$B$22/B45*$B$9,MIN(B5,D30*(1-$B$40))+MIN(B6,D31*(1-$B$40))+MIN(B7,D32*(1-$B$40))+MIN(B8,D33*(1-$B$40)))</f>
        <v>100</v>
      </c>
      <c r="E45" s="23" t="n">
        <f aca="false">$B$9-D45</f>
        <v>0</v>
      </c>
      <c r="F45" s="35" t="n">
        <f aca="false">Budget!$C$7*1/(1-$B$40)</f>
        <v>56695.1226749711</v>
      </c>
      <c r="G45" s="24" t="n">
        <f aca="false">F45/Budget!$C$7-1</f>
        <v>0.428571428571429</v>
      </c>
      <c r="H45" s="13" t="s">
        <v>411</v>
      </c>
    </row>
    <row r="46" customFormat="false" ht="30" hidden="false" customHeight="true" outlineLevel="0" collapsed="false">
      <c r="A46" s="13" t="s">
        <v>412</v>
      </c>
      <c r="B46" s="23" t="n">
        <f aca="false">O9</f>
        <v>289.506458238408</v>
      </c>
      <c r="C46" s="24" t="n">
        <f aca="false">B46/$B$22</f>
        <v>0.898689670806589</v>
      </c>
      <c r="D46" s="32" t="n">
        <f aca="false">MIN($B$9,$B$22/B46*$B$9,MIN(B5,D30*1)+MIN(B6,D31*1)+MIN(B7,D32*1)+MIN(B8,D33*1))</f>
        <v>100</v>
      </c>
      <c r="E46" s="23" t="n">
        <f aca="false">$B$9-D46</f>
        <v>0</v>
      </c>
      <c r="F46" s="35" t="n">
        <f aca="false">Budget!$C$7*(1+$B$40)</f>
        <v>51592.5616342237</v>
      </c>
      <c r="G46" s="24" t="n">
        <f aca="false">F46/Budget!$C$7-1</f>
        <v>0.3</v>
      </c>
      <c r="H46" s="13" t="s">
        <v>413</v>
      </c>
    </row>
    <row r="47" customFormat="false" ht="30" hidden="false" customHeight="true" outlineLevel="0" collapsed="false">
      <c r="A47" s="13" t="s">
        <v>414</v>
      </c>
      <c r="B47" s="23" t="n">
        <f aca="false">O9</f>
        <v>289.506458238408</v>
      </c>
      <c r="C47" s="24" t="n">
        <f aca="false">B47/$B$22*(1-$B$40)</f>
        <v>0.629082769564612</v>
      </c>
      <c r="D47" s="32" t="n">
        <f aca="false">MIN($B$9,$B$22*(1-$B$40)/B47*$B$9,MIN(B5,D30*1)+MIN(B6,D31*1)+MIN(B7,D32*1)+MIN(B8,D33*1))</f>
        <v>77.8911812096091</v>
      </c>
      <c r="E47" s="23" t="n">
        <f aca="false">$B$9-D47</f>
        <v>22.1088187903909</v>
      </c>
      <c r="F47" s="35" t="n">
        <f aca="false">Budget!$C$7*1</f>
        <v>39686.5858724798</v>
      </c>
      <c r="G47" s="24" t="n">
        <f aca="false">F47/Budget!$C$7-1</f>
        <v>0</v>
      </c>
      <c r="H47" s="13" t="s">
        <v>415</v>
      </c>
    </row>
    <row r="49" customFormat="false" ht="15" hidden="false" customHeight="false" outlineLevel="0" collapsed="false">
      <c r="A49" s="22" t="s">
        <v>416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417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</sheetData>
  <mergeCells count="2">
    <mergeCell ref="A35:J37"/>
    <mergeCell ref="A50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7.35" hidden="false" customHeight="false" outlineLevel="0" collapsed="false">
      <c r="A1" s="1" t="s">
        <v>418</v>
      </c>
    </row>
    <row r="4" customFormat="false" ht="45" hidden="false" customHeight="true" outlineLevel="0" collapsed="false">
      <c r="A4" s="12" t="s">
        <v>217</v>
      </c>
      <c r="B4" s="12" t="s">
        <v>419</v>
      </c>
      <c r="C4" s="12" t="s">
        <v>420</v>
      </c>
      <c r="D4" s="12" t="s">
        <v>421</v>
      </c>
      <c r="E4" s="12" t="s">
        <v>422</v>
      </c>
      <c r="F4" s="12" t="s">
        <v>423</v>
      </c>
      <c r="G4" s="12" t="s">
        <v>377</v>
      </c>
      <c r="H4" s="12" t="s">
        <v>424</v>
      </c>
      <c r="I4" s="12" t="s">
        <v>425</v>
      </c>
      <c r="J4" s="12" t="s">
        <v>426</v>
      </c>
      <c r="K4" s="12" t="s">
        <v>427</v>
      </c>
    </row>
    <row r="5" customFormat="false" ht="15" hidden="false" customHeight="false" outlineLevel="0" collapsed="false">
      <c r="A5" s="22" t="s">
        <v>50</v>
      </c>
      <c r="B5" s="23" t="n">
        <f aca="false">Assumptions!$D$66</f>
        <v>7000</v>
      </c>
      <c r="C5" s="24" t="n">
        <f aca="false">Assumptions!$D$70</f>
        <v>0.06</v>
      </c>
      <c r="D5" s="23" t="n">
        <f aca="false">B5*C5</f>
        <v>420</v>
      </c>
      <c r="E5" s="23" t="n">
        <f aca="false">Assumptions!$D$74</f>
        <v>150</v>
      </c>
      <c r="F5" s="23" t="n">
        <f aca="false">D5+E5</f>
        <v>570</v>
      </c>
      <c r="G5" s="23" t="n">
        <f aca="false">Funnel!O5</f>
        <v>98.7525932400932</v>
      </c>
      <c r="H5" s="24" t="n">
        <f aca="false">G5/F5</f>
        <v>0.173250163579111</v>
      </c>
      <c r="I5" s="23" t="n">
        <f aca="false">SUMIFS(Channels!$K:$K,Channels!$C:$C,A5)</f>
        <v>179.75</v>
      </c>
      <c r="J5" s="24" t="n">
        <f aca="false">I5/F5</f>
        <v>0.315350877192982</v>
      </c>
      <c r="K5" s="2" t="str">
        <f aca="false">IF(H5&gt;0.25,"Plan needs &gt;25% of everyone reachable – very hard",IF(H5&gt;0.12,"Tight","Comfortable"))</f>
        <v>Tight</v>
      </c>
    </row>
    <row r="6" customFormat="false" ht="15" hidden="false" customHeight="false" outlineLevel="0" collapsed="false">
      <c r="A6" s="22" t="s">
        <v>45</v>
      </c>
      <c r="B6" s="23" t="n">
        <f aca="false">Assumptions!$D$67</f>
        <v>27000</v>
      </c>
      <c r="C6" s="24" t="n">
        <f aca="false">Assumptions!$D$71</f>
        <v>0.06</v>
      </c>
      <c r="D6" s="23" t="n">
        <f aca="false">B6*C6</f>
        <v>1620</v>
      </c>
      <c r="E6" s="23" t="n">
        <f aca="false">Assumptions!$D$75</f>
        <v>300</v>
      </c>
      <c r="F6" s="23" t="n">
        <f aca="false">D6+E6</f>
        <v>1920</v>
      </c>
      <c r="G6" s="23" t="n">
        <f aca="false">Funnel!O6</f>
        <v>104.370707070707</v>
      </c>
      <c r="H6" s="24" t="n">
        <f aca="false">G6/F6</f>
        <v>0.0543597432659933</v>
      </c>
      <c r="I6" s="23" t="n">
        <f aca="false">SUMIFS(Channels!$K:$K,Channels!$C:$C,A6)</f>
        <v>409.75</v>
      </c>
      <c r="J6" s="24" t="n">
        <f aca="false">I6/F6</f>
        <v>0.213411458333333</v>
      </c>
      <c r="K6" s="2" t="str">
        <f aca="false">IF(H6&gt;0.25,"Plan needs &gt;25% of everyone reachable – very hard",IF(H6&gt;0.12,"Tight","Comfortable"))</f>
        <v>Comfortable</v>
      </c>
    </row>
    <row r="7" customFormat="false" ht="15" hidden="false" customHeight="false" outlineLevel="0" collapsed="false">
      <c r="A7" s="22" t="s">
        <v>55</v>
      </c>
      <c r="B7" s="23" t="n">
        <f aca="false">Assumptions!$D$68</f>
        <v>2500</v>
      </c>
      <c r="C7" s="24" t="n">
        <f aca="false">Assumptions!$D$72</f>
        <v>0.06</v>
      </c>
      <c r="D7" s="23" t="n">
        <f aca="false">B7*C7</f>
        <v>150</v>
      </c>
      <c r="E7" s="23" t="n">
        <f aca="false">Assumptions!$D$76</f>
        <v>400</v>
      </c>
      <c r="F7" s="23" t="n">
        <f aca="false">D7+E7</f>
        <v>550</v>
      </c>
      <c r="G7" s="23" t="n">
        <f aca="false">Funnel!O7</f>
        <v>50.2020512820513</v>
      </c>
      <c r="H7" s="24" t="n">
        <f aca="false">G7/F7</f>
        <v>0.0912764568764569</v>
      </c>
      <c r="I7" s="23" t="n">
        <f aca="false">SUMIFS(Channels!$K:$K,Channels!$C:$C,A7)</f>
        <v>100.7</v>
      </c>
      <c r="J7" s="24" t="n">
        <f aca="false">I7/F7</f>
        <v>0.183090909090909</v>
      </c>
      <c r="K7" s="2" t="str">
        <f aca="false">IF(H7&gt;0.25,"Plan needs &gt;25% of everyone reachable – very hard",IF(H7&gt;0.12,"Tight","Comfortable"))</f>
        <v>Comfortable</v>
      </c>
    </row>
    <row r="8" customFormat="false" ht="15" hidden="false" customHeight="false" outlineLevel="0" collapsed="false">
      <c r="A8" s="22" t="s">
        <v>57</v>
      </c>
      <c r="B8" s="23" t="n">
        <f aca="false">Assumptions!$D$69</f>
        <v>2000</v>
      </c>
      <c r="C8" s="24" t="n">
        <f aca="false">Assumptions!$D$73</f>
        <v>0.06</v>
      </c>
      <c r="D8" s="23" t="n">
        <f aca="false">B8*C8</f>
        <v>120</v>
      </c>
      <c r="E8" s="23" t="n">
        <f aca="false">Assumptions!$D$77</f>
        <v>100</v>
      </c>
      <c r="F8" s="23" t="n">
        <f aca="false">D8+E8</f>
        <v>220</v>
      </c>
      <c r="G8" s="23" t="n">
        <f aca="false">Funnel!O8</f>
        <v>36.1811066455568</v>
      </c>
      <c r="H8" s="24" t="n">
        <f aca="false">G8/F8</f>
        <v>0.164459575661622</v>
      </c>
      <c r="I8" s="23" t="n">
        <f aca="false">SUMIFS(Channels!$K:$K,Channels!$C:$C,A8)</f>
        <v>64.3</v>
      </c>
      <c r="J8" s="24" t="n">
        <f aca="false">I8/F8</f>
        <v>0.292272727272727</v>
      </c>
      <c r="K8" s="2" t="str">
        <f aca="false">IF(H8&gt;0.25,"Plan needs &gt;25% of everyone reachable – very hard",IF(H8&gt;0.12,"Tight","Comfortable"))</f>
        <v>Tight</v>
      </c>
    </row>
    <row r="10" customFormat="false" ht="15" hidden="false" customHeight="true" outlineLevel="0" collapsed="false">
      <c r="A10" s="9" t="s">
        <v>428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</sheetData>
  <mergeCells count="1">
    <mergeCell ref="A10:K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429</v>
      </c>
    </row>
    <row r="3" customFormat="false" ht="15" hidden="false" customHeight="false" outlineLevel="0" collapsed="false">
      <c r="A3" s="22" t="s">
        <v>430</v>
      </c>
    </row>
    <row r="4" customFormat="false" ht="15" hidden="false" customHeight="false" outlineLevel="0" collapsed="false">
      <c r="A4" s="12" t="s">
        <v>431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366</v>
      </c>
    </row>
    <row r="5" customFormat="false" ht="15" hidden="false" customHeight="false" outlineLevel="0" collapsed="false">
      <c r="A5" s="2" t="s">
        <v>432</v>
      </c>
      <c r="B5" s="23" t="n">
        <f aca="false">Assumptions!$D$115</f>
        <v>200</v>
      </c>
      <c r="C5" s="23" t="n">
        <f aca="false">Assumptions!$D$116</f>
        <v>300</v>
      </c>
      <c r="D5" s="23" t="n">
        <f aca="false">Assumptions!$D$117</f>
        <v>120</v>
      </c>
      <c r="E5" s="23" t="n">
        <f aca="false">Assumptions!$D$118</f>
        <v>80</v>
      </c>
      <c r="F5" s="27" t="n">
        <f aca="false">SUM(B5:E5)</f>
        <v>700</v>
      </c>
    </row>
    <row r="6" customFormat="false" ht="15" hidden="false" customHeight="false" outlineLevel="0" collapsed="false">
      <c r="A6" s="2" t="s">
        <v>433</v>
      </c>
      <c r="B6" s="24" t="n">
        <f aca="false">Assumptions!$D$119</f>
        <v>0.12</v>
      </c>
      <c r="C6" s="24" t="n">
        <f aca="false">Assumptions!$D$119</f>
        <v>0.12</v>
      </c>
      <c r="D6" s="24" t="n">
        <f aca="false">Assumptions!$D$119</f>
        <v>0.12</v>
      </c>
      <c r="E6" s="24" t="n">
        <f aca="false">Assumptions!$D$119</f>
        <v>0.12</v>
      </c>
    </row>
    <row r="7" customFormat="false" ht="15" hidden="false" customHeight="false" outlineLevel="0" collapsed="false">
      <c r="A7" s="2" t="s">
        <v>434</v>
      </c>
      <c r="B7" s="26" t="n">
        <f aca="false">B5*B6</f>
        <v>24</v>
      </c>
      <c r="C7" s="26" t="n">
        <f aca="false">C5*C6</f>
        <v>36</v>
      </c>
      <c r="D7" s="26" t="n">
        <f aca="false">D5*D6</f>
        <v>14.4</v>
      </c>
      <c r="E7" s="26" t="n">
        <f aca="false">E5*E6</f>
        <v>9.6</v>
      </c>
      <c r="F7" s="29" t="n">
        <f aca="false">SUM(B7:E7)</f>
        <v>84</v>
      </c>
    </row>
    <row r="8" customFormat="false" ht="15" hidden="false" customHeight="false" outlineLevel="0" collapsed="false">
      <c r="A8" s="2" t="s">
        <v>435</v>
      </c>
      <c r="B8" s="24" t="n">
        <f aca="false">Assumptions!$D$120</f>
        <v>0.5</v>
      </c>
      <c r="C8" s="24" t="n">
        <f aca="false">Assumptions!$D$120</f>
        <v>0.5</v>
      </c>
      <c r="D8" s="24" t="n">
        <f aca="false">Assumptions!$D$120</f>
        <v>0.5</v>
      </c>
      <c r="E8" s="24" t="n">
        <f aca="false">Assumptions!$D$120</f>
        <v>0.5</v>
      </c>
    </row>
    <row r="9" customFormat="false" ht="15" hidden="false" customHeight="false" outlineLevel="0" collapsed="false">
      <c r="A9" s="2" t="s">
        <v>436</v>
      </c>
      <c r="B9" s="25" t="n">
        <f aca="false">Funnel!$G$5*Assumptions!$D$128</f>
        <v>0.3700125</v>
      </c>
      <c r="C9" s="25" t="n">
        <f aca="false">Funnel!$G$6*Assumptions!$D$128</f>
        <v>0.46575</v>
      </c>
      <c r="D9" s="25" t="n">
        <f aca="false">Funnel!$G$7*Assumptions!$D$128</f>
        <v>0.336375</v>
      </c>
      <c r="E9" s="25" t="n">
        <f aca="false">Funnel!$G$8*Assumptions!$D$128</f>
        <v>0.3079125</v>
      </c>
    </row>
    <row r="10" customFormat="false" ht="15" hidden="false" customHeight="false" outlineLevel="0" collapsed="false">
      <c r="A10" s="2" t="s">
        <v>437</v>
      </c>
      <c r="B10" s="35" t="n">
        <f aca="false">B5*Assumptions!$D$126</f>
        <v>100</v>
      </c>
      <c r="C10" s="35" t="n">
        <f aca="false">C5*Assumptions!$D$126</f>
        <v>150</v>
      </c>
      <c r="D10" s="35" t="n">
        <f aca="false">D5*Assumptions!$D$126</f>
        <v>60</v>
      </c>
      <c r="E10" s="35" t="n">
        <f aca="false">E5*Assumptions!$D$126</f>
        <v>40</v>
      </c>
      <c r="F10" s="36" t="n">
        <f aca="false">SUM(B10:E10)</f>
        <v>350</v>
      </c>
    </row>
    <row r="11" customFormat="false" ht="26.85" hidden="false" customHeight="false" outlineLevel="0" collapsed="false">
      <c r="A11" s="2" t="s">
        <v>438</v>
      </c>
      <c r="B11" s="37" t="n">
        <f aca="false">B10/B7</f>
        <v>4.16666666666667</v>
      </c>
      <c r="C11" s="37" t="n">
        <f aca="false">C10/C7</f>
        <v>4.16666666666667</v>
      </c>
      <c r="D11" s="37" t="n">
        <f aca="false">D10/D7</f>
        <v>4.16666666666667</v>
      </c>
      <c r="E11" s="37" t="n">
        <f aca="false">E10/E7</f>
        <v>4.16666666666667</v>
      </c>
      <c r="G11" s="13" t="s">
        <v>439</v>
      </c>
    </row>
    <row r="12" customFormat="false" ht="15" hidden="false" customHeight="false" outlineLevel="0" collapsed="false">
      <c r="A12" s="2" t="s">
        <v>440</v>
      </c>
      <c r="B12" s="26" t="n">
        <f aca="false">B7*B8*B9</f>
        <v>4.44015</v>
      </c>
      <c r="C12" s="26" t="n">
        <f aca="false">C7*C8*C9</f>
        <v>8.3835</v>
      </c>
      <c r="D12" s="26" t="n">
        <f aca="false">D7*D8*D9</f>
        <v>2.4219</v>
      </c>
      <c r="E12" s="26" t="n">
        <f aca="false">E7*E8*E9</f>
        <v>1.47798</v>
      </c>
      <c r="F12" s="29" t="n">
        <f aca="false">SUM(B12:E12)</f>
        <v>16.72353</v>
      </c>
    </row>
    <row r="13" customFormat="false" ht="15" hidden="false" customHeight="false" outlineLevel="0" collapsed="false">
      <c r="A13" s="2" t="s">
        <v>441</v>
      </c>
      <c r="B13" s="26" t="n">
        <f aca="false">Assumptions!$D$121</f>
        <v>25</v>
      </c>
      <c r="C13" s="26" t="n">
        <f aca="false">Assumptions!$D$122</f>
        <v>30</v>
      </c>
      <c r="D13" s="26" t="n">
        <f aca="false">Assumptions!$D$123</f>
        <v>10</v>
      </c>
      <c r="E13" s="26" t="n">
        <f aca="false">Assumptions!$D$124</f>
        <v>8</v>
      </c>
      <c r="F13" s="29" t="n">
        <f aca="false">SUM(B13:E13)</f>
        <v>73</v>
      </c>
    </row>
    <row r="14" customFormat="false" ht="15" hidden="false" customHeight="false" outlineLevel="0" collapsed="false">
      <c r="A14" s="2" t="s">
        <v>442</v>
      </c>
      <c r="B14" s="24" t="n">
        <f aca="false">Assumptions!$D$125</f>
        <v>0.45</v>
      </c>
      <c r="C14" s="24" t="n">
        <f aca="false">Assumptions!$D$125</f>
        <v>0.45</v>
      </c>
      <c r="D14" s="24" t="n">
        <f aca="false">Assumptions!$D$125</f>
        <v>0.45</v>
      </c>
      <c r="E14" s="24" t="n">
        <f aca="false">Assumptions!$D$125</f>
        <v>0.45</v>
      </c>
    </row>
    <row r="15" customFormat="false" ht="15" hidden="false" customHeight="false" outlineLevel="0" collapsed="false">
      <c r="A15" s="2" t="s">
        <v>443</v>
      </c>
      <c r="B15" s="26" t="n">
        <f aca="false">B13*B14*B9</f>
        <v>4.162640625</v>
      </c>
      <c r="C15" s="26" t="n">
        <f aca="false">C13*C14*C9</f>
        <v>6.287625</v>
      </c>
      <c r="D15" s="26" t="n">
        <f aca="false">D13*D14*D9</f>
        <v>1.5136875</v>
      </c>
      <c r="E15" s="26" t="n">
        <f aca="false">E13*E14*E9</f>
        <v>1.108485</v>
      </c>
      <c r="F15" s="29" t="n">
        <f aca="false">SUM(B15:E15)</f>
        <v>13.072438125</v>
      </c>
    </row>
    <row r="16" customFormat="false" ht="15" hidden="false" customHeight="false" outlineLevel="0" collapsed="false">
      <c r="A16" s="2" t="s">
        <v>444</v>
      </c>
      <c r="B16" s="35" t="n">
        <f aca="false">B15*Assumptions!$D$127</f>
        <v>4162.640625</v>
      </c>
      <c r="C16" s="35" t="n">
        <f aca="false">C15*Assumptions!$D$127</f>
        <v>6287.625</v>
      </c>
      <c r="D16" s="35" t="n">
        <f aca="false">D15*Assumptions!$D$127</f>
        <v>1513.6875</v>
      </c>
      <c r="E16" s="35" t="n">
        <f aca="false">E15*Assumptions!$D$127</f>
        <v>1108.485</v>
      </c>
      <c r="F16" s="36" t="n">
        <f aca="false">SUM(B16:E16)</f>
        <v>13072.438125</v>
      </c>
    </row>
    <row r="17" customFormat="false" ht="26.85" hidden="false" customHeight="false" outlineLevel="0" collapsed="false">
      <c r="A17" s="2" t="s">
        <v>445</v>
      </c>
      <c r="B17" s="37" t="n">
        <f aca="false">B16/B13</f>
        <v>166.505625</v>
      </c>
      <c r="C17" s="37" t="n">
        <f aca="false">C16/C13</f>
        <v>209.5875</v>
      </c>
      <c r="D17" s="37" t="n">
        <f aca="false">D16/D13</f>
        <v>151.36875</v>
      </c>
      <c r="E17" s="37" t="n">
        <f aca="false">E16/E13</f>
        <v>138.560625</v>
      </c>
      <c r="G17" s="13" t="s">
        <v>446</v>
      </c>
    </row>
    <row r="18" customFormat="false" ht="15" hidden="false" customHeight="false" outlineLevel="0" collapsed="false">
      <c r="A18" s="2" t="s">
        <v>447</v>
      </c>
      <c r="B18" s="26" t="n">
        <f aca="false">B12+B15</f>
        <v>8.602790625</v>
      </c>
      <c r="C18" s="26" t="n">
        <f aca="false">C12+C15</f>
        <v>14.671125</v>
      </c>
      <c r="D18" s="26" t="n">
        <f aca="false">D12+D15</f>
        <v>3.9355875</v>
      </c>
      <c r="E18" s="26" t="n">
        <f aca="false">E12+E15</f>
        <v>2.586465</v>
      </c>
      <c r="F18" s="29" t="n">
        <f aca="false">SUM(B18:E18)</f>
        <v>29.795968125</v>
      </c>
    </row>
    <row r="19" customFormat="false" ht="15" hidden="false" customHeight="false" outlineLevel="0" collapsed="false">
      <c r="A19" s="2" t="s">
        <v>448</v>
      </c>
      <c r="B19" s="35" t="n">
        <f aca="false">B10+B16</f>
        <v>4262.640625</v>
      </c>
      <c r="C19" s="35" t="n">
        <f aca="false">C10+C16</f>
        <v>6437.625</v>
      </c>
      <c r="D19" s="35" t="n">
        <f aca="false">D10+D16</f>
        <v>1573.6875</v>
      </c>
      <c r="E19" s="35" t="n">
        <f aca="false">E10+E16</f>
        <v>1148.485</v>
      </c>
      <c r="F19" s="36" t="n">
        <f aca="false">SUM(B19:E19)</f>
        <v>13422.438125</v>
      </c>
    </row>
    <row r="20" customFormat="false" ht="15" hidden="false" customHeight="false" outlineLevel="0" collapsed="false">
      <c r="A20" s="2" t="s">
        <v>449</v>
      </c>
      <c r="B20" s="35" t="n">
        <f aca="false">B19/B18</f>
        <v>495.49510278823</v>
      </c>
      <c r="C20" s="35" t="n">
        <f aca="false">C19/C18</f>
        <v>438.795593384965</v>
      </c>
      <c r="D20" s="35" t="n">
        <f aca="false">D19/D18</f>
        <v>399.860884810718</v>
      </c>
      <c r="E20" s="35" t="n">
        <f aca="false">E19/E18</f>
        <v>444.036551818795</v>
      </c>
      <c r="F20" s="36" t="n">
        <f aca="false">F19/F18</f>
        <v>450.47833548117</v>
      </c>
    </row>
    <row r="23" customFormat="false" ht="15" hidden="false" customHeight="false" outlineLevel="0" collapsed="false">
      <c r="A23" s="22" t="s">
        <v>450</v>
      </c>
    </row>
    <row r="24" customFormat="false" ht="15" hidden="false" customHeight="false" outlineLevel="0" collapsed="false">
      <c r="A24" s="2" t="s">
        <v>451</v>
      </c>
      <c r="B24" s="23" t="n">
        <f aca="false">Assumptions!$D$129</f>
        <v>12000</v>
      </c>
    </row>
    <row r="25" customFormat="false" ht="15" hidden="false" customHeight="false" outlineLevel="0" collapsed="false">
      <c r="A25" s="2" t="s">
        <v>452</v>
      </c>
      <c r="B25" s="25" t="n">
        <f aca="false">Assumptions!$D$130</f>
        <v>0.025</v>
      </c>
    </row>
    <row r="26" customFormat="false" ht="15" hidden="false" customHeight="false" outlineLevel="0" collapsed="false">
      <c r="A26" s="2" t="s">
        <v>453</v>
      </c>
      <c r="B26" s="23" t="n">
        <f aca="false">B24*B25</f>
        <v>300</v>
      </c>
    </row>
    <row r="27" customFormat="false" ht="15" hidden="false" customHeight="false" outlineLevel="0" collapsed="false">
      <c r="A27" s="2" t="s">
        <v>454</v>
      </c>
      <c r="B27" s="35" t="n">
        <f aca="false">Assumptions!$D$131</f>
        <v>30</v>
      </c>
    </row>
    <row r="28" customFormat="false" ht="15" hidden="false" customHeight="false" outlineLevel="0" collapsed="false">
      <c r="A28" s="2" t="s">
        <v>455</v>
      </c>
      <c r="B28" s="24" t="n">
        <f aca="false">Assumptions!$D$132</f>
        <v>0.15</v>
      </c>
    </row>
    <row r="29" customFormat="false" ht="15" hidden="false" customHeight="false" outlineLevel="0" collapsed="false">
      <c r="A29" s="2" t="s">
        <v>456</v>
      </c>
      <c r="B29" s="26" t="n">
        <f aca="false">B26*B28</f>
        <v>45</v>
      </c>
    </row>
    <row r="30" customFormat="false" ht="15" hidden="false" customHeight="false" outlineLevel="0" collapsed="false">
      <c r="A30" s="2" t="s">
        <v>457</v>
      </c>
      <c r="B30" s="25" t="n">
        <f aca="false">Funnel!$G$5*Assumptions!$D$133</f>
        <v>0.2574</v>
      </c>
    </row>
    <row r="31" customFormat="false" ht="15" hidden="false" customHeight="false" outlineLevel="0" collapsed="false">
      <c r="A31" s="2" t="s">
        <v>458</v>
      </c>
      <c r="B31" s="26" t="n">
        <f aca="false">B29*B30</f>
        <v>11.583</v>
      </c>
    </row>
    <row r="32" customFormat="false" ht="15" hidden="false" customHeight="false" outlineLevel="0" collapsed="false">
      <c r="A32" s="2" t="s">
        <v>459</v>
      </c>
      <c r="B32" s="35" t="n">
        <f aca="false">B26*B27</f>
        <v>9000</v>
      </c>
    </row>
    <row r="33" customFormat="false" ht="15" hidden="false" customHeight="false" outlineLevel="0" collapsed="false">
      <c r="A33" s="2" t="s">
        <v>460</v>
      </c>
      <c r="B33" s="35" t="n">
        <f aca="false">Assumptions!$D$134</f>
        <v>1200</v>
      </c>
    </row>
    <row r="34" customFormat="false" ht="15" hidden="false" customHeight="false" outlineLevel="0" collapsed="false">
      <c r="A34" s="2" t="s">
        <v>461</v>
      </c>
      <c r="B34" s="35" t="n">
        <f aca="false">(B32+B33)/B31</f>
        <v>880.600880600881</v>
      </c>
    </row>
    <row r="37" customFormat="false" ht="15" hidden="false" customHeight="false" outlineLevel="0" collapsed="false">
      <c r="A37" s="22" t="s">
        <v>462</v>
      </c>
    </row>
    <row r="38" customFormat="false" ht="15" hidden="false" customHeight="false" outlineLevel="0" collapsed="false">
      <c r="A38" s="2" t="s">
        <v>463</v>
      </c>
      <c r="B38" s="35" t="n">
        <f aca="false">Assumptions!$D$135</f>
        <v>12</v>
      </c>
    </row>
    <row r="39" customFormat="false" ht="15" hidden="false" customHeight="false" outlineLevel="0" collapsed="false">
      <c r="A39" s="2" t="s">
        <v>464</v>
      </c>
      <c r="B39" s="24" t="n">
        <f aca="false">Assumptions!$D$136</f>
        <v>0.22</v>
      </c>
    </row>
    <row r="40" customFormat="false" ht="15" hidden="false" customHeight="false" outlineLevel="0" collapsed="false">
      <c r="A40" s="2" t="s">
        <v>453</v>
      </c>
      <c r="B40" s="23" t="n">
        <f aca="false">Assumptions!$D$137</f>
        <v>450</v>
      </c>
    </row>
    <row r="41" customFormat="false" ht="15" hidden="false" customHeight="false" outlineLevel="0" collapsed="false">
      <c r="A41" s="2" t="s">
        <v>465</v>
      </c>
      <c r="B41" s="25" t="n">
        <f aca="false">Funnel!$G$6*Assumptions!$D$138</f>
        <v>0.4455</v>
      </c>
    </row>
    <row r="42" customFormat="false" ht="15" hidden="false" customHeight="false" outlineLevel="0" collapsed="false">
      <c r="A42" s="2" t="s">
        <v>466</v>
      </c>
      <c r="B42" s="26" t="n">
        <f aca="false">Assumptions!$D$10*Assumptions!$D$12</f>
        <v>18</v>
      </c>
    </row>
    <row r="43" customFormat="false" ht="15" hidden="false" customHeight="false" outlineLevel="0" collapsed="false">
      <c r="A43" s="2" t="s">
        <v>467</v>
      </c>
      <c r="B43" s="26" t="n">
        <f aca="false">MIN(B40*B39*B41,B42)</f>
        <v>18</v>
      </c>
    </row>
    <row r="44" customFormat="false" ht="15" hidden="false" customHeight="false" outlineLevel="0" collapsed="false">
      <c r="A44" s="2" t="s">
        <v>468</v>
      </c>
      <c r="B44" s="35" t="n">
        <f aca="false">Assumptions!$D$139*Assumptions!$D$140*Assumptions!$D$141</f>
        <v>3600</v>
      </c>
    </row>
    <row r="45" customFormat="false" ht="15" hidden="false" customHeight="false" outlineLevel="0" collapsed="false">
      <c r="A45" s="2" t="s">
        <v>469</v>
      </c>
      <c r="B45" s="35" t="n">
        <f aca="false">Assumptions!$D$142</f>
        <v>400</v>
      </c>
    </row>
    <row r="46" customFormat="false" ht="15" hidden="false" customHeight="false" outlineLevel="0" collapsed="false">
      <c r="A46" s="2" t="s">
        <v>470</v>
      </c>
      <c r="B46" s="35" t="n">
        <f aca="false">B44+B45</f>
        <v>4000</v>
      </c>
    </row>
    <row r="47" customFormat="false" ht="15" hidden="false" customHeight="false" outlineLevel="0" collapsed="false">
      <c r="A47" s="2" t="s">
        <v>471</v>
      </c>
      <c r="B47" s="23" t="n">
        <f aca="false">B43/B41/B39</f>
        <v>183.654729109275</v>
      </c>
    </row>
    <row r="48" customFormat="false" ht="15" hidden="false" customHeight="false" outlineLevel="0" collapsed="false">
      <c r="A48" s="2" t="s">
        <v>472</v>
      </c>
      <c r="B48" s="35" t="n">
        <f aca="false">(B47*B38+B46)/B43</f>
        <v>344.658708295072</v>
      </c>
    </row>
    <row r="51" customFormat="false" ht="15" hidden="false" customHeight="false" outlineLevel="0" collapsed="false">
      <c r="A51" s="22" t="s">
        <v>473</v>
      </c>
    </row>
    <row r="52" customFormat="false" ht="15" hidden="false" customHeight="false" outlineLevel="0" collapsed="false">
      <c r="A52" s="12" t="s">
        <v>474</v>
      </c>
      <c r="B52" s="12" t="s">
        <v>475</v>
      </c>
      <c r="C52" s="12" t="s">
        <v>476</v>
      </c>
      <c r="D52" s="12"/>
      <c r="E52" s="12" t="s">
        <v>477</v>
      </c>
      <c r="F52" s="12"/>
      <c r="G52" s="12"/>
    </row>
    <row r="53" customFormat="false" ht="48" hidden="false" customHeight="true" outlineLevel="0" collapsed="false">
      <c r="A53" s="22" t="s">
        <v>478</v>
      </c>
      <c r="B53" s="35" t="n">
        <f aca="false">F10+F16*(Assumptions!$D$51+Assumptions!$D$52)</f>
        <v>4402.45581875</v>
      </c>
      <c r="C53" s="9" t="s">
        <v>479</v>
      </c>
      <c r="D53" s="9"/>
      <c r="E53" s="9" t="s">
        <v>480</v>
      </c>
      <c r="F53" s="9"/>
      <c r="G53" s="9"/>
    </row>
    <row r="54" customFormat="false" ht="48" hidden="false" customHeight="true" outlineLevel="0" collapsed="false">
      <c r="A54" s="22" t="s">
        <v>481</v>
      </c>
      <c r="B54" s="35" t="n">
        <f aca="false">B33+B32*(Assumptions!$D$51+Assumptions!$D$52)</f>
        <v>3990</v>
      </c>
      <c r="C54" s="9" t="s">
        <v>482</v>
      </c>
      <c r="D54" s="9"/>
      <c r="E54" s="9" t="s">
        <v>483</v>
      </c>
      <c r="F54" s="9"/>
      <c r="G54" s="9"/>
    </row>
    <row r="55" customFormat="false" ht="48" hidden="false" customHeight="true" outlineLevel="0" collapsed="false">
      <c r="A55" s="22" t="s">
        <v>484</v>
      </c>
      <c r="B55" s="35" t="n">
        <f aca="false">B44*2/Assumptions!$D$141+B45+B47*B38*(Assumptions!$D$51+Assumptions!$D$52)</f>
        <v>2283.1955922865</v>
      </c>
      <c r="C55" s="9" t="s">
        <v>485</v>
      </c>
      <c r="D55" s="9"/>
      <c r="E55" s="9" t="s">
        <v>486</v>
      </c>
      <c r="F55" s="9"/>
      <c r="G55" s="9"/>
    </row>
    <row r="57" customFormat="false" ht="15" hidden="false" customHeight="false" outlineLevel="0" collapsed="false">
      <c r="A57" s="2" t="s">
        <v>487</v>
      </c>
    </row>
  </sheetData>
  <mergeCells count="6">
    <mergeCell ref="C53:D53"/>
    <mergeCell ref="E53:G53"/>
    <mergeCell ref="C54:D54"/>
    <mergeCell ref="E54:G54"/>
    <mergeCell ref="C55:D55"/>
    <mergeCell ref="E55:G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29" min="6" style="0" width="11"/>
    <col collapsed="false" customWidth="true" hidden="false" outlineLevel="0" max="30" min="30" style="0" width="22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489</v>
      </c>
    </row>
    <row r="4" customFormat="false" ht="60" hidden="false" customHeight="true" outlineLevel="0" collapsed="false">
      <c r="A4" s="12" t="s">
        <v>22</v>
      </c>
      <c r="B4" s="12" t="s">
        <v>216</v>
      </c>
      <c r="C4" s="12" t="s">
        <v>217</v>
      </c>
      <c r="D4" s="12" t="s">
        <v>490</v>
      </c>
      <c r="E4" s="12" t="s">
        <v>218</v>
      </c>
      <c r="F4" s="12" t="s">
        <v>491</v>
      </c>
      <c r="G4" s="12" t="s">
        <v>492</v>
      </c>
      <c r="H4" s="12" t="s">
        <v>454</v>
      </c>
      <c r="I4" s="12" t="s">
        <v>221</v>
      </c>
      <c r="J4" s="12" t="s">
        <v>453</v>
      </c>
      <c r="K4" s="12" t="s">
        <v>493</v>
      </c>
      <c r="L4" s="12" t="s">
        <v>356</v>
      </c>
      <c r="M4" s="12" t="s">
        <v>494</v>
      </c>
      <c r="N4" s="12" t="s">
        <v>495</v>
      </c>
      <c r="O4" s="12" t="s">
        <v>496</v>
      </c>
      <c r="P4" s="12" t="s">
        <v>497</v>
      </c>
      <c r="Q4" s="12" t="s">
        <v>498</v>
      </c>
      <c r="R4" s="12" t="s">
        <v>499</v>
      </c>
      <c r="S4" s="12" t="s">
        <v>500</v>
      </c>
      <c r="T4" s="12" t="s">
        <v>49</v>
      </c>
      <c r="U4" s="12" t="s">
        <v>501</v>
      </c>
      <c r="V4" s="12" t="s">
        <v>502</v>
      </c>
      <c r="W4" s="12" t="s">
        <v>503</v>
      </c>
      <c r="X4" s="12" t="s">
        <v>504</v>
      </c>
      <c r="Y4" s="12" t="s">
        <v>505</v>
      </c>
      <c r="Z4" s="12" t="s">
        <v>506</v>
      </c>
      <c r="AA4" s="12" t="s">
        <v>507</v>
      </c>
      <c r="AB4" s="12" t="s">
        <v>508</v>
      </c>
      <c r="AC4" s="12" t="s">
        <v>509</v>
      </c>
      <c r="AD4" s="12" t="s">
        <v>510</v>
      </c>
    </row>
    <row r="5" customFormat="false" ht="15" hidden="false" customHeight="false" outlineLevel="0" collapsed="false">
      <c r="A5" s="2" t="str">
        <f aca="false">Assumptions!A92</f>
        <v>C01</v>
      </c>
      <c r="B5" s="2" t="str">
        <f aca="false">Assumptions!B92</f>
        <v>Organic (Tesla careers, BA Jobbörse, Google for Jobs)</v>
      </c>
      <c r="C5" s="2" t="str">
        <f aca="false">Assumptions!C92</f>
        <v>Electricians</v>
      </c>
      <c r="D5" s="2" t="s">
        <v>216</v>
      </c>
      <c r="E5" s="2" t="str">
        <f aca="false">Assumptions!D92</f>
        <v>Free</v>
      </c>
      <c r="F5" s="37" t="n">
        <f aca="false">Assumptions!E92</f>
        <v>0</v>
      </c>
      <c r="G5" s="23" t="str">
        <f aca="false">IF(E5="Free","",Assumptions!F92)</f>
        <v/>
      </c>
      <c r="H5" s="37" t="n">
        <f aca="false">IF(E5="CPC",F5/G5,IF(E5="Slot",F5/G5,F5))</f>
        <v>0</v>
      </c>
      <c r="I5" s="24" t="n">
        <f aca="false">Assumptions!G92</f>
        <v>0.08</v>
      </c>
      <c r="J5" s="23" t="n">
        <f aca="false">IF(E5="Slot",Assumptions!H92*G5,Assumptions!H92)</f>
        <v>150</v>
      </c>
      <c r="K5" s="26" t="n">
        <f aca="false">J5*I5</f>
        <v>12</v>
      </c>
      <c r="L5" s="25" t="n">
        <f aca="false">INDEX(Funnel!$G$5:$G$8,MATCH(C5,Funnel!$A$5:$A$8,0))*M5</f>
        <v>0.32175</v>
      </c>
      <c r="M5" s="38" t="n">
        <f aca="false">Assumptions!I92</f>
        <v>1</v>
      </c>
      <c r="N5" s="26" t="n">
        <f aca="false">K5*L5</f>
        <v>3.861</v>
      </c>
      <c r="O5" s="35" t="n">
        <f aca="false">IF(I5&gt;0,H5/I5,0)</f>
        <v>0</v>
      </c>
      <c r="P5" s="35" t="n">
        <f aca="false">IF(L5&gt;0,O5/L5,0)</f>
        <v>0</v>
      </c>
      <c r="Q5" s="39" t="n">
        <f aca="false">P5+ROW()/1000000</f>
        <v>5E-006</v>
      </c>
      <c r="R5" s="23" t="n">
        <f aca="false">COUNTIFS($C$5:$C$34,C5,$Q$5:$Q$34,"&lt;"&amp;Q5)+1</f>
        <v>1</v>
      </c>
      <c r="S5" s="26" t="n">
        <f aca="false">SUMIFS($N$5:$N$34,$C$5:$C$34,C5,$Q$5:$Q$34,"&lt;"&amp;Q5)</f>
        <v>0</v>
      </c>
      <c r="T5" s="23" t="n">
        <f aca="false">INDEX(Funnel!$B$5:$B$8,MATCH(C5,Funnel!$A$5:$A$8,0))</f>
        <v>30</v>
      </c>
      <c r="U5" s="40" t="n">
        <f aca="false">MIN(N5,MAX(0,T5-S5))</f>
        <v>3.861</v>
      </c>
      <c r="V5" s="26" t="n">
        <f aca="false">IF(L5&gt;0,U5/L5,0)</f>
        <v>12</v>
      </c>
      <c r="W5" s="23" t="n">
        <f aca="false">IF(I5&gt;0,V5/I5,0)</f>
        <v>150</v>
      </c>
      <c r="X5" s="35" t="n">
        <f aca="false">IF(E5="Slot",ROUNDUP(W5/G5,0)*F5,W5*H5)</f>
        <v>0</v>
      </c>
      <c r="Y5" s="35" t="n">
        <f aca="false">IF(U5&gt;0,Assumptions!J92,0)</f>
        <v>0</v>
      </c>
      <c r="Z5" s="35" t="n">
        <f aca="false">IF(AND(D5="Channel",OR(E5="CPC",E5="CPA")),MAX(0,Assumptions!$D$49-X5*(Assumptions!$D$51+Assumptions!$D$52)),0)</f>
        <v>0</v>
      </c>
      <c r="AA5" s="35" t="n">
        <f aca="false">X5+Y5+Z5</f>
        <v>0</v>
      </c>
      <c r="AB5" s="35" t="n">
        <f aca="false">IF(U5&gt;0,(X5+Y5)/U5,"–")</f>
        <v>0</v>
      </c>
      <c r="AC5" s="23" t="n">
        <f aca="false">COUNTIF($Q$5:$Q$34,"&lt;"&amp;Q5)+1</f>
        <v>1</v>
      </c>
      <c r="AD5" s="2" t="str">
        <f aca="false">IF(U5&gt;=N5*0.999,IF(U5&gt;0,"Used to capacity","–"),IF(U5&gt;0,"Marginal (fills the gap)",IF(Z5&gt;0,"Test only (wk 1–2)","Not used")))</f>
        <v>Used to capacity</v>
      </c>
    </row>
    <row r="6" customFormat="false" ht="15" hidden="false" customHeight="false" outlineLevel="0" collapsed="false">
      <c r="A6" s="2" t="str">
        <f aca="false">Assumptions!A93</f>
        <v>C02</v>
      </c>
      <c r="B6" s="2" t="str">
        <f aca="false">Assumptions!B93</f>
        <v>Organic (Tesla careers, BA Jobbörse, Google for Jobs)</v>
      </c>
      <c r="C6" s="2" t="str">
        <f aca="false">Assumptions!C93</f>
        <v>Mechatronics</v>
      </c>
      <c r="D6" s="2" t="s">
        <v>216</v>
      </c>
      <c r="E6" s="2" t="str">
        <f aca="false">Assumptions!D93</f>
        <v>Free</v>
      </c>
      <c r="F6" s="37" t="n">
        <f aca="false">Assumptions!E93</f>
        <v>0</v>
      </c>
      <c r="G6" s="23" t="str">
        <f aca="false">IF(E6="Free","",Assumptions!F93)</f>
        <v/>
      </c>
      <c r="H6" s="37" t="n">
        <f aca="false">IF(E6="CPC",F6/G6,IF(E6="Slot",F6/G6,F6))</f>
        <v>0</v>
      </c>
      <c r="I6" s="24" t="n">
        <f aca="false">Assumptions!G93</f>
        <v>0.18</v>
      </c>
      <c r="J6" s="23" t="n">
        <f aca="false">IF(E6="Slot",Assumptions!H93*G6,Assumptions!H93)</f>
        <v>200</v>
      </c>
      <c r="K6" s="26" t="n">
        <f aca="false">J6*I6</f>
        <v>36</v>
      </c>
      <c r="L6" s="25" t="n">
        <f aca="false">INDEX(Funnel!$G$5:$G$8,MATCH(C6,Funnel!$A$5:$A$8,0))*M6</f>
        <v>0.405</v>
      </c>
      <c r="M6" s="38" t="n">
        <f aca="false">Assumptions!I93</f>
        <v>1</v>
      </c>
      <c r="N6" s="26" t="n">
        <f aca="false">K6*L6</f>
        <v>14.58</v>
      </c>
      <c r="O6" s="35" t="n">
        <f aca="false">IF(I6&gt;0,H6/I6,0)</f>
        <v>0</v>
      </c>
      <c r="P6" s="35" t="n">
        <f aca="false">IF(L6&gt;0,O6/L6,0)</f>
        <v>0</v>
      </c>
      <c r="Q6" s="39" t="n">
        <f aca="false">P6+ROW()/1000000</f>
        <v>6E-006</v>
      </c>
      <c r="R6" s="23" t="n">
        <f aca="false">COUNTIFS($C$5:$C$34,C6,$Q$5:$Q$34,"&lt;"&amp;Q6)+1</f>
        <v>1</v>
      </c>
      <c r="S6" s="26" t="n">
        <f aca="false">SUMIFS($N$5:$N$34,$C$5:$C$34,C6,$Q$5:$Q$34,"&lt;"&amp;Q6)</f>
        <v>0</v>
      </c>
      <c r="T6" s="23" t="n">
        <f aca="false">INDEX(Funnel!$B$5:$B$8,MATCH(C6,Funnel!$A$5:$A$8,0))</f>
        <v>45</v>
      </c>
      <c r="U6" s="40" t="n">
        <f aca="false">MIN(N6,MAX(0,T6-S6))</f>
        <v>14.58</v>
      </c>
      <c r="V6" s="26" t="n">
        <f aca="false">IF(L6&gt;0,U6/L6,0)</f>
        <v>36</v>
      </c>
      <c r="W6" s="23" t="n">
        <f aca="false">IF(I6&gt;0,V6/I6,0)</f>
        <v>200</v>
      </c>
      <c r="X6" s="35" t="n">
        <f aca="false">IF(E6="Slot",ROUNDUP(W6/G6,0)*F6,W6*H6)</f>
        <v>0</v>
      </c>
      <c r="Y6" s="35" t="n">
        <f aca="false">IF(U6&gt;0,Assumptions!J93,0)</f>
        <v>0</v>
      </c>
      <c r="Z6" s="35" t="n">
        <f aca="false">IF(AND(D6="Channel",OR(E6="CPC",E6="CPA")),MAX(0,Assumptions!$D$49-X6*(Assumptions!$D$51+Assumptions!$D$52)),0)</f>
        <v>0</v>
      </c>
      <c r="AA6" s="35" t="n">
        <f aca="false">X6+Y6+Z6</f>
        <v>0</v>
      </c>
      <c r="AB6" s="35" t="n">
        <f aca="false">IF(U6&gt;0,(X6+Y6)/U6,"–")</f>
        <v>0</v>
      </c>
      <c r="AC6" s="23" t="n">
        <f aca="false">COUNTIF($Q$5:$Q$34,"&lt;"&amp;Q6)+1</f>
        <v>2</v>
      </c>
      <c r="AD6" s="2" t="str">
        <f aca="false">IF(U6&gt;=N6*0.999,IF(U6&gt;0,"Used to capacity","–"),IF(U6&gt;0,"Marginal (fills the gap)",IF(Z6&gt;0,"Test only (wk 1–2)","Not used")))</f>
        <v>Used to capacity</v>
      </c>
    </row>
    <row r="7" customFormat="false" ht="15" hidden="false" customHeight="false" outlineLevel="0" collapsed="false">
      <c r="A7" s="2" t="str">
        <f aca="false">Assumptions!A94</f>
        <v>C03</v>
      </c>
      <c r="B7" s="2" t="str">
        <f aca="false">Assumptions!B94</f>
        <v>Organic (Tesla careers, BA Jobbörse, Google for Jobs)</v>
      </c>
      <c r="C7" s="2" t="str">
        <f aca="false">Assumptions!C94</f>
        <v>Automation</v>
      </c>
      <c r="D7" s="2" t="s">
        <v>216</v>
      </c>
      <c r="E7" s="2" t="str">
        <f aca="false">Assumptions!D94</f>
        <v>Free</v>
      </c>
      <c r="F7" s="37" t="n">
        <f aca="false">Assumptions!E94</f>
        <v>0</v>
      </c>
      <c r="G7" s="23" t="str">
        <f aca="false">IF(E7="Free","",Assumptions!F94)</f>
        <v/>
      </c>
      <c r="H7" s="37" t="n">
        <f aca="false">IF(E7="CPC",F7/G7,IF(E7="Slot",F7/G7,F7))</f>
        <v>0</v>
      </c>
      <c r="I7" s="24" t="n">
        <f aca="false">Assumptions!G94</f>
        <v>0.1</v>
      </c>
      <c r="J7" s="23" t="n">
        <f aca="false">IF(E7="Slot",Assumptions!H94*G7,Assumptions!H94)</f>
        <v>80</v>
      </c>
      <c r="K7" s="26" t="n">
        <f aca="false">J7*I7</f>
        <v>8</v>
      </c>
      <c r="L7" s="25" t="n">
        <f aca="false">INDEX(Funnel!$G$5:$G$8,MATCH(C7,Funnel!$A$5:$A$8,0))*M7</f>
        <v>0.2925</v>
      </c>
      <c r="M7" s="38" t="n">
        <f aca="false">Assumptions!I94</f>
        <v>1</v>
      </c>
      <c r="N7" s="26" t="n">
        <f aca="false">K7*L7</f>
        <v>2.34</v>
      </c>
      <c r="O7" s="35" t="n">
        <f aca="false">IF(I7&gt;0,H7/I7,0)</f>
        <v>0</v>
      </c>
      <c r="P7" s="35" t="n">
        <f aca="false">IF(L7&gt;0,O7/L7,0)</f>
        <v>0</v>
      </c>
      <c r="Q7" s="39" t="n">
        <f aca="false">P7+ROW()/1000000</f>
        <v>7E-006</v>
      </c>
      <c r="R7" s="23" t="n">
        <f aca="false">COUNTIFS($C$5:$C$34,C7,$Q$5:$Q$34,"&lt;"&amp;Q7)+1</f>
        <v>1</v>
      </c>
      <c r="S7" s="26" t="n">
        <f aca="false">SUMIFS($N$5:$N$34,$C$5:$C$34,C7,$Q$5:$Q$34,"&lt;"&amp;Q7)</f>
        <v>0</v>
      </c>
      <c r="T7" s="23" t="n">
        <f aca="false">INDEX(Funnel!$B$5:$B$8,MATCH(C7,Funnel!$A$5:$A$8,0))</f>
        <v>15</v>
      </c>
      <c r="U7" s="40" t="n">
        <f aca="false">MIN(N7,MAX(0,T7-S7))</f>
        <v>2.34</v>
      </c>
      <c r="V7" s="26" t="n">
        <f aca="false">IF(L7&gt;0,U7/L7,0)</f>
        <v>8</v>
      </c>
      <c r="W7" s="23" t="n">
        <f aca="false">IF(I7&gt;0,V7/I7,0)</f>
        <v>80</v>
      </c>
      <c r="X7" s="35" t="n">
        <f aca="false">IF(E7="Slot",ROUNDUP(W7/G7,0)*F7,W7*H7)</f>
        <v>0</v>
      </c>
      <c r="Y7" s="35" t="n">
        <f aca="false">IF(U7&gt;0,Assumptions!J94,0)</f>
        <v>0</v>
      </c>
      <c r="Z7" s="35" t="n">
        <f aca="false">IF(AND(D7="Channel",OR(E7="CPC",E7="CPA")),MAX(0,Assumptions!$D$49-X7*(Assumptions!$D$51+Assumptions!$D$52)),0)</f>
        <v>0</v>
      </c>
      <c r="AA7" s="35" t="n">
        <f aca="false">X7+Y7+Z7</f>
        <v>0</v>
      </c>
      <c r="AB7" s="35" t="n">
        <f aca="false">IF(U7&gt;0,(X7+Y7)/U7,"–")</f>
        <v>0</v>
      </c>
      <c r="AC7" s="23" t="n">
        <f aca="false">COUNTIF($Q$5:$Q$34,"&lt;"&amp;Q7)+1</f>
        <v>3</v>
      </c>
      <c r="AD7" s="2" t="str">
        <f aca="false">IF(U7&gt;=N7*0.999,IF(U7&gt;0,"Used to capacity","–"),IF(U7&gt;0,"Marginal (fills the gap)",IF(Z7&gt;0,"Test only (wk 1–2)","Not used")))</f>
        <v>Used to capacity</v>
      </c>
    </row>
    <row r="8" customFormat="false" ht="15" hidden="false" customHeight="false" outlineLevel="0" collapsed="false">
      <c r="A8" s="2" t="str">
        <f aca="false">Assumptions!A95</f>
        <v>C04</v>
      </c>
      <c r="B8" s="2" t="str">
        <f aca="false">Assumptions!B95</f>
        <v>Organic (Tesla careers, BA Jobbörse, Google for Jobs)</v>
      </c>
      <c r="C8" s="2" t="str">
        <f aca="false">Assumptions!C95</f>
        <v>Supervisors</v>
      </c>
      <c r="D8" s="2" t="s">
        <v>216</v>
      </c>
      <c r="E8" s="2" t="str">
        <f aca="false">Assumptions!D95</f>
        <v>Free</v>
      </c>
      <c r="F8" s="37" t="n">
        <f aca="false">Assumptions!E95</f>
        <v>0</v>
      </c>
      <c r="G8" s="23" t="str">
        <f aca="false">IF(E8="Free","",Assumptions!F95)</f>
        <v/>
      </c>
      <c r="H8" s="37" t="n">
        <f aca="false">IF(E8="CPC",F8/G8,IF(E8="Slot",F8/G8,F8))</f>
        <v>0</v>
      </c>
      <c r="I8" s="24" t="n">
        <f aca="false">Assumptions!G95</f>
        <v>0.08</v>
      </c>
      <c r="J8" s="23" t="n">
        <f aca="false">IF(E8="Slot",Assumptions!H95*G8,Assumptions!H95)</f>
        <v>60</v>
      </c>
      <c r="K8" s="26" t="n">
        <f aca="false">J8*I8</f>
        <v>4.8</v>
      </c>
      <c r="L8" s="25" t="n">
        <f aca="false">INDEX(Funnel!$G$5:$G$8,MATCH(C8,Funnel!$A$5:$A$8,0))*M8</f>
        <v>0.26775</v>
      </c>
      <c r="M8" s="38" t="n">
        <f aca="false">Assumptions!I95</f>
        <v>1</v>
      </c>
      <c r="N8" s="26" t="n">
        <f aca="false">K8*L8</f>
        <v>1.2852</v>
      </c>
      <c r="O8" s="35" t="n">
        <f aca="false">IF(I8&gt;0,H8/I8,0)</f>
        <v>0</v>
      </c>
      <c r="P8" s="35" t="n">
        <f aca="false">IF(L8&gt;0,O8/L8,0)</f>
        <v>0</v>
      </c>
      <c r="Q8" s="39" t="n">
        <f aca="false">P8+ROW()/1000000</f>
        <v>8E-006</v>
      </c>
      <c r="R8" s="23" t="n">
        <f aca="false">COUNTIFS($C$5:$C$34,C8,$Q$5:$Q$34,"&lt;"&amp;Q8)+1</f>
        <v>1</v>
      </c>
      <c r="S8" s="26" t="n">
        <f aca="false">SUMIFS($N$5:$N$34,$C$5:$C$34,C8,$Q$5:$Q$34,"&lt;"&amp;Q8)</f>
        <v>0</v>
      </c>
      <c r="T8" s="23" t="n">
        <f aca="false">INDEX(Funnel!$B$5:$B$8,MATCH(C8,Funnel!$A$5:$A$8,0))</f>
        <v>10</v>
      </c>
      <c r="U8" s="40" t="n">
        <f aca="false">MIN(N8,MAX(0,T8-S8))</f>
        <v>1.2852</v>
      </c>
      <c r="V8" s="26" t="n">
        <f aca="false">IF(L8&gt;0,U8/L8,0)</f>
        <v>4.8</v>
      </c>
      <c r="W8" s="23" t="n">
        <f aca="false">IF(I8&gt;0,V8/I8,0)</f>
        <v>60</v>
      </c>
      <c r="X8" s="35" t="n">
        <f aca="false">IF(E8="Slot",ROUNDUP(W8/G8,0)*F8,W8*H8)</f>
        <v>0</v>
      </c>
      <c r="Y8" s="35" t="n">
        <f aca="false">IF(U8&gt;0,Assumptions!J95,0)</f>
        <v>0</v>
      </c>
      <c r="Z8" s="35" t="n">
        <f aca="false">IF(AND(D8="Channel",OR(E8="CPC",E8="CPA")),MAX(0,Assumptions!$D$49-X8*(Assumptions!$D$51+Assumptions!$D$52)),0)</f>
        <v>0</v>
      </c>
      <c r="AA8" s="35" t="n">
        <f aca="false">X8+Y8+Z8</f>
        <v>0</v>
      </c>
      <c r="AB8" s="35" t="n">
        <f aca="false">IF(U8&gt;0,(X8+Y8)/U8,"–")</f>
        <v>0</v>
      </c>
      <c r="AC8" s="23" t="n">
        <f aca="false">COUNTIF($Q$5:$Q$34,"&lt;"&amp;Q8)+1</f>
        <v>4</v>
      </c>
      <c r="AD8" s="2" t="str">
        <f aca="false">IF(U8&gt;=N8*0.999,IF(U8&gt;0,"Used to capacity","–"),IF(U8&gt;0,"Marginal (fills the gap)",IF(Z8&gt;0,"Test only (wk 1–2)","Not used")))</f>
        <v>Used to capacity</v>
      </c>
    </row>
    <row r="9" customFormat="false" ht="15" hidden="false" customHeight="false" outlineLevel="0" collapsed="false">
      <c r="A9" s="2" t="str">
        <f aca="false">Assumptions!A96</f>
        <v>C05</v>
      </c>
      <c r="B9" s="2" t="str">
        <f aca="false">Assumptions!B96</f>
        <v>Programmatic job ads (Joveo: Indeed, Jooble, Talent.com, Kimeta, meinestadt…)</v>
      </c>
      <c r="C9" s="2" t="str">
        <f aca="false">Assumptions!C96</f>
        <v>Electricians</v>
      </c>
      <c r="D9" s="2" t="s">
        <v>216</v>
      </c>
      <c r="E9" s="2" t="str">
        <f aca="false">Assumptions!D96</f>
        <v>CPC</v>
      </c>
      <c r="F9" s="37" t="n">
        <f aca="false">Assumptions!E96</f>
        <v>2</v>
      </c>
      <c r="G9" s="25" t="n">
        <f aca="false">IF(E9="Free","",Assumptions!F96)</f>
        <v>0.035</v>
      </c>
      <c r="H9" s="37" t="n">
        <f aca="false">IF(E9="CPC",F9/G9,IF(E9="Slot",F9/G9,F9))</f>
        <v>57.1428571428571</v>
      </c>
      <c r="I9" s="24" t="n">
        <f aca="false">Assumptions!G96</f>
        <v>0.12</v>
      </c>
      <c r="J9" s="23" t="n">
        <f aca="false">IF(E9="Slot",Assumptions!H96*G9,Assumptions!H96)</f>
        <v>450</v>
      </c>
      <c r="K9" s="26" t="n">
        <f aca="false">J9*I9</f>
        <v>54</v>
      </c>
      <c r="L9" s="25" t="n">
        <f aca="false">INDEX(Funnel!$G$5:$G$8,MATCH(C9,Funnel!$A$5:$A$8,0))*M9</f>
        <v>0.32175</v>
      </c>
      <c r="M9" s="38" t="n">
        <f aca="false">Assumptions!I96</f>
        <v>1</v>
      </c>
      <c r="N9" s="26" t="n">
        <f aca="false">K9*L9</f>
        <v>17.3745</v>
      </c>
      <c r="O9" s="35" t="n">
        <f aca="false">IF(I9&gt;0,H9/I9,0)</f>
        <v>476.190476190476</v>
      </c>
      <c r="P9" s="35" t="n">
        <f aca="false">IF(L9&gt;0,O9/L9,0)</f>
        <v>1480.00148000148</v>
      </c>
      <c r="Q9" s="39" t="n">
        <f aca="false">P9+ROW()/1000000</f>
        <v>1480.00148900148</v>
      </c>
      <c r="R9" s="23" t="n">
        <f aca="false">COUNTIFS($C$5:$C$34,C9,$Q$5:$Q$34,"&lt;"&amp;Q9)+1</f>
        <v>8</v>
      </c>
      <c r="S9" s="26" t="n">
        <f aca="false">SUMIFS($N$5:$N$34,$C$5:$C$34,C9,$Q$5:$Q$34,"&lt;"&amp;Q9)</f>
        <v>38.686415625</v>
      </c>
      <c r="T9" s="23" t="n">
        <f aca="false">INDEX(Funnel!$B$5:$B$8,MATCH(C9,Funnel!$A$5:$A$8,0))</f>
        <v>30</v>
      </c>
      <c r="U9" s="40" t="n">
        <f aca="false">MIN(N9,MAX(0,T9-S9))</f>
        <v>0</v>
      </c>
      <c r="V9" s="26" t="n">
        <f aca="false">IF(L9&gt;0,U9/L9,0)</f>
        <v>0</v>
      </c>
      <c r="W9" s="23" t="n">
        <f aca="false">IF(I9&gt;0,V9/I9,0)</f>
        <v>0</v>
      </c>
      <c r="X9" s="35" t="n">
        <f aca="false">IF(E9="Slot",ROUNDUP(W9/G9,0)*F9,W9*H9)</f>
        <v>0</v>
      </c>
      <c r="Y9" s="35" t="n">
        <f aca="false">IF(U9&gt;0,Assumptions!J96,0)</f>
        <v>0</v>
      </c>
      <c r="Z9" s="35" t="n">
        <f aca="false">IF(AND(D9="Channel",OR(E9="CPC",E9="CPA")),MAX(0,Assumptions!$D$49-X9*(Assumptions!$D$51+Assumptions!$D$52)),0)</f>
        <v>300</v>
      </c>
      <c r="AA9" s="35" t="n">
        <f aca="false">X9+Y9+Z9</f>
        <v>300</v>
      </c>
      <c r="AB9" s="35" t="str">
        <f aca="false">IF(U9&gt;0,(X9+Y9)/U9,"–")</f>
        <v>–</v>
      </c>
      <c r="AC9" s="23" t="n">
        <f aca="false">COUNTIF($Q$5:$Q$34,"&lt;"&amp;Q9)+1</f>
        <v>29</v>
      </c>
      <c r="AD9" s="2" t="str">
        <f aca="false">IF(U9&gt;=N9*0.999,IF(U9&gt;0,"Used to capacity","–"),IF(U9&gt;0,"Marginal (fills the gap)",IF(Z9&gt;0,"Test only (wk 1–2)","Not used")))</f>
        <v>Test only (wk 1–2)</v>
      </c>
    </row>
    <row r="10" customFormat="false" ht="15" hidden="false" customHeight="false" outlineLevel="0" collapsed="false">
      <c r="A10" s="2" t="str">
        <f aca="false">Assumptions!A97</f>
        <v>C06</v>
      </c>
      <c r="B10" s="2" t="str">
        <f aca="false">Assumptions!B97</f>
        <v>Programmatic job ads (Joveo: Indeed, Jooble, Talent.com, Kimeta, meinestadt…)</v>
      </c>
      <c r="C10" s="2" t="str">
        <f aca="false">Assumptions!C97</f>
        <v>Mechatronics</v>
      </c>
      <c r="D10" s="2" t="s">
        <v>216</v>
      </c>
      <c r="E10" s="2" t="str">
        <f aca="false">Assumptions!D97</f>
        <v>CPC</v>
      </c>
      <c r="F10" s="37" t="n">
        <f aca="false">Assumptions!E97</f>
        <v>1.2</v>
      </c>
      <c r="G10" s="25" t="n">
        <f aca="false">IF(E10="Free","",Assumptions!F97)</f>
        <v>0.05</v>
      </c>
      <c r="H10" s="37" t="n">
        <f aca="false">IF(E10="CPC",F10/G10,IF(E10="Slot",F10/G10,F10))</f>
        <v>24</v>
      </c>
      <c r="I10" s="24" t="n">
        <f aca="false">Assumptions!G97</f>
        <v>0.22</v>
      </c>
      <c r="J10" s="23" t="n">
        <f aca="false">IF(E10="Slot",Assumptions!H97*G10,Assumptions!H97)</f>
        <v>600</v>
      </c>
      <c r="K10" s="26" t="n">
        <f aca="false">J10*I10</f>
        <v>132</v>
      </c>
      <c r="L10" s="25" t="n">
        <f aca="false">INDEX(Funnel!$G$5:$G$8,MATCH(C10,Funnel!$A$5:$A$8,0))*M10</f>
        <v>0.405</v>
      </c>
      <c r="M10" s="38" t="n">
        <f aca="false">Assumptions!I97</f>
        <v>1</v>
      </c>
      <c r="N10" s="26" t="n">
        <f aca="false">K10*L10</f>
        <v>53.46</v>
      </c>
      <c r="O10" s="35" t="n">
        <f aca="false">IF(I10&gt;0,H10/I10,0)</f>
        <v>109.090909090909</v>
      </c>
      <c r="P10" s="35" t="n">
        <f aca="false">IF(L10&gt;0,O10/L10,0)</f>
        <v>269.360269360269</v>
      </c>
      <c r="Q10" s="39" t="n">
        <f aca="false">P10+ROW()/1000000</f>
        <v>269.360279360269</v>
      </c>
      <c r="R10" s="23" t="n">
        <f aca="false">COUNTIFS($C$5:$C$34,C10,$Q$5:$Q$34,"&lt;"&amp;Q10)+1</f>
        <v>5</v>
      </c>
      <c r="S10" s="26" t="n">
        <f aca="false">SUMIFS($N$5:$N$34,$C$5:$C$34,C10,$Q$5:$Q$34,"&lt;"&amp;Q10)</f>
        <v>65.2635</v>
      </c>
      <c r="T10" s="23" t="n">
        <f aca="false">INDEX(Funnel!$B$5:$B$8,MATCH(C10,Funnel!$A$5:$A$8,0))</f>
        <v>45</v>
      </c>
      <c r="U10" s="40" t="n">
        <f aca="false">MIN(N10,MAX(0,T10-S10))</f>
        <v>0</v>
      </c>
      <c r="V10" s="26" t="n">
        <f aca="false">IF(L10&gt;0,U10/L10,0)</f>
        <v>0</v>
      </c>
      <c r="W10" s="23" t="n">
        <f aca="false">IF(I10&gt;0,V10/I10,0)</f>
        <v>0</v>
      </c>
      <c r="X10" s="35" t="n">
        <f aca="false">IF(E10="Slot",ROUNDUP(W10/G10,0)*F10,W10*H10)</f>
        <v>0</v>
      </c>
      <c r="Y10" s="35" t="n">
        <f aca="false">IF(U10&gt;0,Assumptions!J97,0)</f>
        <v>0</v>
      </c>
      <c r="Z10" s="35" t="n">
        <f aca="false">IF(AND(D10="Channel",OR(E10="CPC",E10="CPA")),MAX(0,Assumptions!$D$49-X10*(Assumptions!$D$51+Assumptions!$D$52)),0)</f>
        <v>300</v>
      </c>
      <c r="AA10" s="35" t="n">
        <f aca="false">X10+Y10+Z10</f>
        <v>300</v>
      </c>
      <c r="AB10" s="35" t="str">
        <f aca="false">IF(U10&gt;0,(X10+Y10)/U10,"–")</f>
        <v>–</v>
      </c>
      <c r="AC10" s="23" t="n">
        <f aca="false">COUNTIF($Q$5:$Q$34,"&lt;"&amp;Q10)+1</f>
        <v>11</v>
      </c>
      <c r="AD10" s="2" t="str">
        <f aca="false">IF(U10&gt;=N10*0.999,IF(U10&gt;0,"Used to capacity","–"),IF(U10&gt;0,"Marginal (fills the gap)",IF(Z10&gt;0,"Test only (wk 1–2)","Not used")))</f>
        <v>Test only (wk 1–2)</v>
      </c>
    </row>
    <row r="11" customFormat="false" ht="15" hidden="false" customHeight="false" outlineLevel="0" collapsed="false">
      <c r="A11" s="2" t="str">
        <f aca="false">Assumptions!A98</f>
        <v>C07</v>
      </c>
      <c r="B11" s="2" t="str">
        <f aca="false">Assumptions!B98</f>
        <v>Programmatic job ads (Joveo: Indeed, Jooble, Talent.com, Kimeta, meinestadt…)</v>
      </c>
      <c r="C11" s="2" t="str">
        <f aca="false">Assumptions!C98</f>
        <v>Automation</v>
      </c>
      <c r="D11" s="2" t="s">
        <v>216</v>
      </c>
      <c r="E11" s="2" t="str">
        <f aca="false">Assumptions!D98</f>
        <v>CPC</v>
      </c>
      <c r="F11" s="37" t="n">
        <f aca="false">Assumptions!E98</f>
        <v>1.8</v>
      </c>
      <c r="G11" s="25" t="n">
        <f aca="false">IF(E11="Free","",Assumptions!F98)</f>
        <v>0.04</v>
      </c>
      <c r="H11" s="37" t="n">
        <f aca="false">IF(E11="CPC",F11/G11,IF(E11="Slot",F11/G11,F11))</f>
        <v>45</v>
      </c>
      <c r="I11" s="24" t="n">
        <f aca="false">Assumptions!G98</f>
        <v>0.12</v>
      </c>
      <c r="J11" s="23" t="n">
        <f aca="false">IF(E11="Slot",Assumptions!H98*G11,Assumptions!H98)</f>
        <v>250</v>
      </c>
      <c r="K11" s="26" t="n">
        <f aca="false">J11*I11</f>
        <v>30</v>
      </c>
      <c r="L11" s="25" t="n">
        <f aca="false">INDEX(Funnel!$G$5:$G$8,MATCH(C11,Funnel!$A$5:$A$8,0))*M11</f>
        <v>0.2925</v>
      </c>
      <c r="M11" s="38" t="n">
        <f aca="false">Assumptions!I98</f>
        <v>1</v>
      </c>
      <c r="N11" s="26" t="n">
        <f aca="false">K11*L11</f>
        <v>8.775</v>
      </c>
      <c r="O11" s="35" t="n">
        <f aca="false">IF(I11&gt;0,H11/I11,0)</f>
        <v>375</v>
      </c>
      <c r="P11" s="35" t="n">
        <f aca="false">IF(L11&gt;0,O11/L11,0)</f>
        <v>1282.05128205128</v>
      </c>
      <c r="Q11" s="39" t="n">
        <f aca="false">P11+ROW()/1000000</f>
        <v>1282.05129305128</v>
      </c>
      <c r="R11" s="23" t="n">
        <f aca="false">COUNTIFS($C$5:$C$34,C11,$Q$5:$Q$34,"&lt;"&amp;Q11)+1</f>
        <v>6</v>
      </c>
      <c r="S11" s="26" t="n">
        <f aca="false">SUMIFS($N$5:$N$34,$C$5:$C$34,C11,$Q$5:$Q$34,"&lt;"&amp;Q11)</f>
        <v>18.9993375</v>
      </c>
      <c r="T11" s="23" t="n">
        <f aca="false">INDEX(Funnel!$B$5:$B$8,MATCH(C11,Funnel!$A$5:$A$8,0))</f>
        <v>15</v>
      </c>
      <c r="U11" s="40" t="n">
        <f aca="false">MIN(N11,MAX(0,T11-S11))</f>
        <v>0</v>
      </c>
      <c r="V11" s="26" t="n">
        <f aca="false">IF(L11&gt;0,U11/L11,0)</f>
        <v>0</v>
      </c>
      <c r="W11" s="23" t="n">
        <f aca="false">IF(I11&gt;0,V11/I11,0)</f>
        <v>0</v>
      </c>
      <c r="X11" s="35" t="n">
        <f aca="false">IF(E11="Slot",ROUNDUP(W11/G11,0)*F11,W11*H11)</f>
        <v>0</v>
      </c>
      <c r="Y11" s="35" t="n">
        <f aca="false">IF(U11&gt;0,Assumptions!J98,0)</f>
        <v>0</v>
      </c>
      <c r="Z11" s="35" t="n">
        <f aca="false">IF(AND(D11="Channel",OR(E11="CPC",E11="CPA")),MAX(0,Assumptions!$D$49-X11*(Assumptions!$D$51+Assumptions!$D$52)),0)</f>
        <v>300</v>
      </c>
      <c r="AA11" s="35" t="n">
        <f aca="false">X11+Y11+Z11</f>
        <v>300</v>
      </c>
      <c r="AB11" s="35" t="str">
        <f aca="false">IF(U11&gt;0,(X11+Y11)/U11,"–")</f>
        <v>–</v>
      </c>
      <c r="AC11" s="23" t="n">
        <f aca="false">COUNTIF($Q$5:$Q$34,"&lt;"&amp;Q11)+1</f>
        <v>26</v>
      </c>
      <c r="AD11" s="2" t="str">
        <f aca="false">IF(U11&gt;=N11*0.999,IF(U11&gt;0,"Used to capacity","–"),IF(U11&gt;0,"Marginal (fills the gap)",IF(Z11&gt;0,"Test only (wk 1–2)","Not used")))</f>
        <v>Test only (wk 1–2)</v>
      </c>
    </row>
    <row r="12" customFormat="false" ht="15" hidden="false" customHeight="false" outlineLevel="0" collapsed="false">
      <c r="A12" s="2" t="str">
        <f aca="false">Assumptions!A99</f>
        <v>C08</v>
      </c>
      <c r="B12" s="2" t="str">
        <f aca="false">Assumptions!B99</f>
        <v>Programmatic job ads (Joveo: Indeed, Jooble, Talent.com, Kimeta, meinestadt…)</v>
      </c>
      <c r="C12" s="2" t="str">
        <f aca="false">Assumptions!C99</f>
        <v>Supervisors</v>
      </c>
      <c r="D12" s="2" t="s">
        <v>216</v>
      </c>
      <c r="E12" s="2" t="str">
        <f aca="false">Assumptions!D99</f>
        <v>CPC</v>
      </c>
      <c r="F12" s="37" t="n">
        <f aca="false">Assumptions!E99</f>
        <v>1.7</v>
      </c>
      <c r="G12" s="25" t="n">
        <f aca="false">IF(E12="Free","",Assumptions!F99)</f>
        <v>0.04</v>
      </c>
      <c r="H12" s="37" t="n">
        <f aca="false">IF(E12="CPC",F12/G12,IF(E12="Slot",F12/G12,F12))</f>
        <v>42.5</v>
      </c>
      <c r="I12" s="24" t="n">
        <f aca="false">Assumptions!G99</f>
        <v>0.1</v>
      </c>
      <c r="J12" s="23" t="n">
        <f aca="false">IF(E12="Slot",Assumptions!H99*G12,Assumptions!H99)</f>
        <v>200</v>
      </c>
      <c r="K12" s="26" t="n">
        <f aca="false">J12*I12</f>
        <v>20</v>
      </c>
      <c r="L12" s="25" t="n">
        <f aca="false">INDEX(Funnel!$G$5:$G$8,MATCH(C12,Funnel!$A$5:$A$8,0))*M12</f>
        <v>0.26775</v>
      </c>
      <c r="M12" s="38" t="n">
        <f aca="false">Assumptions!I99</f>
        <v>1</v>
      </c>
      <c r="N12" s="26" t="n">
        <f aca="false">K12*L12</f>
        <v>5.355</v>
      </c>
      <c r="O12" s="35" t="n">
        <f aca="false">IF(I12&gt;0,H12/I12,0)</f>
        <v>425</v>
      </c>
      <c r="P12" s="35" t="n">
        <f aca="false">IF(L12&gt;0,O12/L12,0)</f>
        <v>1587.30158730159</v>
      </c>
      <c r="Q12" s="39" t="n">
        <f aca="false">P12+ROW()/1000000</f>
        <v>1587.30159930159</v>
      </c>
      <c r="R12" s="23" t="n">
        <f aca="false">COUNTIFS($C$5:$C$34,C12,$Q$5:$Q$34,"&lt;"&amp;Q12)+1</f>
        <v>7</v>
      </c>
      <c r="S12" s="26" t="n">
        <f aca="false">SUMIFS($N$5:$N$34,$C$5:$C$34,C12,$Q$5:$Q$34,"&lt;"&amp;Q12)</f>
        <v>12.19869</v>
      </c>
      <c r="T12" s="23" t="n">
        <f aca="false">INDEX(Funnel!$B$5:$B$8,MATCH(C12,Funnel!$A$5:$A$8,0))</f>
        <v>10</v>
      </c>
      <c r="U12" s="40" t="n">
        <f aca="false">MIN(N12,MAX(0,T12-S12))</f>
        <v>0</v>
      </c>
      <c r="V12" s="26" t="n">
        <f aca="false">IF(L12&gt;0,U12/L12,0)</f>
        <v>0</v>
      </c>
      <c r="W12" s="23" t="n">
        <f aca="false">IF(I12&gt;0,V12/I12,0)</f>
        <v>0</v>
      </c>
      <c r="X12" s="35" t="n">
        <f aca="false">IF(E12="Slot",ROUNDUP(W12/G12,0)*F12,W12*H12)</f>
        <v>0</v>
      </c>
      <c r="Y12" s="35" t="n">
        <f aca="false">IF(U12&gt;0,Assumptions!J99,0)</f>
        <v>0</v>
      </c>
      <c r="Z12" s="35" t="n">
        <f aca="false">IF(AND(D12="Channel",OR(E12="CPC",E12="CPA")),MAX(0,Assumptions!$D$49-X12*(Assumptions!$D$51+Assumptions!$D$52)),0)</f>
        <v>300</v>
      </c>
      <c r="AA12" s="35" t="n">
        <f aca="false">X12+Y12+Z12</f>
        <v>300</v>
      </c>
      <c r="AB12" s="35" t="str">
        <f aca="false">IF(U12&gt;0,(X12+Y12)/U12,"–")</f>
        <v>–</v>
      </c>
      <c r="AC12" s="23" t="n">
        <f aca="false">COUNTIF($Q$5:$Q$34,"&lt;"&amp;Q12)+1</f>
        <v>30</v>
      </c>
      <c r="AD12" s="2" t="str">
        <f aca="false">IF(U12&gt;=N12*0.999,IF(U12&gt;0,"Used to capacity","–"),IF(U12&gt;0,"Marginal (fills the gap)",IF(Z12&gt;0,"Test only (wk 1–2)","Not used")))</f>
        <v>Test only (wk 1–2)</v>
      </c>
    </row>
    <row r="13" customFormat="false" ht="15" hidden="false" customHeight="false" outlineLevel="0" collapsed="false">
      <c r="A13" s="2" t="str">
        <f aca="false">Assumptions!A100</f>
        <v>C09</v>
      </c>
      <c r="B13" s="2" t="str">
        <f aca="false">Assumptions!B100</f>
        <v>StepStone (30-day single ad)</v>
      </c>
      <c r="C13" s="2" t="str">
        <f aca="false">Assumptions!C100</f>
        <v>Electricians</v>
      </c>
      <c r="D13" s="2" t="s">
        <v>216</v>
      </c>
      <c r="E13" s="2" t="str">
        <f aca="false">Assumptions!D100</f>
        <v>Slot</v>
      </c>
      <c r="F13" s="37" t="n">
        <f aca="false">Assumptions!E100</f>
        <v>1449</v>
      </c>
      <c r="G13" s="23" t="n">
        <f aca="false">IF(E13="Free","",Assumptions!F100)</f>
        <v>15</v>
      </c>
      <c r="H13" s="37" t="n">
        <f aca="false">IF(E13="CPC",F13/G13,IF(E13="Slot",F13/G13,F13))</f>
        <v>96.6</v>
      </c>
      <c r="I13" s="24" t="n">
        <f aca="false">Assumptions!G100</f>
        <v>0.3</v>
      </c>
      <c r="J13" s="23" t="n">
        <f aca="false">IF(E13="Slot",Assumptions!H100*G13,Assumptions!H100)</f>
        <v>45</v>
      </c>
      <c r="K13" s="26" t="n">
        <f aca="false">J13*I13</f>
        <v>13.5</v>
      </c>
      <c r="L13" s="25" t="n">
        <f aca="false">INDEX(Funnel!$G$5:$G$8,MATCH(C13,Funnel!$A$5:$A$8,0))*M13</f>
        <v>0.32175</v>
      </c>
      <c r="M13" s="38" t="n">
        <f aca="false">Assumptions!I100</f>
        <v>1</v>
      </c>
      <c r="N13" s="26" t="n">
        <f aca="false">K13*L13</f>
        <v>4.343625</v>
      </c>
      <c r="O13" s="35" t="n">
        <f aca="false">IF(I13&gt;0,H13/I13,0)</f>
        <v>322</v>
      </c>
      <c r="P13" s="35" t="n">
        <f aca="false">IF(L13&gt;0,O13/L13,0)</f>
        <v>1000.777000777</v>
      </c>
      <c r="Q13" s="39" t="n">
        <f aca="false">P13+ROW()/1000000</f>
        <v>1000.777013777</v>
      </c>
      <c r="R13" s="23" t="n">
        <f aca="false">COUNTIFS($C$5:$C$34,C13,$Q$5:$Q$34,"&lt;"&amp;Q13)+1</f>
        <v>6</v>
      </c>
      <c r="S13" s="26" t="n">
        <f aca="false">SUMIFS($N$5:$N$34,$C$5:$C$34,C13,$Q$5:$Q$34,"&lt;"&amp;Q13)</f>
        <v>27.907790625</v>
      </c>
      <c r="T13" s="23" t="n">
        <f aca="false">INDEX(Funnel!$B$5:$B$8,MATCH(C13,Funnel!$A$5:$A$8,0))</f>
        <v>30</v>
      </c>
      <c r="U13" s="40" t="n">
        <f aca="false">MIN(N13,MAX(0,T13-S13))</f>
        <v>2.092209375</v>
      </c>
      <c r="V13" s="26" t="n">
        <f aca="false">IF(L13&gt;0,U13/L13,0)</f>
        <v>6.50259324009324</v>
      </c>
      <c r="W13" s="23" t="n">
        <f aca="false">IF(I13&gt;0,V13/I13,0)</f>
        <v>21.6753108003108</v>
      </c>
      <c r="X13" s="35" t="n">
        <f aca="false">IF(E13="Slot",ROUNDUP(W13/G13,0)*F13,W13*H13)</f>
        <v>2898</v>
      </c>
      <c r="Y13" s="35" t="n">
        <f aca="false">IF(U13&gt;0,Assumptions!J100,0)</f>
        <v>0</v>
      </c>
      <c r="Z13" s="35" t="n">
        <f aca="false">IF(AND(D13="Channel",OR(E13="CPC",E13="CPA")),MAX(0,Assumptions!$D$49-X13*(Assumptions!$D$51+Assumptions!$D$52)),0)</f>
        <v>0</v>
      </c>
      <c r="AA13" s="35" t="n">
        <f aca="false">X13+Y13+Z13</f>
        <v>2898</v>
      </c>
      <c r="AB13" s="35" t="n">
        <f aca="false">IF(U13&gt;0,(X13+Y13)/U13,"–")</f>
        <v>1385.1386169226</v>
      </c>
      <c r="AC13" s="23" t="n">
        <f aca="false">COUNTIF($Q$5:$Q$34,"&lt;"&amp;Q13)+1</f>
        <v>24</v>
      </c>
      <c r="AD13" s="2" t="str">
        <f aca="false">IF(U13&gt;=N13*0.999,IF(U13&gt;0,"Used to capacity","–"),IF(U13&gt;0,"Marginal (fills the gap)",IF(Z13&gt;0,"Test only (wk 1–2)","Not used")))</f>
        <v>Marginal (fills the gap)</v>
      </c>
    </row>
    <row r="14" customFormat="false" ht="15" hidden="false" customHeight="false" outlineLevel="0" collapsed="false">
      <c r="A14" s="2" t="str">
        <f aca="false">Assumptions!A101</f>
        <v>C10</v>
      </c>
      <c r="B14" s="2" t="str">
        <f aca="false">Assumptions!B101</f>
        <v>StepStone (30-day single ad)</v>
      </c>
      <c r="C14" s="2" t="str">
        <f aca="false">Assumptions!C101</f>
        <v>Mechatronics</v>
      </c>
      <c r="D14" s="2" t="s">
        <v>216</v>
      </c>
      <c r="E14" s="2" t="str">
        <f aca="false">Assumptions!D101</f>
        <v>Slot</v>
      </c>
      <c r="F14" s="37" t="n">
        <f aca="false">Assumptions!E101</f>
        <v>1449</v>
      </c>
      <c r="G14" s="23" t="n">
        <f aca="false">IF(E14="Free","",Assumptions!F101)</f>
        <v>25</v>
      </c>
      <c r="H14" s="37" t="n">
        <f aca="false">IF(E14="CPC",F14/G14,IF(E14="Slot",F14/G14,F14))</f>
        <v>57.96</v>
      </c>
      <c r="I14" s="24" t="n">
        <f aca="false">Assumptions!G101</f>
        <v>0.35</v>
      </c>
      <c r="J14" s="23" t="n">
        <f aca="false">IF(E14="Slot",Assumptions!H101*G14,Assumptions!H101)</f>
        <v>75</v>
      </c>
      <c r="K14" s="26" t="n">
        <f aca="false">J14*I14</f>
        <v>26.25</v>
      </c>
      <c r="L14" s="25" t="n">
        <f aca="false">INDEX(Funnel!$G$5:$G$8,MATCH(C14,Funnel!$A$5:$A$8,0))*M14</f>
        <v>0.405</v>
      </c>
      <c r="M14" s="38" t="n">
        <f aca="false">Assumptions!I101</f>
        <v>1</v>
      </c>
      <c r="N14" s="26" t="n">
        <f aca="false">K14*L14</f>
        <v>10.63125</v>
      </c>
      <c r="O14" s="35" t="n">
        <f aca="false">IF(I14&gt;0,H14/I14,0)</f>
        <v>165.6</v>
      </c>
      <c r="P14" s="35" t="n">
        <f aca="false">IF(L14&gt;0,O14/L14,0)</f>
        <v>408.888888888889</v>
      </c>
      <c r="Q14" s="39" t="n">
        <f aca="false">P14+ROW()/1000000</f>
        <v>408.888902888889</v>
      </c>
      <c r="R14" s="23" t="n">
        <f aca="false">COUNTIFS($C$5:$C$34,C14,$Q$5:$Q$34,"&lt;"&amp;Q14)+1</f>
        <v>7</v>
      </c>
      <c r="S14" s="26" t="n">
        <f aca="false">SUMIFS($N$5:$N$34,$C$5:$C$34,C14,$Q$5:$Q$34,"&lt;"&amp;Q14)</f>
        <v>128.8485</v>
      </c>
      <c r="T14" s="23" t="n">
        <f aca="false">INDEX(Funnel!$B$5:$B$8,MATCH(C14,Funnel!$A$5:$A$8,0))</f>
        <v>45</v>
      </c>
      <c r="U14" s="40" t="n">
        <f aca="false">MIN(N14,MAX(0,T14-S14))</f>
        <v>0</v>
      </c>
      <c r="V14" s="26" t="n">
        <f aca="false">IF(L14&gt;0,U14/L14,0)</f>
        <v>0</v>
      </c>
      <c r="W14" s="23" t="n">
        <f aca="false">IF(I14&gt;0,V14/I14,0)</f>
        <v>0</v>
      </c>
      <c r="X14" s="35" t="n">
        <f aca="false">IF(E14="Slot",ROUNDUP(W14/G14,0)*F14,W14*H14)</f>
        <v>0</v>
      </c>
      <c r="Y14" s="35" t="n">
        <f aca="false">IF(U14&gt;0,Assumptions!J101,0)</f>
        <v>0</v>
      </c>
      <c r="Z14" s="35" t="n">
        <f aca="false">IF(AND(D14="Channel",OR(E14="CPC",E14="CPA")),MAX(0,Assumptions!$D$49-X14*(Assumptions!$D$51+Assumptions!$D$52)),0)</f>
        <v>0</v>
      </c>
      <c r="AA14" s="35" t="n">
        <f aca="false">X14+Y14+Z14</f>
        <v>0</v>
      </c>
      <c r="AB14" s="35" t="str">
        <f aca="false">IF(U14&gt;0,(X14+Y14)/U14,"–")</f>
        <v>–</v>
      </c>
      <c r="AC14" s="23" t="n">
        <f aca="false">COUNTIF($Q$5:$Q$34,"&lt;"&amp;Q14)+1</f>
        <v>13</v>
      </c>
      <c r="AD14" s="2" t="str">
        <f aca="false">IF(U14&gt;=N14*0.999,IF(U14&gt;0,"Used to capacity","–"),IF(U14&gt;0,"Marginal (fills the gap)",IF(Z14&gt;0,"Test only (wk 1–2)","Not used")))</f>
        <v>Not used</v>
      </c>
    </row>
    <row r="15" customFormat="false" ht="15" hidden="false" customHeight="false" outlineLevel="0" collapsed="false">
      <c r="A15" s="2" t="str">
        <f aca="false">Assumptions!A102</f>
        <v>C11</v>
      </c>
      <c r="B15" s="2" t="str">
        <f aca="false">Assumptions!B102</f>
        <v>StepStone (30-day single ad)</v>
      </c>
      <c r="C15" s="2" t="str">
        <f aca="false">Assumptions!C102</f>
        <v>Automation</v>
      </c>
      <c r="D15" s="2" t="s">
        <v>216</v>
      </c>
      <c r="E15" s="2" t="str">
        <f aca="false">Assumptions!D102</f>
        <v>Slot</v>
      </c>
      <c r="F15" s="37" t="n">
        <f aca="false">Assumptions!E102</f>
        <v>1449</v>
      </c>
      <c r="G15" s="23" t="n">
        <f aca="false">IF(E15="Free","",Assumptions!F102)</f>
        <v>15</v>
      </c>
      <c r="H15" s="37" t="n">
        <f aca="false">IF(E15="CPC",F15/G15,IF(E15="Slot",F15/G15,F15))</f>
        <v>96.6</v>
      </c>
      <c r="I15" s="24" t="n">
        <f aca="false">Assumptions!G102</f>
        <v>0.25</v>
      </c>
      <c r="J15" s="23" t="n">
        <f aca="false">IF(E15="Slot",Assumptions!H102*G15,Assumptions!H102)</f>
        <v>30</v>
      </c>
      <c r="K15" s="26" t="n">
        <f aca="false">J15*I15</f>
        <v>7.5</v>
      </c>
      <c r="L15" s="25" t="n">
        <f aca="false">INDEX(Funnel!$G$5:$G$8,MATCH(C15,Funnel!$A$5:$A$8,0))*M15</f>
        <v>0.2925</v>
      </c>
      <c r="M15" s="38" t="n">
        <f aca="false">Assumptions!I102</f>
        <v>1</v>
      </c>
      <c r="N15" s="26" t="n">
        <f aca="false">K15*L15</f>
        <v>2.19375</v>
      </c>
      <c r="O15" s="35" t="n">
        <f aca="false">IF(I15&gt;0,H15/I15,0)</f>
        <v>386.4</v>
      </c>
      <c r="P15" s="35" t="n">
        <f aca="false">IF(L15&gt;0,O15/L15,0)</f>
        <v>1321.02564102564</v>
      </c>
      <c r="Q15" s="39" t="n">
        <f aca="false">P15+ROW()/1000000</f>
        <v>1321.02565602564</v>
      </c>
      <c r="R15" s="23" t="n">
        <f aca="false">COUNTIFS($C$5:$C$34,C15,$Q$5:$Q$34,"&lt;"&amp;Q15)+1</f>
        <v>7</v>
      </c>
      <c r="S15" s="26" t="n">
        <f aca="false">SUMIFS($N$5:$N$34,$C$5:$C$34,C15,$Q$5:$Q$34,"&lt;"&amp;Q15)</f>
        <v>27.7743375</v>
      </c>
      <c r="T15" s="23" t="n">
        <f aca="false">INDEX(Funnel!$B$5:$B$8,MATCH(C15,Funnel!$A$5:$A$8,0))</f>
        <v>15</v>
      </c>
      <c r="U15" s="40" t="n">
        <f aca="false">MIN(N15,MAX(0,T15-S15))</f>
        <v>0</v>
      </c>
      <c r="V15" s="26" t="n">
        <f aca="false">IF(L15&gt;0,U15/L15,0)</f>
        <v>0</v>
      </c>
      <c r="W15" s="23" t="n">
        <f aca="false">IF(I15&gt;0,V15/I15,0)</f>
        <v>0</v>
      </c>
      <c r="X15" s="35" t="n">
        <f aca="false">IF(E15="Slot",ROUNDUP(W15/G15,0)*F15,W15*H15)</f>
        <v>0</v>
      </c>
      <c r="Y15" s="35" t="n">
        <f aca="false">IF(U15&gt;0,Assumptions!J102,0)</f>
        <v>0</v>
      </c>
      <c r="Z15" s="35" t="n">
        <f aca="false">IF(AND(D15="Channel",OR(E15="CPC",E15="CPA")),MAX(0,Assumptions!$D$49-X15*(Assumptions!$D$51+Assumptions!$D$52)),0)</f>
        <v>0</v>
      </c>
      <c r="AA15" s="35" t="n">
        <f aca="false">X15+Y15+Z15</f>
        <v>0</v>
      </c>
      <c r="AB15" s="35" t="str">
        <f aca="false">IF(U15&gt;0,(X15+Y15)/U15,"–")</f>
        <v>–</v>
      </c>
      <c r="AC15" s="23" t="n">
        <f aca="false">COUNTIF($Q$5:$Q$34,"&lt;"&amp;Q15)+1</f>
        <v>27</v>
      </c>
      <c r="AD15" s="2" t="str">
        <f aca="false">IF(U15&gt;=N15*0.999,IF(U15&gt;0,"Used to capacity","–"),IF(U15&gt;0,"Marginal (fills the gap)",IF(Z15&gt;0,"Test only (wk 1–2)","Not used")))</f>
        <v>Not used</v>
      </c>
    </row>
    <row r="16" customFormat="false" ht="15" hidden="false" customHeight="false" outlineLevel="0" collapsed="false">
      <c r="A16" s="2" t="str">
        <f aca="false">Assumptions!A103</f>
        <v>C12</v>
      </c>
      <c r="B16" s="2" t="str">
        <f aca="false">Assumptions!B103</f>
        <v>StepStone (30-day single ad)</v>
      </c>
      <c r="C16" s="2" t="str">
        <f aca="false">Assumptions!C103</f>
        <v>Supervisors</v>
      </c>
      <c r="D16" s="2" t="s">
        <v>216</v>
      </c>
      <c r="E16" s="2" t="str">
        <f aca="false">Assumptions!D103</f>
        <v>Slot</v>
      </c>
      <c r="F16" s="37" t="n">
        <f aca="false">Assumptions!E103</f>
        <v>1449</v>
      </c>
      <c r="G16" s="23" t="n">
        <f aca="false">IF(E16="Free","",Assumptions!F103)</f>
        <v>15</v>
      </c>
      <c r="H16" s="37" t="n">
        <f aca="false">IF(E16="CPC",F16/G16,IF(E16="Slot",F16/G16,F16))</f>
        <v>96.6</v>
      </c>
      <c r="I16" s="24" t="n">
        <f aca="false">Assumptions!G103</f>
        <v>0.25</v>
      </c>
      <c r="J16" s="23" t="n">
        <f aca="false">IF(E16="Slot",Assumptions!H103*G16,Assumptions!H103)</f>
        <v>30</v>
      </c>
      <c r="K16" s="26" t="n">
        <f aca="false">J16*I16</f>
        <v>7.5</v>
      </c>
      <c r="L16" s="25" t="n">
        <f aca="false">INDEX(Funnel!$G$5:$G$8,MATCH(C16,Funnel!$A$5:$A$8,0))*M16</f>
        <v>0.26775</v>
      </c>
      <c r="M16" s="38" t="n">
        <f aca="false">Assumptions!I103</f>
        <v>1</v>
      </c>
      <c r="N16" s="26" t="n">
        <f aca="false">K16*L16</f>
        <v>2.008125</v>
      </c>
      <c r="O16" s="35" t="n">
        <f aca="false">IF(I16&gt;0,H16/I16,0)</f>
        <v>386.4</v>
      </c>
      <c r="P16" s="35" t="n">
        <f aca="false">IF(L16&gt;0,O16/L16,0)</f>
        <v>1443.13725490196</v>
      </c>
      <c r="Q16" s="39" t="n">
        <f aca="false">P16+ROW()/1000000</f>
        <v>1443.13727090196</v>
      </c>
      <c r="R16" s="23" t="n">
        <f aca="false">COUNTIFS($C$5:$C$34,C16,$Q$5:$Q$34,"&lt;"&amp;Q16)+1</f>
        <v>6</v>
      </c>
      <c r="S16" s="26" t="n">
        <f aca="false">SUMIFS($N$5:$N$34,$C$5:$C$34,C16,$Q$5:$Q$34,"&lt;"&amp;Q16)</f>
        <v>10.190565</v>
      </c>
      <c r="T16" s="23" t="n">
        <f aca="false">INDEX(Funnel!$B$5:$B$8,MATCH(C16,Funnel!$A$5:$A$8,0))</f>
        <v>10</v>
      </c>
      <c r="U16" s="40" t="n">
        <f aca="false">MIN(N16,MAX(0,T16-S16))</f>
        <v>0</v>
      </c>
      <c r="V16" s="26" t="n">
        <f aca="false">IF(L16&gt;0,U16/L16,0)</f>
        <v>0</v>
      </c>
      <c r="W16" s="23" t="n">
        <f aca="false">IF(I16&gt;0,V16/I16,0)</f>
        <v>0</v>
      </c>
      <c r="X16" s="35" t="n">
        <f aca="false">IF(E16="Slot",ROUNDUP(W16/G16,0)*F16,W16*H16)</f>
        <v>0</v>
      </c>
      <c r="Y16" s="35" t="n">
        <f aca="false">IF(U16&gt;0,Assumptions!J103,0)</f>
        <v>0</v>
      </c>
      <c r="Z16" s="35" t="n">
        <f aca="false">IF(AND(D16="Channel",OR(E16="CPC",E16="CPA")),MAX(0,Assumptions!$D$49-X16*(Assumptions!$D$51+Assumptions!$D$52)),0)</f>
        <v>0</v>
      </c>
      <c r="AA16" s="35" t="n">
        <f aca="false">X16+Y16+Z16</f>
        <v>0</v>
      </c>
      <c r="AB16" s="35" t="str">
        <f aca="false">IF(U16&gt;0,(X16+Y16)/U16,"–")</f>
        <v>–</v>
      </c>
      <c r="AC16" s="23" t="n">
        <f aca="false">COUNTIF($Q$5:$Q$34,"&lt;"&amp;Q16)+1</f>
        <v>28</v>
      </c>
      <c r="AD16" s="2" t="str">
        <f aca="false">IF(U16&gt;=N16*0.999,IF(U16&gt;0,"Used to capacity","–"),IF(U16&gt;0,"Marginal (fills the gap)",IF(Z16&gt;0,"Test only (wk 1–2)","Not used")))</f>
        <v>Not used</v>
      </c>
    </row>
    <row r="17" customFormat="false" ht="15" hidden="false" customHeight="false" outlineLevel="0" collapsed="false">
      <c r="A17" s="2" t="str">
        <f aca="false">Assumptions!A104</f>
        <v>C13</v>
      </c>
      <c r="B17" s="2" t="str">
        <f aca="false">Assumptions!B104</f>
        <v>LinkedIn (promoted jobs + InMail)</v>
      </c>
      <c r="C17" s="2" t="str">
        <f aca="false">Assumptions!C104</f>
        <v>Automation</v>
      </c>
      <c r="D17" s="2" t="s">
        <v>216</v>
      </c>
      <c r="E17" s="2" t="str">
        <f aca="false">Assumptions!D104</f>
        <v>CPC</v>
      </c>
      <c r="F17" s="37" t="n">
        <f aca="false">Assumptions!E104</f>
        <v>3.5</v>
      </c>
      <c r="G17" s="25" t="n">
        <f aca="false">IF(E17="Free","",Assumptions!F104)</f>
        <v>0.08</v>
      </c>
      <c r="H17" s="37" t="n">
        <f aca="false">IF(E17="CPC",F17/G17,IF(E17="Slot",F17/G17,F17))</f>
        <v>43.75</v>
      </c>
      <c r="I17" s="24" t="n">
        <f aca="false">Assumptions!G104</f>
        <v>0.25</v>
      </c>
      <c r="J17" s="23" t="n">
        <f aca="false">IF(E17="Slot",Assumptions!H104*G17,Assumptions!H104)</f>
        <v>150</v>
      </c>
      <c r="K17" s="26" t="n">
        <f aca="false">J17*I17</f>
        <v>37.5</v>
      </c>
      <c r="L17" s="25" t="n">
        <f aca="false">INDEX(Funnel!$G$5:$G$8,MATCH(C17,Funnel!$A$5:$A$8,0))*M17</f>
        <v>0.2925</v>
      </c>
      <c r="M17" s="38" t="n">
        <f aca="false">Assumptions!I104</f>
        <v>1</v>
      </c>
      <c r="N17" s="26" t="n">
        <f aca="false">K17*L17</f>
        <v>10.96875</v>
      </c>
      <c r="O17" s="35" t="n">
        <f aca="false">IF(I17&gt;0,H17/I17,0)</f>
        <v>175</v>
      </c>
      <c r="P17" s="35" t="n">
        <f aca="false">IF(L17&gt;0,O17/L17,0)</f>
        <v>598.290598290598</v>
      </c>
      <c r="Q17" s="39" t="n">
        <f aca="false">P17+ROW()/1000000</f>
        <v>598.290615290598</v>
      </c>
      <c r="R17" s="23" t="n">
        <f aca="false">COUNTIFS($C$5:$C$34,C17,$Q$5:$Q$34,"&lt;"&amp;Q17)+1</f>
        <v>3</v>
      </c>
      <c r="S17" s="26" t="n">
        <f aca="false">SUMIFS($N$5:$N$34,$C$5:$C$34,C17,$Q$5:$Q$34,"&lt;"&amp;Q17)</f>
        <v>4.7619</v>
      </c>
      <c r="T17" s="23" t="n">
        <f aca="false">INDEX(Funnel!$B$5:$B$8,MATCH(C17,Funnel!$A$5:$A$8,0))</f>
        <v>15</v>
      </c>
      <c r="U17" s="40" t="n">
        <f aca="false">MIN(N17,MAX(0,T17-S17))</f>
        <v>10.2381</v>
      </c>
      <c r="V17" s="26" t="n">
        <f aca="false">IF(L17&gt;0,U17/L17,0)</f>
        <v>35.0020512820513</v>
      </c>
      <c r="W17" s="23" t="n">
        <f aca="false">IF(I17&gt;0,V17/I17,0)</f>
        <v>140.008205128205</v>
      </c>
      <c r="X17" s="35" t="n">
        <f aca="false">IF(E17="Slot",ROUNDUP(W17/G17,0)*F17,W17*H17)</f>
        <v>6125.35897435897</v>
      </c>
      <c r="Y17" s="35" t="n">
        <f aca="false">IF(U17&gt;0,Assumptions!J104,0)</f>
        <v>0</v>
      </c>
      <c r="Z17" s="35" t="n">
        <f aca="false">IF(AND(D17="Channel",OR(E17="CPC",E17="CPA")),MAX(0,Assumptions!$D$49-X17*(Assumptions!$D$51+Assumptions!$D$52)),0)</f>
        <v>0</v>
      </c>
      <c r="AA17" s="35" t="n">
        <f aca="false">X17+Y17+Z17</f>
        <v>6125.35897435897</v>
      </c>
      <c r="AB17" s="35" t="n">
        <f aca="false">IF(U17&gt;0,(X17+Y17)/U17,"–")</f>
        <v>598.290598290598</v>
      </c>
      <c r="AC17" s="23" t="n">
        <f aca="false">COUNTIF($Q$5:$Q$34,"&lt;"&amp;Q17)+1</f>
        <v>14</v>
      </c>
      <c r="AD17" s="2" t="str">
        <f aca="false">IF(U17&gt;=N17*0.999,IF(U17&gt;0,"Used to capacity","–"),IF(U17&gt;0,"Marginal (fills the gap)",IF(Z17&gt;0,"Test only (wk 1–2)","Not used")))</f>
        <v>Marginal (fills the gap)</v>
      </c>
    </row>
    <row r="18" customFormat="false" ht="15" hidden="false" customHeight="false" outlineLevel="0" collapsed="false">
      <c r="A18" s="2" t="str">
        <f aca="false">Assumptions!A105</f>
        <v>C14</v>
      </c>
      <c r="B18" s="2" t="str">
        <f aca="false">Assumptions!B105</f>
        <v>LinkedIn (promoted jobs + InMail)</v>
      </c>
      <c r="C18" s="2" t="str">
        <f aca="false">Assumptions!C105</f>
        <v>Supervisors</v>
      </c>
      <c r="D18" s="2" t="s">
        <v>216</v>
      </c>
      <c r="E18" s="2" t="str">
        <f aca="false">Assumptions!D105</f>
        <v>CPC</v>
      </c>
      <c r="F18" s="37" t="n">
        <f aca="false">Assumptions!E105</f>
        <v>3.5</v>
      </c>
      <c r="G18" s="25" t="n">
        <f aca="false">IF(E18="Free","",Assumptions!F105)</f>
        <v>0.08</v>
      </c>
      <c r="H18" s="37" t="n">
        <f aca="false">IF(E18="CPC",F18/G18,IF(E18="Slot",F18/G18,F18))</f>
        <v>43.75</v>
      </c>
      <c r="I18" s="24" t="n">
        <f aca="false">Assumptions!G105</f>
        <v>0.2</v>
      </c>
      <c r="J18" s="23" t="n">
        <f aca="false">IF(E18="Slot",Assumptions!H105*G18,Assumptions!H105)</f>
        <v>100</v>
      </c>
      <c r="K18" s="26" t="n">
        <f aca="false">J18*I18</f>
        <v>20</v>
      </c>
      <c r="L18" s="25" t="n">
        <f aca="false">INDEX(Funnel!$G$5:$G$8,MATCH(C18,Funnel!$A$5:$A$8,0))*M18</f>
        <v>0.26775</v>
      </c>
      <c r="M18" s="38" t="n">
        <f aca="false">Assumptions!I105</f>
        <v>1</v>
      </c>
      <c r="N18" s="26" t="n">
        <f aca="false">K18*L18</f>
        <v>5.355</v>
      </c>
      <c r="O18" s="35" t="n">
        <f aca="false">IF(I18&gt;0,H18/I18,0)</f>
        <v>218.75</v>
      </c>
      <c r="P18" s="35" t="n">
        <f aca="false">IF(L18&gt;0,O18/L18,0)</f>
        <v>816.993464052288</v>
      </c>
      <c r="Q18" s="39" t="n">
        <f aca="false">P18+ROW()/1000000</f>
        <v>816.993482052288</v>
      </c>
      <c r="R18" s="23" t="n">
        <f aca="false">COUNTIFS($C$5:$C$34,C18,$Q$5:$Q$34,"&lt;"&amp;Q18)+1</f>
        <v>3</v>
      </c>
      <c r="S18" s="26" t="n">
        <f aca="false">SUMIFS($N$5:$N$34,$C$5:$C$34,C18,$Q$5:$Q$34,"&lt;"&amp;Q18)</f>
        <v>2.76318</v>
      </c>
      <c r="T18" s="23" t="n">
        <f aca="false">INDEX(Funnel!$B$5:$B$8,MATCH(C18,Funnel!$A$5:$A$8,0))</f>
        <v>10</v>
      </c>
      <c r="U18" s="40" t="n">
        <f aca="false">MIN(N18,MAX(0,T18-S18))</f>
        <v>5.355</v>
      </c>
      <c r="V18" s="26" t="n">
        <f aca="false">IF(L18&gt;0,U18/L18,0)</f>
        <v>20</v>
      </c>
      <c r="W18" s="23" t="n">
        <f aca="false">IF(I18&gt;0,V18/I18,0)</f>
        <v>100</v>
      </c>
      <c r="X18" s="35" t="n">
        <f aca="false">IF(E18="Slot",ROUNDUP(W18/G18,0)*F18,W18*H18)</f>
        <v>4375</v>
      </c>
      <c r="Y18" s="35" t="n">
        <f aca="false">IF(U18&gt;0,Assumptions!J105,0)</f>
        <v>0</v>
      </c>
      <c r="Z18" s="35" t="n">
        <f aca="false">IF(AND(D18="Channel",OR(E18="CPC",E18="CPA")),MAX(0,Assumptions!$D$49-X18*(Assumptions!$D$51+Assumptions!$D$52)),0)</f>
        <v>0</v>
      </c>
      <c r="AA18" s="35" t="n">
        <f aca="false">X18+Y18+Z18</f>
        <v>4375</v>
      </c>
      <c r="AB18" s="35" t="n">
        <f aca="false">IF(U18&gt;0,(X18+Y18)/U18,"–")</f>
        <v>816.993464052288</v>
      </c>
      <c r="AC18" s="23" t="n">
        <f aca="false">COUNTIF($Q$5:$Q$34,"&lt;"&amp;Q18)+1</f>
        <v>18</v>
      </c>
      <c r="AD18" s="2" t="str">
        <f aca="false">IF(U18&gt;=N18*0.999,IF(U18&gt;0,"Used to capacity","–"),IF(U18&gt;0,"Marginal (fills the gap)",IF(Z18&gt;0,"Test only (wk 1–2)","Not used")))</f>
        <v>Used to capacity</v>
      </c>
    </row>
    <row r="19" customFormat="false" ht="15" hidden="false" customHeight="false" outlineLevel="0" collapsed="false">
      <c r="A19" s="2" t="str">
        <f aca="false">Assumptions!A106</f>
        <v>C15</v>
      </c>
      <c r="B19" s="2" t="str">
        <f aca="false">Assumptions!B106</f>
        <v>Meta social (FB/IG lead ads, 75 km geo)</v>
      </c>
      <c r="C19" s="2" t="str">
        <f aca="false">Assumptions!C106</f>
        <v>Electricians</v>
      </c>
      <c r="D19" s="2" t="s">
        <v>216</v>
      </c>
      <c r="E19" s="2" t="str">
        <f aca="false">Assumptions!D106</f>
        <v>CPA</v>
      </c>
      <c r="F19" s="37" t="n">
        <f aca="false">Assumptions!E106</f>
        <v>18</v>
      </c>
      <c r="G19" s="23" t="n">
        <f aca="false">IF(E19="Free","",Assumptions!F106)</f>
        <v>0</v>
      </c>
      <c r="H19" s="37" t="n">
        <f aca="false">IF(E19="CPC",F19/G19,IF(E19="Slot",F19/G19,F19))</f>
        <v>18</v>
      </c>
      <c r="I19" s="24" t="n">
        <f aca="false">Assumptions!G106</f>
        <v>0.05</v>
      </c>
      <c r="J19" s="23" t="n">
        <f aca="false">IF(E19="Slot",Assumptions!H106*G19,Assumptions!H106)</f>
        <v>400</v>
      </c>
      <c r="K19" s="26" t="n">
        <f aca="false">J19*I19</f>
        <v>20</v>
      </c>
      <c r="L19" s="25" t="n">
        <f aca="false">INDEX(Funnel!$G$5:$G$8,MATCH(C19,Funnel!$A$5:$A$8,0))*M19</f>
        <v>0.32175</v>
      </c>
      <c r="M19" s="38" t="n">
        <f aca="false">Assumptions!I106</f>
        <v>1</v>
      </c>
      <c r="N19" s="26" t="n">
        <f aca="false">K19*L19</f>
        <v>6.435</v>
      </c>
      <c r="O19" s="35" t="n">
        <f aca="false">IF(I19&gt;0,H19/I19,0)</f>
        <v>360</v>
      </c>
      <c r="P19" s="35" t="n">
        <f aca="false">IF(L19&gt;0,O19/L19,0)</f>
        <v>1118.88111888112</v>
      </c>
      <c r="Q19" s="39" t="n">
        <f aca="false">P19+ROW()/1000000</f>
        <v>1118.88113788112</v>
      </c>
      <c r="R19" s="23" t="n">
        <f aca="false">COUNTIFS($C$5:$C$34,C19,$Q$5:$Q$34,"&lt;"&amp;Q19)+1</f>
        <v>7</v>
      </c>
      <c r="S19" s="26" t="n">
        <f aca="false">SUMIFS($N$5:$N$34,$C$5:$C$34,C19,$Q$5:$Q$34,"&lt;"&amp;Q19)</f>
        <v>32.251415625</v>
      </c>
      <c r="T19" s="23" t="n">
        <f aca="false">INDEX(Funnel!$B$5:$B$8,MATCH(C19,Funnel!$A$5:$A$8,0))</f>
        <v>30</v>
      </c>
      <c r="U19" s="40" t="n">
        <f aca="false">MIN(N19,MAX(0,T19-S19))</f>
        <v>0</v>
      </c>
      <c r="V19" s="26" t="n">
        <f aca="false">IF(L19&gt;0,U19/L19,0)</f>
        <v>0</v>
      </c>
      <c r="W19" s="23" t="n">
        <f aca="false">IF(I19&gt;0,V19/I19,0)</f>
        <v>0</v>
      </c>
      <c r="X19" s="35" t="n">
        <f aca="false">IF(E19="Slot",ROUNDUP(W19/G19,0)*F19,W19*H19)</f>
        <v>0</v>
      </c>
      <c r="Y19" s="35" t="n">
        <f aca="false">IF(U19&gt;0,Assumptions!J106,0)</f>
        <v>0</v>
      </c>
      <c r="Z19" s="35" t="n">
        <f aca="false">IF(AND(D19="Channel",OR(E19="CPC",E19="CPA")),MAX(0,Assumptions!$D$49-X19*(Assumptions!$D$51+Assumptions!$D$52)),0)</f>
        <v>300</v>
      </c>
      <c r="AA19" s="35" t="n">
        <f aca="false">X19+Y19+Z19</f>
        <v>300</v>
      </c>
      <c r="AB19" s="35" t="str">
        <f aca="false">IF(U19&gt;0,(X19+Y19)/U19,"–")</f>
        <v>–</v>
      </c>
      <c r="AC19" s="23" t="n">
        <f aca="false">COUNTIF($Q$5:$Q$34,"&lt;"&amp;Q19)+1</f>
        <v>25</v>
      </c>
      <c r="AD19" s="2" t="str">
        <f aca="false">IF(U19&gt;=N19*0.999,IF(U19&gt;0,"Used to capacity","–"),IF(U19&gt;0,"Marginal (fills the gap)",IF(Z19&gt;0,"Test only (wk 1–2)","Not used")))</f>
        <v>Test only (wk 1–2)</v>
      </c>
    </row>
    <row r="20" customFormat="false" ht="15" hidden="false" customHeight="false" outlineLevel="0" collapsed="false">
      <c r="A20" s="2" t="str">
        <f aca="false">Assumptions!A107</f>
        <v>C16</v>
      </c>
      <c r="B20" s="2" t="str">
        <f aca="false">Assumptions!B107</f>
        <v>Meta social (FB/IG lead ads, 75 km geo)</v>
      </c>
      <c r="C20" s="2" t="str">
        <f aca="false">Assumptions!C107</f>
        <v>Mechatronics</v>
      </c>
      <c r="D20" s="2" t="s">
        <v>216</v>
      </c>
      <c r="E20" s="2" t="str">
        <f aca="false">Assumptions!D107</f>
        <v>CPA</v>
      </c>
      <c r="F20" s="37" t="n">
        <f aca="false">Assumptions!E107</f>
        <v>12</v>
      </c>
      <c r="G20" s="23" t="n">
        <f aca="false">IF(E20="Free","",Assumptions!F107)</f>
        <v>0</v>
      </c>
      <c r="H20" s="37" t="n">
        <f aca="false">IF(E20="CPC",F20/G20,IF(E20="Slot",F20/G20,F20))</f>
        <v>12</v>
      </c>
      <c r="I20" s="24" t="n">
        <f aca="false">Assumptions!G107</f>
        <v>0.12</v>
      </c>
      <c r="J20" s="23" t="n">
        <f aca="false">IF(E20="Slot",Assumptions!H107*G20,Assumptions!H107)</f>
        <v>500</v>
      </c>
      <c r="K20" s="26" t="n">
        <f aca="false">J20*I20</f>
        <v>60</v>
      </c>
      <c r="L20" s="25" t="n">
        <f aca="false">INDEX(Funnel!$G$5:$G$8,MATCH(C20,Funnel!$A$5:$A$8,0))*M20</f>
        <v>0.405</v>
      </c>
      <c r="M20" s="38" t="n">
        <f aca="false">Assumptions!I107</f>
        <v>1</v>
      </c>
      <c r="N20" s="26" t="n">
        <f aca="false">K20*L20</f>
        <v>24.3</v>
      </c>
      <c r="O20" s="35" t="n">
        <f aca="false">IF(I20&gt;0,H20/I20,0)</f>
        <v>100</v>
      </c>
      <c r="P20" s="35" t="n">
        <f aca="false">IF(L20&gt;0,O20/L20,0)</f>
        <v>246.913580246914</v>
      </c>
      <c r="Q20" s="39" t="n">
        <f aca="false">P20+ROW()/1000000</f>
        <v>246.913600246914</v>
      </c>
      <c r="R20" s="23" t="n">
        <f aca="false">COUNTIFS($C$5:$C$34,C20,$Q$5:$Q$34,"&lt;"&amp;Q20)+1</f>
        <v>4</v>
      </c>
      <c r="S20" s="26" t="n">
        <f aca="false">SUMIFS($N$5:$N$34,$C$5:$C$34,C20,$Q$5:$Q$34,"&lt;"&amp;Q20)</f>
        <v>40.9635</v>
      </c>
      <c r="T20" s="23" t="n">
        <f aca="false">INDEX(Funnel!$B$5:$B$8,MATCH(C20,Funnel!$A$5:$A$8,0))</f>
        <v>45</v>
      </c>
      <c r="U20" s="40" t="n">
        <f aca="false">MIN(N20,MAX(0,T20-S20))</f>
        <v>4.0365</v>
      </c>
      <c r="V20" s="26" t="n">
        <f aca="false">IF(L20&gt;0,U20/L20,0)</f>
        <v>9.96666666666666</v>
      </c>
      <c r="W20" s="23" t="n">
        <f aca="false">IF(I20&gt;0,V20/I20,0)</f>
        <v>83.0555555555555</v>
      </c>
      <c r="X20" s="35" t="n">
        <f aca="false">IF(E20="Slot",ROUNDUP(W20/G20,0)*F20,W20*H20)</f>
        <v>996.666666666666</v>
      </c>
      <c r="Y20" s="35" t="n">
        <f aca="false">IF(U20&gt;0,Assumptions!J107,0)</f>
        <v>0</v>
      </c>
      <c r="Z20" s="35" t="n">
        <f aca="false">IF(AND(D20="Channel",OR(E20="CPC",E20="CPA")),MAX(0,Assumptions!$D$49-X20*(Assumptions!$D$51+Assumptions!$D$52)),0)</f>
        <v>0</v>
      </c>
      <c r="AA20" s="35" t="n">
        <f aca="false">X20+Y20+Z20</f>
        <v>996.666666666666</v>
      </c>
      <c r="AB20" s="35" t="n">
        <f aca="false">IF(U20&gt;0,(X20+Y20)/U20,"–")</f>
        <v>246.913580246914</v>
      </c>
      <c r="AC20" s="23" t="n">
        <f aca="false">COUNTIF($Q$5:$Q$34,"&lt;"&amp;Q20)+1</f>
        <v>10</v>
      </c>
      <c r="AD20" s="2" t="str">
        <f aca="false">IF(U20&gt;=N20*0.999,IF(U20&gt;0,"Used to capacity","–"),IF(U20&gt;0,"Marginal (fills the gap)",IF(Z20&gt;0,"Test only (wk 1–2)","Not used")))</f>
        <v>Marginal (fills the gap)</v>
      </c>
    </row>
    <row r="21" customFormat="false" ht="15" hidden="false" customHeight="false" outlineLevel="0" collapsed="false">
      <c r="A21" s="2" t="str">
        <f aca="false">Assumptions!A108</f>
        <v>C17</v>
      </c>
      <c r="B21" s="2" t="str">
        <f aca="false">Assumptions!B108</f>
        <v>Google Search ads (job-intent keywords)</v>
      </c>
      <c r="C21" s="2" t="str">
        <f aca="false">Assumptions!C108</f>
        <v>Electricians</v>
      </c>
      <c r="D21" s="2" t="s">
        <v>216</v>
      </c>
      <c r="E21" s="2" t="str">
        <f aca="false">Assumptions!D108</f>
        <v>CPC</v>
      </c>
      <c r="F21" s="37" t="n">
        <f aca="false">Assumptions!E108</f>
        <v>2.2</v>
      </c>
      <c r="G21" s="25" t="n">
        <f aca="false">IF(E21="Free","",Assumptions!F108)</f>
        <v>0.07</v>
      </c>
      <c r="H21" s="37" t="n">
        <f aca="false">IF(E21="CPC",F21/G21,IF(E21="Slot",F21/G21,F21))</f>
        <v>31.4285714285714</v>
      </c>
      <c r="I21" s="24" t="n">
        <f aca="false">Assumptions!G108</f>
        <v>0.15</v>
      </c>
      <c r="J21" s="23" t="n">
        <f aca="false">IF(E21="Slot",Assumptions!H108*G21,Assumptions!H108)</f>
        <v>80</v>
      </c>
      <c r="K21" s="26" t="n">
        <f aca="false">J21*I21</f>
        <v>12</v>
      </c>
      <c r="L21" s="25" t="n">
        <f aca="false">INDEX(Funnel!$G$5:$G$8,MATCH(C21,Funnel!$A$5:$A$8,0))*M21</f>
        <v>0.32175</v>
      </c>
      <c r="M21" s="38" t="n">
        <f aca="false">Assumptions!I108</f>
        <v>1</v>
      </c>
      <c r="N21" s="26" t="n">
        <f aca="false">K21*L21</f>
        <v>3.861</v>
      </c>
      <c r="O21" s="35" t="n">
        <f aca="false">IF(I21&gt;0,H21/I21,0)</f>
        <v>209.52380952381</v>
      </c>
      <c r="P21" s="35" t="n">
        <f aca="false">IF(L21&gt;0,O21/L21,0)</f>
        <v>651.200651200651</v>
      </c>
      <c r="Q21" s="39" t="n">
        <f aca="false">P21+ROW()/1000000</f>
        <v>651.200672200651</v>
      </c>
      <c r="R21" s="23" t="n">
        <f aca="false">COUNTIFS($C$5:$C$34,C21,$Q$5:$Q$34,"&lt;"&amp;Q21)+1</f>
        <v>3</v>
      </c>
      <c r="S21" s="26" t="n">
        <f aca="false">SUMIFS($N$5:$N$34,$C$5:$C$34,C21,$Q$5:$Q$34,"&lt;"&amp;Q21)</f>
        <v>8.30115</v>
      </c>
      <c r="T21" s="23" t="n">
        <f aca="false">INDEX(Funnel!$B$5:$B$8,MATCH(C21,Funnel!$A$5:$A$8,0))</f>
        <v>30</v>
      </c>
      <c r="U21" s="40" t="n">
        <f aca="false">MIN(N21,MAX(0,T21-S21))</f>
        <v>3.861</v>
      </c>
      <c r="V21" s="26" t="n">
        <f aca="false">IF(L21&gt;0,U21/L21,0)</f>
        <v>12</v>
      </c>
      <c r="W21" s="23" t="n">
        <f aca="false">IF(I21&gt;0,V21/I21,0)</f>
        <v>80</v>
      </c>
      <c r="X21" s="35" t="n">
        <f aca="false">IF(E21="Slot",ROUNDUP(W21/G21,0)*F21,W21*H21)</f>
        <v>2514.28571428571</v>
      </c>
      <c r="Y21" s="35" t="n">
        <f aca="false">IF(U21&gt;0,Assumptions!J108,0)</f>
        <v>0</v>
      </c>
      <c r="Z21" s="35" t="n">
        <f aca="false">IF(AND(D21="Channel",OR(E21="CPC",E21="CPA")),MAX(0,Assumptions!$D$49-X21*(Assumptions!$D$51+Assumptions!$D$52)),0)</f>
        <v>0</v>
      </c>
      <c r="AA21" s="35" t="n">
        <f aca="false">X21+Y21+Z21</f>
        <v>2514.28571428571</v>
      </c>
      <c r="AB21" s="35" t="n">
        <f aca="false">IF(U21&gt;0,(X21+Y21)/U21,"–")</f>
        <v>651.200651200651</v>
      </c>
      <c r="AC21" s="23" t="n">
        <f aca="false">COUNTIF($Q$5:$Q$34,"&lt;"&amp;Q21)+1</f>
        <v>15</v>
      </c>
      <c r="AD21" s="2" t="str">
        <f aca="false">IF(U21&gt;=N21*0.999,IF(U21&gt;0,"Used to capacity","–"),IF(U21&gt;0,"Marginal (fills the gap)",IF(Z21&gt;0,"Test only (wk 1–2)","Not used")))</f>
        <v>Used to capacity</v>
      </c>
    </row>
    <row r="22" customFormat="false" ht="15" hidden="false" customHeight="false" outlineLevel="0" collapsed="false">
      <c r="A22" s="2" t="str">
        <f aca="false">Assumptions!A109</f>
        <v>C18</v>
      </c>
      <c r="B22" s="2" t="str">
        <f aca="false">Assumptions!B109</f>
        <v>Google Search ads (job-intent keywords)</v>
      </c>
      <c r="C22" s="2" t="str">
        <f aca="false">Assumptions!C109</f>
        <v>Mechatronics</v>
      </c>
      <c r="D22" s="2" t="s">
        <v>216</v>
      </c>
      <c r="E22" s="2" t="str">
        <f aca="false">Assumptions!D109</f>
        <v>CPC</v>
      </c>
      <c r="F22" s="37" t="n">
        <f aca="false">Assumptions!E109</f>
        <v>2.2</v>
      </c>
      <c r="G22" s="25" t="n">
        <f aca="false">IF(E22="Free","",Assumptions!F109)</f>
        <v>0.07</v>
      </c>
      <c r="H22" s="37" t="n">
        <f aca="false">IF(E22="CPC",F22/G22,IF(E22="Slot",F22/G22,F22))</f>
        <v>31.4285714285714</v>
      </c>
      <c r="I22" s="24" t="n">
        <f aca="false">Assumptions!G109</f>
        <v>0.25</v>
      </c>
      <c r="J22" s="23" t="n">
        <f aca="false">IF(E22="Slot",Assumptions!H109*G22,Assumptions!H109)</f>
        <v>100</v>
      </c>
      <c r="K22" s="26" t="n">
        <f aca="false">J22*I22</f>
        <v>25</v>
      </c>
      <c r="L22" s="25" t="n">
        <f aca="false">INDEX(Funnel!$G$5:$G$8,MATCH(C22,Funnel!$A$5:$A$8,0))*M22</f>
        <v>0.405</v>
      </c>
      <c r="M22" s="38" t="n">
        <f aca="false">Assumptions!I109</f>
        <v>1</v>
      </c>
      <c r="N22" s="26" t="n">
        <f aca="false">K22*L22</f>
        <v>10.125</v>
      </c>
      <c r="O22" s="35" t="n">
        <f aca="false">IF(I22&gt;0,H22/I22,0)</f>
        <v>125.714285714286</v>
      </c>
      <c r="P22" s="35" t="n">
        <f aca="false">IF(L22&gt;0,O22/L22,0)</f>
        <v>310.405643738977</v>
      </c>
      <c r="Q22" s="39" t="n">
        <f aca="false">P22+ROW()/1000000</f>
        <v>310.405665738977</v>
      </c>
      <c r="R22" s="23" t="n">
        <f aca="false">COUNTIFS($C$5:$C$34,C22,$Q$5:$Q$34,"&lt;"&amp;Q22)+1</f>
        <v>6</v>
      </c>
      <c r="S22" s="26" t="n">
        <f aca="false">SUMIFS($N$5:$N$34,$C$5:$C$34,C22,$Q$5:$Q$34,"&lt;"&amp;Q22)</f>
        <v>118.7235</v>
      </c>
      <c r="T22" s="23" t="n">
        <f aca="false">INDEX(Funnel!$B$5:$B$8,MATCH(C22,Funnel!$A$5:$A$8,0))</f>
        <v>45</v>
      </c>
      <c r="U22" s="40" t="n">
        <f aca="false">MIN(N22,MAX(0,T22-S22))</f>
        <v>0</v>
      </c>
      <c r="V22" s="26" t="n">
        <f aca="false">IF(L22&gt;0,U22/L22,0)</f>
        <v>0</v>
      </c>
      <c r="W22" s="23" t="n">
        <f aca="false">IF(I22&gt;0,V22/I22,0)</f>
        <v>0</v>
      </c>
      <c r="X22" s="35" t="n">
        <f aca="false">IF(E22="Slot",ROUNDUP(W22/G22,0)*F22,W22*H22)</f>
        <v>0</v>
      </c>
      <c r="Y22" s="35" t="n">
        <f aca="false">IF(U22&gt;0,Assumptions!J109,0)</f>
        <v>0</v>
      </c>
      <c r="Z22" s="35" t="n">
        <f aca="false">IF(AND(D22="Channel",OR(E22="CPC",E22="CPA")),MAX(0,Assumptions!$D$49-X22*(Assumptions!$D$51+Assumptions!$D$52)),0)</f>
        <v>300</v>
      </c>
      <c r="AA22" s="35" t="n">
        <f aca="false">X22+Y22+Z22</f>
        <v>300</v>
      </c>
      <c r="AB22" s="35" t="str">
        <f aca="false">IF(U22&gt;0,(X22+Y22)/U22,"–")</f>
        <v>–</v>
      </c>
      <c r="AC22" s="23" t="n">
        <f aca="false">COUNTIF($Q$5:$Q$34,"&lt;"&amp;Q22)+1</f>
        <v>12</v>
      </c>
      <c r="AD22" s="2" t="str">
        <f aca="false">IF(U22&gt;=N22*0.999,IF(U22&gt;0,"Used to capacity","–"),IF(U22&gt;0,"Marginal (fills the gap)",IF(Z22&gt;0,"Test only (wk 1–2)","Not used")))</f>
        <v>Test only (wk 1–2)</v>
      </c>
    </row>
    <row r="23" customFormat="false" ht="15" hidden="false" customHeight="false" outlineLevel="0" collapsed="false">
      <c r="A23" s="2" t="str">
        <f aca="false">Assumptions!A110</f>
        <v>C19</v>
      </c>
      <c r="B23" s="2" t="str">
        <f aca="false">Assumptions!B110</f>
        <v>Google Search ads (job-intent keywords)</v>
      </c>
      <c r="C23" s="2" t="str">
        <f aca="false">Assumptions!C110</f>
        <v>Automation</v>
      </c>
      <c r="D23" s="2" t="s">
        <v>216</v>
      </c>
      <c r="E23" s="2" t="str">
        <f aca="false">Assumptions!D110</f>
        <v>CPC</v>
      </c>
      <c r="F23" s="37" t="n">
        <f aca="false">Assumptions!E110</f>
        <v>2.2</v>
      </c>
      <c r="G23" s="25" t="n">
        <f aca="false">IF(E23="Free","",Assumptions!F110)</f>
        <v>0.07</v>
      </c>
      <c r="H23" s="37" t="n">
        <f aca="false">IF(E23="CPC",F23/G23,IF(E23="Slot",F23/G23,F23))</f>
        <v>31.4285714285714</v>
      </c>
      <c r="I23" s="24" t="n">
        <f aca="false">Assumptions!G110</f>
        <v>0.15</v>
      </c>
      <c r="J23" s="23" t="n">
        <f aca="false">IF(E23="Slot",Assumptions!H110*G23,Assumptions!H110)</f>
        <v>40</v>
      </c>
      <c r="K23" s="26" t="n">
        <f aca="false">J23*I23</f>
        <v>6</v>
      </c>
      <c r="L23" s="25" t="n">
        <f aca="false">INDEX(Funnel!$G$5:$G$8,MATCH(C23,Funnel!$A$5:$A$8,0))*M23</f>
        <v>0.2925</v>
      </c>
      <c r="M23" s="38" t="n">
        <f aca="false">Assumptions!I110</f>
        <v>1</v>
      </c>
      <c r="N23" s="26" t="n">
        <f aca="false">K23*L23</f>
        <v>1.755</v>
      </c>
      <c r="O23" s="35" t="n">
        <f aca="false">IF(I23&gt;0,H23/I23,0)</f>
        <v>209.52380952381</v>
      </c>
      <c r="P23" s="35" t="n">
        <f aca="false">IF(L23&gt;0,O23/L23,0)</f>
        <v>716.320716320716</v>
      </c>
      <c r="Q23" s="39" t="n">
        <f aca="false">P23+ROW()/1000000</f>
        <v>716.320739320716</v>
      </c>
      <c r="R23" s="23" t="n">
        <f aca="false">COUNTIFS($C$5:$C$34,C23,$Q$5:$Q$34,"&lt;"&amp;Q23)+1</f>
        <v>4</v>
      </c>
      <c r="S23" s="26" t="n">
        <f aca="false">SUMIFS($N$5:$N$34,$C$5:$C$34,C23,$Q$5:$Q$34,"&lt;"&amp;Q23)</f>
        <v>15.73065</v>
      </c>
      <c r="T23" s="23" t="n">
        <f aca="false">INDEX(Funnel!$B$5:$B$8,MATCH(C23,Funnel!$A$5:$A$8,0))</f>
        <v>15</v>
      </c>
      <c r="U23" s="40" t="n">
        <f aca="false">MIN(N23,MAX(0,T23-S23))</f>
        <v>0</v>
      </c>
      <c r="V23" s="26" t="n">
        <f aca="false">IF(L23&gt;0,U23/L23,0)</f>
        <v>0</v>
      </c>
      <c r="W23" s="23" t="n">
        <f aca="false">IF(I23&gt;0,V23/I23,0)</f>
        <v>0</v>
      </c>
      <c r="X23" s="35" t="n">
        <f aca="false">IF(E23="Slot",ROUNDUP(W23/G23,0)*F23,W23*H23)</f>
        <v>0</v>
      </c>
      <c r="Y23" s="35" t="n">
        <f aca="false">IF(U23&gt;0,Assumptions!J110,0)</f>
        <v>0</v>
      </c>
      <c r="Z23" s="35" t="n">
        <f aca="false">IF(AND(D23="Channel",OR(E23="CPC",E23="CPA")),MAX(0,Assumptions!$D$49-X23*(Assumptions!$D$51+Assumptions!$D$52)),0)</f>
        <v>300</v>
      </c>
      <c r="AA23" s="35" t="n">
        <f aca="false">X23+Y23+Z23</f>
        <v>300</v>
      </c>
      <c r="AB23" s="35" t="str">
        <f aca="false">IF(U23&gt;0,(X23+Y23)/U23,"–")</f>
        <v>–</v>
      </c>
      <c r="AC23" s="23" t="n">
        <f aca="false">COUNTIF($Q$5:$Q$34,"&lt;"&amp;Q23)+1</f>
        <v>16</v>
      </c>
      <c r="AD23" s="2" t="str">
        <f aca="false">IF(U23&gt;=N23*0.999,IF(U23&gt;0,"Used to capacity","–"),IF(U23&gt;0,"Marginal (fills the gap)",IF(Z23&gt;0,"Test only (wk 1–2)","Not used")))</f>
        <v>Test only (wk 1–2)</v>
      </c>
    </row>
    <row r="24" customFormat="false" ht="15" hidden="false" customHeight="false" outlineLevel="0" collapsed="false">
      <c r="A24" s="2" t="str">
        <f aca="false">Assumptions!A111</f>
        <v>C20</v>
      </c>
      <c r="B24" s="2" t="str">
        <f aca="false">Assumptions!B111</f>
        <v>Google Search ads (job-intent keywords)</v>
      </c>
      <c r="C24" s="2" t="str">
        <f aca="false">Assumptions!C111</f>
        <v>Supervisors</v>
      </c>
      <c r="D24" s="2" t="s">
        <v>216</v>
      </c>
      <c r="E24" s="2" t="str">
        <f aca="false">Assumptions!D111</f>
        <v>CPC</v>
      </c>
      <c r="F24" s="37" t="n">
        <f aca="false">Assumptions!E111</f>
        <v>2.2</v>
      </c>
      <c r="G24" s="25" t="n">
        <f aca="false">IF(E24="Free","",Assumptions!F111)</f>
        <v>0.07</v>
      </c>
      <c r="H24" s="37" t="n">
        <f aca="false">IF(E24="CPC",F24/G24,IF(E24="Slot",F24/G24,F24))</f>
        <v>31.4285714285714</v>
      </c>
      <c r="I24" s="24" t="n">
        <f aca="false">Assumptions!G111</f>
        <v>0.12</v>
      </c>
      <c r="J24" s="23" t="n">
        <f aca="false">IF(E24="Slot",Assumptions!H111*G24,Assumptions!H111)</f>
        <v>30</v>
      </c>
      <c r="K24" s="26" t="n">
        <f aca="false">J24*I24</f>
        <v>3.6</v>
      </c>
      <c r="L24" s="25" t="n">
        <f aca="false">INDEX(Funnel!$G$5:$G$8,MATCH(C24,Funnel!$A$5:$A$8,0))*M24</f>
        <v>0.26775</v>
      </c>
      <c r="M24" s="38" t="n">
        <f aca="false">Assumptions!I111</f>
        <v>1</v>
      </c>
      <c r="N24" s="26" t="n">
        <f aca="false">K24*L24</f>
        <v>0.9639</v>
      </c>
      <c r="O24" s="35" t="n">
        <f aca="false">IF(I24&gt;0,H24/I24,0)</f>
        <v>261.904761904762</v>
      </c>
      <c r="P24" s="35" t="n">
        <f aca="false">IF(L24&gt;0,O24/L24,0)</f>
        <v>978.169045395936</v>
      </c>
      <c r="Q24" s="39" t="n">
        <f aca="false">P24+ROW()/1000000</f>
        <v>978.169069395936</v>
      </c>
      <c r="R24" s="23" t="n">
        <f aca="false">COUNTIFS($C$5:$C$34,C24,$Q$5:$Q$34,"&lt;"&amp;Q24)+1</f>
        <v>4</v>
      </c>
      <c r="S24" s="26" t="n">
        <f aca="false">SUMIFS($N$5:$N$34,$C$5:$C$34,C24,$Q$5:$Q$34,"&lt;"&amp;Q24)</f>
        <v>8.11818</v>
      </c>
      <c r="T24" s="23" t="n">
        <f aca="false">INDEX(Funnel!$B$5:$B$8,MATCH(C24,Funnel!$A$5:$A$8,0))</f>
        <v>10</v>
      </c>
      <c r="U24" s="40" t="n">
        <f aca="false">MIN(N24,MAX(0,T24-S24))</f>
        <v>0.9639</v>
      </c>
      <c r="V24" s="26" t="n">
        <f aca="false">IF(L24&gt;0,U24/L24,0)</f>
        <v>3.6</v>
      </c>
      <c r="W24" s="23" t="n">
        <f aca="false">IF(I24&gt;0,V24/I24,0)</f>
        <v>30</v>
      </c>
      <c r="X24" s="35" t="n">
        <f aca="false">IF(E24="Slot",ROUNDUP(W24/G24,0)*F24,W24*H24)</f>
        <v>942.857142857143</v>
      </c>
      <c r="Y24" s="35" t="n">
        <f aca="false">IF(U24&gt;0,Assumptions!J111,0)</f>
        <v>0</v>
      </c>
      <c r="Z24" s="35" t="n">
        <f aca="false">IF(AND(D24="Channel",OR(E24="CPC",E24="CPA")),MAX(0,Assumptions!$D$49-X24*(Assumptions!$D$51+Assumptions!$D$52)),0)</f>
        <v>7.71428571428578</v>
      </c>
      <c r="AA24" s="35" t="n">
        <f aca="false">X24+Y24+Z24</f>
        <v>950.571428571428</v>
      </c>
      <c r="AB24" s="35" t="n">
        <f aca="false">IF(U24&gt;0,(X24+Y24)/U24,"–")</f>
        <v>978.169045395936</v>
      </c>
      <c r="AC24" s="23" t="n">
        <f aca="false">COUNTIF($Q$5:$Q$34,"&lt;"&amp;Q24)+1</f>
        <v>19</v>
      </c>
      <c r="AD24" s="2" t="str">
        <f aca="false">IF(U24&gt;=N24*0.999,IF(U24&gt;0,"Used to capacity","–"),IF(U24&gt;0,"Marginal (fills the gap)",IF(Z24&gt;0,"Test only (wk 1–2)","Not used")))</f>
        <v>Used to capacity</v>
      </c>
    </row>
    <row r="25" customFormat="false" ht="15" hidden="false" customHeight="false" outlineLevel="0" collapsed="false">
      <c r="A25" s="2" t="s">
        <v>511</v>
      </c>
      <c r="B25" s="2" t="s">
        <v>512</v>
      </c>
      <c r="C25" s="2" t="s">
        <v>50</v>
      </c>
      <c r="D25" s="2" t="s">
        <v>474</v>
      </c>
      <c r="E25" s="2" t="s">
        <v>262</v>
      </c>
      <c r="F25" s="37" t="n">
        <f aca="false">Initiatives!B11</f>
        <v>4.16666666666667</v>
      </c>
      <c r="G25" s="2"/>
      <c r="H25" s="37" t="n">
        <f aca="false">F25</f>
        <v>4.16666666666667</v>
      </c>
      <c r="I25" s="24" t="n">
        <f aca="false">Initiatives!B8</f>
        <v>0.5</v>
      </c>
      <c r="J25" s="23" t="n">
        <f aca="false">Initiatives!B7</f>
        <v>24</v>
      </c>
      <c r="K25" s="26" t="n">
        <f aca="false">J25*I25</f>
        <v>12</v>
      </c>
      <c r="L25" s="25" t="n">
        <f aca="false">INDEX(Funnel!$G$5:$G$8,MATCH(C25,Funnel!$A$5:$A$8,0))*M25</f>
        <v>0.3700125</v>
      </c>
      <c r="M25" s="38" t="n">
        <f aca="false">Assumptions!$D$128</f>
        <v>1.15</v>
      </c>
      <c r="N25" s="26" t="n">
        <f aca="false">K25*L25</f>
        <v>4.44015</v>
      </c>
      <c r="O25" s="35" t="n">
        <f aca="false">IF(I25&gt;0,H25/I25,0)</f>
        <v>8.33333333333333</v>
      </c>
      <c r="P25" s="35" t="n">
        <f aca="false">IF(L25&gt;0,O25/L25,0)</f>
        <v>22.5217616521964</v>
      </c>
      <c r="Q25" s="39" t="n">
        <f aca="false">P25+ROW()/1000000</f>
        <v>22.5217866521964</v>
      </c>
      <c r="R25" s="23" t="n">
        <f aca="false">COUNTIFS($C$5:$C$34,C25,$Q$5:$Q$34,"&lt;"&amp;Q25)+1</f>
        <v>2</v>
      </c>
      <c r="S25" s="26" t="n">
        <f aca="false">SUMIFS($N$5:$N$34,$C$5:$C$34,C25,$Q$5:$Q$34,"&lt;"&amp;Q25)</f>
        <v>3.861</v>
      </c>
      <c r="T25" s="23" t="n">
        <f aca="false">INDEX(Funnel!$B$5:$B$8,MATCH(C25,Funnel!$A$5:$A$8,0))</f>
        <v>30</v>
      </c>
      <c r="U25" s="40" t="n">
        <f aca="false">MIN(N25,MAX(0,T25-S25))</f>
        <v>4.44015</v>
      </c>
      <c r="V25" s="26" t="n">
        <f aca="false">IF(L25&gt;0,U25/L25,0)</f>
        <v>12</v>
      </c>
      <c r="W25" s="23" t="n">
        <f aca="false">IF(I25&gt;0,V25/I25,0)</f>
        <v>24</v>
      </c>
      <c r="X25" s="35" t="n">
        <f aca="false">IF(E25="Slot",ROUNDUP(W25/G25,0)*F25,W25*H25)</f>
        <v>100</v>
      </c>
      <c r="Y25" s="35" t="n">
        <f aca="false">IF(U25&gt;0,0,0)</f>
        <v>0</v>
      </c>
      <c r="Z25" s="35" t="n">
        <f aca="false">IF(AND(D25="Channel",OR(E25="CPC",E25="CPA")),MAX(0,Assumptions!$D$49-X25*(Assumptions!$D$51+Assumptions!$D$52)),0)</f>
        <v>0</v>
      </c>
      <c r="AA25" s="35" t="n">
        <f aca="false">X25+Y25+Z25</f>
        <v>100</v>
      </c>
      <c r="AB25" s="35" t="n">
        <f aca="false">IF(U25&gt;0,(X25+Y25)/U25,"–")</f>
        <v>22.5217616521964</v>
      </c>
      <c r="AC25" s="23" t="n">
        <f aca="false">COUNTIF($Q$5:$Q$34,"&lt;"&amp;Q25)+1</f>
        <v>6</v>
      </c>
      <c r="AD25" s="2" t="str">
        <f aca="false">IF(U25&gt;=N25*0.999,IF(U25&gt;0,"Used to capacity","–"),IF(U25&gt;0,"Marginal (fills the gap)",IF(Z25&gt;0,"Test only (wk 1–2)","Not used")))</f>
        <v>Used to capacity</v>
      </c>
    </row>
    <row r="26" customFormat="false" ht="15" hidden="false" customHeight="false" outlineLevel="0" collapsed="false">
      <c r="A26" s="2" t="s">
        <v>513</v>
      </c>
      <c r="B26" s="2" t="s">
        <v>512</v>
      </c>
      <c r="C26" s="2" t="s">
        <v>45</v>
      </c>
      <c r="D26" s="2" t="s">
        <v>474</v>
      </c>
      <c r="E26" s="2" t="s">
        <v>262</v>
      </c>
      <c r="F26" s="37" t="n">
        <f aca="false">Initiatives!C11</f>
        <v>4.16666666666667</v>
      </c>
      <c r="G26" s="2"/>
      <c r="H26" s="37" t="n">
        <f aca="false">F26</f>
        <v>4.16666666666667</v>
      </c>
      <c r="I26" s="24" t="n">
        <f aca="false">Initiatives!C8</f>
        <v>0.5</v>
      </c>
      <c r="J26" s="23" t="n">
        <f aca="false">Initiatives!C7</f>
        <v>36</v>
      </c>
      <c r="K26" s="26" t="n">
        <f aca="false">J26*I26</f>
        <v>18</v>
      </c>
      <c r="L26" s="25" t="n">
        <f aca="false">INDEX(Funnel!$G$5:$G$8,MATCH(C26,Funnel!$A$5:$A$8,0))*M26</f>
        <v>0.46575</v>
      </c>
      <c r="M26" s="38" t="n">
        <f aca="false">Assumptions!$D$128</f>
        <v>1.15</v>
      </c>
      <c r="N26" s="26" t="n">
        <f aca="false">K26*L26</f>
        <v>8.3835</v>
      </c>
      <c r="O26" s="35" t="n">
        <f aca="false">IF(I26&gt;0,H26/I26,0)</f>
        <v>8.33333333333333</v>
      </c>
      <c r="P26" s="35" t="n">
        <f aca="false">IF(L26&gt;0,O26/L26,0)</f>
        <v>17.8922884236894</v>
      </c>
      <c r="Q26" s="39" t="n">
        <f aca="false">P26+ROW()/1000000</f>
        <v>17.8923144236894</v>
      </c>
      <c r="R26" s="23" t="n">
        <f aca="false">COUNTIFS($C$5:$C$34,C26,$Q$5:$Q$34,"&lt;"&amp;Q26)+1</f>
        <v>2</v>
      </c>
      <c r="S26" s="26" t="n">
        <f aca="false">SUMIFS($N$5:$N$34,$C$5:$C$34,C26,$Q$5:$Q$34,"&lt;"&amp;Q26)</f>
        <v>14.58</v>
      </c>
      <c r="T26" s="23" t="n">
        <f aca="false">INDEX(Funnel!$B$5:$B$8,MATCH(C26,Funnel!$A$5:$A$8,0))</f>
        <v>45</v>
      </c>
      <c r="U26" s="40" t="n">
        <f aca="false">MIN(N26,MAX(0,T26-S26))</f>
        <v>8.3835</v>
      </c>
      <c r="V26" s="26" t="n">
        <f aca="false">IF(L26&gt;0,U26/L26,0)</f>
        <v>18</v>
      </c>
      <c r="W26" s="23" t="n">
        <f aca="false">IF(I26&gt;0,V26/I26,0)</f>
        <v>36</v>
      </c>
      <c r="X26" s="35" t="n">
        <f aca="false">IF(E26="Slot",ROUNDUP(W26/G26,0)*F26,W26*H26)</f>
        <v>150</v>
      </c>
      <c r="Y26" s="35" t="n">
        <f aca="false">IF(U26&gt;0,0,0)</f>
        <v>0</v>
      </c>
      <c r="Z26" s="35" t="n">
        <f aca="false">IF(AND(D26="Channel",OR(E26="CPC",E26="CPA")),MAX(0,Assumptions!$D$49-X26*(Assumptions!$D$51+Assumptions!$D$52)),0)</f>
        <v>0</v>
      </c>
      <c r="AA26" s="35" t="n">
        <f aca="false">X26+Y26+Z26</f>
        <v>150</v>
      </c>
      <c r="AB26" s="35" t="n">
        <f aca="false">IF(U26&gt;0,(X26+Y26)/U26,"–")</f>
        <v>17.8922884236894</v>
      </c>
      <c r="AC26" s="23" t="n">
        <f aca="false">COUNTIF($Q$5:$Q$34,"&lt;"&amp;Q26)+1</f>
        <v>5</v>
      </c>
      <c r="AD26" s="2" t="str">
        <f aca="false">IF(U26&gt;=N26*0.999,IF(U26&gt;0,"Used to capacity","–"),IF(U26&gt;0,"Marginal (fills the gap)",IF(Z26&gt;0,"Test only (wk 1–2)","Not used")))</f>
        <v>Used to capacity</v>
      </c>
    </row>
    <row r="27" customFormat="false" ht="15" hidden="false" customHeight="false" outlineLevel="0" collapsed="false">
      <c r="A27" s="2" t="s">
        <v>514</v>
      </c>
      <c r="B27" s="2" t="s">
        <v>512</v>
      </c>
      <c r="C27" s="2" t="s">
        <v>55</v>
      </c>
      <c r="D27" s="2" t="s">
        <v>474</v>
      </c>
      <c r="E27" s="2" t="s">
        <v>262</v>
      </c>
      <c r="F27" s="37" t="n">
        <f aca="false">Initiatives!D11</f>
        <v>4.16666666666667</v>
      </c>
      <c r="G27" s="2"/>
      <c r="H27" s="37" t="n">
        <f aca="false">F27</f>
        <v>4.16666666666667</v>
      </c>
      <c r="I27" s="24" t="n">
        <f aca="false">Initiatives!D8</f>
        <v>0.5</v>
      </c>
      <c r="J27" s="23" t="n">
        <f aca="false">Initiatives!D7</f>
        <v>14.4</v>
      </c>
      <c r="K27" s="26" t="n">
        <f aca="false">J27*I27</f>
        <v>7.2</v>
      </c>
      <c r="L27" s="25" t="n">
        <f aca="false">INDEX(Funnel!$G$5:$G$8,MATCH(C27,Funnel!$A$5:$A$8,0))*M27</f>
        <v>0.336375</v>
      </c>
      <c r="M27" s="38" t="n">
        <f aca="false">Assumptions!$D$128</f>
        <v>1.15</v>
      </c>
      <c r="N27" s="26" t="n">
        <f aca="false">K27*L27</f>
        <v>2.4219</v>
      </c>
      <c r="O27" s="35" t="n">
        <f aca="false">IF(I27&gt;0,H27/I27,0)</f>
        <v>8.33333333333333</v>
      </c>
      <c r="P27" s="35" t="n">
        <f aca="false">IF(L27&gt;0,O27/L27,0)</f>
        <v>24.7739378174161</v>
      </c>
      <c r="Q27" s="39" t="n">
        <f aca="false">P27+ROW()/1000000</f>
        <v>24.7739648174161</v>
      </c>
      <c r="R27" s="23" t="n">
        <f aca="false">COUNTIFS($C$5:$C$34,C27,$Q$5:$Q$34,"&lt;"&amp;Q27)+1</f>
        <v>2</v>
      </c>
      <c r="S27" s="26" t="n">
        <f aca="false">SUMIFS($N$5:$N$34,$C$5:$C$34,C27,$Q$5:$Q$34,"&lt;"&amp;Q27)</f>
        <v>2.34</v>
      </c>
      <c r="T27" s="23" t="n">
        <f aca="false">INDEX(Funnel!$B$5:$B$8,MATCH(C27,Funnel!$A$5:$A$8,0))</f>
        <v>15</v>
      </c>
      <c r="U27" s="40" t="n">
        <f aca="false">MIN(N27,MAX(0,T27-S27))</f>
        <v>2.4219</v>
      </c>
      <c r="V27" s="26" t="n">
        <f aca="false">IF(L27&gt;0,U27/L27,0)</f>
        <v>7.2</v>
      </c>
      <c r="W27" s="23" t="n">
        <f aca="false">IF(I27&gt;0,V27/I27,0)</f>
        <v>14.4</v>
      </c>
      <c r="X27" s="35" t="n">
        <f aca="false">IF(E27="Slot",ROUNDUP(W27/G27,0)*F27,W27*H27)</f>
        <v>60</v>
      </c>
      <c r="Y27" s="35" t="n">
        <f aca="false">IF(U27&gt;0,0,0)</f>
        <v>0</v>
      </c>
      <c r="Z27" s="35" t="n">
        <f aca="false">IF(AND(D27="Channel",OR(E27="CPC",E27="CPA")),MAX(0,Assumptions!$D$49-X27*(Assumptions!$D$51+Assumptions!$D$52)),0)</f>
        <v>0</v>
      </c>
      <c r="AA27" s="35" t="n">
        <f aca="false">X27+Y27+Z27</f>
        <v>60</v>
      </c>
      <c r="AB27" s="35" t="n">
        <f aca="false">IF(U27&gt;0,(X27+Y27)/U27,"–")</f>
        <v>24.7739378174161</v>
      </c>
      <c r="AC27" s="23" t="n">
        <f aca="false">COUNTIF($Q$5:$Q$34,"&lt;"&amp;Q27)+1</f>
        <v>7</v>
      </c>
      <c r="AD27" s="2" t="str">
        <f aca="false">IF(U27&gt;=N27*0.999,IF(U27&gt;0,"Used to capacity","–"),IF(U27&gt;0,"Marginal (fills the gap)",IF(Z27&gt;0,"Test only (wk 1–2)","Not used")))</f>
        <v>Used to capacity</v>
      </c>
    </row>
    <row r="28" customFormat="false" ht="15" hidden="false" customHeight="false" outlineLevel="0" collapsed="false">
      <c r="A28" s="2" t="s">
        <v>515</v>
      </c>
      <c r="B28" s="2" t="s">
        <v>512</v>
      </c>
      <c r="C28" s="2" t="s">
        <v>57</v>
      </c>
      <c r="D28" s="2" t="s">
        <v>474</v>
      </c>
      <c r="E28" s="2" t="s">
        <v>262</v>
      </c>
      <c r="F28" s="37" t="n">
        <f aca="false">Initiatives!E11</f>
        <v>4.16666666666667</v>
      </c>
      <c r="G28" s="2"/>
      <c r="H28" s="37" t="n">
        <f aca="false">F28</f>
        <v>4.16666666666667</v>
      </c>
      <c r="I28" s="24" t="n">
        <f aca="false">Initiatives!E8</f>
        <v>0.5</v>
      </c>
      <c r="J28" s="23" t="n">
        <f aca="false">Initiatives!E7</f>
        <v>9.6</v>
      </c>
      <c r="K28" s="26" t="n">
        <f aca="false">J28*I28</f>
        <v>4.8</v>
      </c>
      <c r="L28" s="25" t="n">
        <f aca="false">INDEX(Funnel!$G$5:$G$8,MATCH(C28,Funnel!$A$5:$A$8,0))*M28</f>
        <v>0.3079125</v>
      </c>
      <c r="M28" s="38" t="n">
        <f aca="false">Assumptions!$D$128</f>
        <v>1.15</v>
      </c>
      <c r="N28" s="26" t="n">
        <f aca="false">K28*L28</f>
        <v>1.47798</v>
      </c>
      <c r="O28" s="35" t="n">
        <f aca="false">IF(I28&gt;0,H28/I28,0)</f>
        <v>8.33333333333333</v>
      </c>
      <c r="P28" s="35" t="n">
        <f aca="false">IF(L28&gt;0,O28/L28,0)</f>
        <v>27.0639656828915</v>
      </c>
      <c r="Q28" s="39" t="n">
        <f aca="false">P28+ROW()/1000000</f>
        <v>27.0639936828915</v>
      </c>
      <c r="R28" s="23" t="n">
        <f aca="false">COUNTIFS($C$5:$C$34,C28,$Q$5:$Q$34,"&lt;"&amp;Q28)+1</f>
        <v>2</v>
      </c>
      <c r="S28" s="26" t="n">
        <f aca="false">SUMIFS($N$5:$N$34,$C$5:$C$34,C28,$Q$5:$Q$34,"&lt;"&amp;Q28)</f>
        <v>1.2852</v>
      </c>
      <c r="T28" s="23" t="n">
        <f aca="false">INDEX(Funnel!$B$5:$B$8,MATCH(C28,Funnel!$A$5:$A$8,0))</f>
        <v>10</v>
      </c>
      <c r="U28" s="40" t="n">
        <f aca="false">MIN(N28,MAX(0,T28-S28))</f>
        <v>1.47798</v>
      </c>
      <c r="V28" s="26" t="n">
        <f aca="false">IF(L28&gt;0,U28/L28,0)</f>
        <v>4.8</v>
      </c>
      <c r="W28" s="23" t="n">
        <f aca="false">IF(I28&gt;0,V28/I28,0)</f>
        <v>9.6</v>
      </c>
      <c r="X28" s="35" t="n">
        <f aca="false">IF(E28="Slot",ROUNDUP(W28/G28,0)*F28,W28*H28)</f>
        <v>40</v>
      </c>
      <c r="Y28" s="35" t="n">
        <f aca="false">IF(U28&gt;0,0,0)</f>
        <v>0</v>
      </c>
      <c r="Z28" s="35" t="n">
        <f aca="false">IF(AND(D28="Channel",OR(E28="CPC",E28="CPA")),MAX(0,Assumptions!$D$49-X28*(Assumptions!$D$51+Assumptions!$D$52)),0)</f>
        <v>0</v>
      </c>
      <c r="AA28" s="35" t="n">
        <f aca="false">X28+Y28+Z28</f>
        <v>40</v>
      </c>
      <c r="AB28" s="35" t="n">
        <f aca="false">IF(U28&gt;0,(X28+Y28)/U28,"–")</f>
        <v>27.0639656828915</v>
      </c>
      <c r="AC28" s="23" t="n">
        <f aca="false">COUNTIF($Q$5:$Q$34,"&lt;"&amp;Q28)+1</f>
        <v>8</v>
      </c>
      <c r="AD28" s="2" t="str">
        <f aca="false">IF(U28&gt;=N28*0.999,IF(U28&gt;0,"Used to capacity","–"),IF(U28&gt;0,"Marginal (fills the gap)",IF(Z28&gt;0,"Test only (wk 1–2)","Not used")))</f>
        <v>Used to capacity</v>
      </c>
    </row>
    <row r="29" customFormat="false" ht="15" hidden="false" customHeight="false" outlineLevel="0" collapsed="false">
      <c r="A29" s="2" t="s">
        <v>516</v>
      </c>
      <c r="B29" s="2" t="s">
        <v>517</v>
      </c>
      <c r="C29" s="2" t="s">
        <v>50</v>
      </c>
      <c r="D29" s="2" t="s">
        <v>474</v>
      </c>
      <c r="E29" s="2" t="s">
        <v>262</v>
      </c>
      <c r="F29" s="37" t="n">
        <f aca="false">Initiatives!B17</f>
        <v>166.505625</v>
      </c>
      <c r="G29" s="2"/>
      <c r="H29" s="37" t="n">
        <f aca="false">F29</f>
        <v>166.505625</v>
      </c>
      <c r="I29" s="24" t="n">
        <f aca="false">Initiatives!B14</f>
        <v>0.45</v>
      </c>
      <c r="J29" s="23" t="n">
        <f aca="false">Initiatives!B13</f>
        <v>25</v>
      </c>
      <c r="K29" s="26" t="n">
        <f aca="false">J29*I29</f>
        <v>11.25</v>
      </c>
      <c r="L29" s="25" t="n">
        <f aca="false">INDEX(Funnel!$G$5:$G$8,MATCH(C29,Funnel!$A$5:$A$8,0))*M29</f>
        <v>0.3700125</v>
      </c>
      <c r="M29" s="38" t="n">
        <f aca="false">Assumptions!$D$128</f>
        <v>1.15</v>
      </c>
      <c r="N29" s="26" t="n">
        <f aca="false">K29*L29</f>
        <v>4.162640625</v>
      </c>
      <c r="O29" s="35" t="n">
        <f aca="false">IF(I29&gt;0,H29/I29,0)</f>
        <v>370.0125</v>
      </c>
      <c r="P29" s="35" t="n">
        <f aca="false">IF(L29&gt;0,O29/L29,0)</f>
        <v>1000</v>
      </c>
      <c r="Q29" s="39" t="n">
        <f aca="false">P29+ROW()/1000000</f>
        <v>1000.000029</v>
      </c>
      <c r="R29" s="23" t="n">
        <f aca="false">COUNTIFS($C$5:$C$34,C29,$Q$5:$Q$34,"&lt;"&amp;Q29)+1</f>
        <v>5</v>
      </c>
      <c r="S29" s="26" t="n">
        <f aca="false">SUMIFS($N$5:$N$34,$C$5:$C$34,C29,$Q$5:$Q$34,"&lt;"&amp;Q29)</f>
        <v>23.74515</v>
      </c>
      <c r="T29" s="23" t="n">
        <f aca="false">INDEX(Funnel!$B$5:$B$8,MATCH(C29,Funnel!$A$5:$A$8,0))</f>
        <v>30</v>
      </c>
      <c r="U29" s="40" t="n">
        <f aca="false">MIN(N29,MAX(0,T29-S29))</f>
        <v>4.162640625</v>
      </c>
      <c r="V29" s="26" t="n">
        <f aca="false">IF(L29&gt;0,U29/L29,0)</f>
        <v>11.25</v>
      </c>
      <c r="W29" s="23" t="n">
        <f aca="false">IF(I29&gt;0,V29/I29,0)</f>
        <v>25</v>
      </c>
      <c r="X29" s="35" t="n">
        <f aca="false">IF(E29="Slot",ROUNDUP(W29/G29,0)*F29,W29*H29)</f>
        <v>4162.640625</v>
      </c>
      <c r="Y29" s="35" t="n">
        <f aca="false">IF(U29&gt;0,0,0)</f>
        <v>0</v>
      </c>
      <c r="Z29" s="35" t="n">
        <f aca="false">IF(AND(D29="Channel",OR(E29="CPC",E29="CPA")),MAX(0,Assumptions!$D$49-X29*(Assumptions!$D$51+Assumptions!$D$52)),0)</f>
        <v>0</v>
      </c>
      <c r="AA29" s="35" t="n">
        <f aca="false">X29+Y29+Z29</f>
        <v>4162.640625</v>
      </c>
      <c r="AB29" s="35" t="n">
        <f aca="false">IF(U29&gt;0,(X29+Y29)/U29,"–")</f>
        <v>1000</v>
      </c>
      <c r="AC29" s="23" t="n">
        <f aca="false">COUNTIF($Q$5:$Q$34,"&lt;"&amp;Q29)+1</f>
        <v>20</v>
      </c>
      <c r="AD29" s="2" t="str">
        <f aca="false">IF(U29&gt;=N29*0.999,IF(U29&gt;0,"Used to capacity","–"),IF(U29&gt;0,"Marginal (fills the gap)",IF(Z29&gt;0,"Test only (wk 1–2)","Not used")))</f>
        <v>Used to capacity</v>
      </c>
    </row>
    <row r="30" customFormat="false" ht="15" hidden="false" customHeight="false" outlineLevel="0" collapsed="false">
      <c r="A30" s="2" t="s">
        <v>518</v>
      </c>
      <c r="B30" s="2" t="s">
        <v>517</v>
      </c>
      <c r="C30" s="2" t="s">
        <v>45</v>
      </c>
      <c r="D30" s="2" t="s">
        <v>474</v>
      </c>
      <c r="E30" s="2" t="s">
        <v>262</v>
      </c>
      <c r="F30" s="37" t="n">
        <f aca="false">Initiatives!C17</f>
        <v>209.5875</v>
      </c>
      <c r="G30" s="2"/>
      <c r="H30" s="37" t="n">
        <f aca="false">F30</f>
        <v>209.5875</v>
      </c>
      <c r="I30" s="24" t="n">
        <f aca="false">Initiatives!C14</f>
        <v>0.45</v>
      </c>
      <c r="J30" s="23" t="n">
        <f aca="false">Initiatives!C13</f>
        <v>30</v>
      </c>
      <c r="K30" s="26" t="n">
        <f aca="false">J30*I30</f>
        <v>13.5</v>
      </c>
      <c r="L30" s="25" t="n">
        <f aca="false">INDEX(Funnel!$G$5:$G$8,MATCH(C30,Funnel!$A$5:$A$8,0))*M30</f>
        <v>0.46575</v>
      </c>
      <c r="M30" s="38" t="n">
        <f aca="false">Assumptions!$D$128</f>
        <v>1.15</v>
      </c>
      <c r="N30" s="26" t="n">
        <f aca="false">K30*L30</f>
        <v>6.287625</v>
      </c>
      <c r="O30" s="35" t="n">
        <f aca="false">IF(I30&gt;0,H30/I30,0)</f>
        <v>465.75</v>
      </c>
      <c r="P30" s="35" t="n">
        <f aca="false">IF(L30&gt;0,O30/L30,0)</f>
        <v>1000</v>
      </c>
      <c r="Q30" s="39" t="n">
        <f aca="false">P30+ROW()/1000000</f>
        <v>1000.00003</v>
      </c>
      <c r="R30" s="23" t="n">
        <f aca="false">COUNTIFS($C$5:$C$34,C30,$Q$5:$Q$34,"&lt;"&amp;Q30)+1</f>
        <v>8</v>
      </c>
      <c r="S30" s="26" t="n">
        <f aca="false">SUMIFS($N$5:$N$34,$C$5:$C$34,C30,$Q$5:$Q$34,"&lt;"&amp;Q30)</f>
        <v>139.47975</v>
      </c>
      <c r="T30" s="23" t="n">
        <f aca="false">INDEX(Funnel!$B$5:$B$8,MATCH(C30,Funnel!$A$5:$A$8,0))</f>
        <v>45</v>
      </c>
      <c r="U30" s="40" t="n">
        <f aca="false">MIN(N30,MAX(0,T30-S30))</f>
        <v>0</v>
      </c>
      <c r="V30" s="26" t="n">
        <f aca="false">IF(L30&gt;0,U30/L30,0)</f>
        <v>0</v>
      </c>
      <c r="W30" s="23" t="n">
        <f aca="false">IF(I30&gt;0,V30/I30,0)</f>
        <v>0</v>
      </c>
      <c r="X30" s="35" t="n">
        <f aca="false">IF(E30="Slot",ROUNDUP(W30/G30,0)*F30,W30*H30)</f>
        <v>0</v>
      </c>
      <c r="Y30" s="35" t="n">
        <f aca="false">IF(U30&gt;0,0,0)</f>
        <v>0</v>
      </c>
      <c r="Z30" s="35" t="n">
        <f aca="false">IF(AND(D30="Channel",OR(E30="CPC",E30="CPA")),MAX(0,Assumptions!$D$49-X30*(Assumptions!$D$51+Assumptions!$D$52)),0)</f>
        <v>0</v>
      </c>
      <c r="AA30" s="35" t="n">
        <f aca="false">X30+Y30+Z30</f>
        <v>0</v>
      </c>
      <c r="AB30" s="35" t="str">
        <f aca="false">IF(U30&gt;0,(X30+Y30)/U30,"–")</f>
        <v>–</v>
      </c>
      <c r="AC30" s="23" t="n">
        <f aca="false">COUNTIF($Q$5:$Q$34,"&lt;"&amp;Q30)+1</f>
        <v>21</v>
      </c>
      <c r="AD30" s="2" t="str">
        <f aca="false">IF(U30&gt;=N30*0.999,IF(U30&gt;0,"Used to capacity","–"),IF(U30&gt;0,"Marginal (fills the gap)",IF(Z30&gt;0,"Test only (wk 1–2)","Not used")))</f>
        <v>Not used</v>
      </c>
    </row>
    <row r="31" customFormat="false" ht="15" hidden="false" customHeight="false" outlineLevel="0" collapsed="false">
      <c r="A31" s="2" t="s">
        <v>519</v>
      </c>
      <c r="B31" s="2" t="s">
        <v>517</v>
      </c>
      <c r="C31" s="2" t="s">
        <v>55</v>
      </c>
      <c r="D31" s="2" t="s">
        <v>474</v>
      </c>
      <c r="E31" s="2" t="s">
        <v>262</v>
      </c>
      <c r="F31" s="37" t="n">
        <f aca="false">Initiatives!D17</f>
        <v>151.36875</v>
      </c>
      <c r="G31" s="2"/>
      <c r="H31" s="37" t="n">
        <f aca="false">F31</f>
        <v>151.36875</v>
      </c>
      <c r="I31" s="24" t="n">
        <f aca="false">Initiatives!D14</f>
        <v>0.45</v>
      </c>
      <c r="J31" s="23" t="n">
        <f aca="false">Initiatives!D13</f>
        <v>10</v>
      </c>
      <c r="K31" s="26" t="n">
        <f aca="false">J31*I31</f>
        <v>4.5</v>
      </c>
      <c r="L31" s="25" t="n">
        <f aca="false">INDEX(Funnel!$G$5:$G$8,MATCH(C31,Funnel!$A$5:$A$8,0))*M31</f>
        <v>0.336375</v>
      </c>
      <c r="M31" s="38" t="n">
        <f aca="false">Assumptions!$D$128</f>
        <v>1.15</v>
      </c>
      <c r="N31" s="26" t="n">
        <f aca="false">K31*L31</f>
        <v>1.5136875</v>
      </c>
      <c r="O31" s="35" t="n">
        <f aca="false">IF(I31&gt;0,H31/I31,0)</f>
        <v>336.375</v>
      </c>
      <c r="P31" s="35" t="n">
        <f aca="false">IF(L31&gt;0,O31/L31,0)</f>
        <v>1000</v>
      </c>
      <c r="Q31" s="39" t="n">
        <f aca="false">P31+ROW()/1000000</f>
        <v>1000.000031</v>
      </c>
      <c r="R31" s="23" t="n">
        <f aca="false">COUNTIFS($C$5:$C$34,C31,$Q$5:$Q$34,"&lt;"&amp;Q31)+1</f>
        <v>5</v>
      </c>
      <c r="S31" s="26" t="n">
        <f aca="false">SUMIFS($N$5:$N$34,$C$5:$C$34,C31,$Q$5:$Q$34,"&lt;"&amp;Q31)</f>
        <v>17.48565</v>
      </c>
      <c r="T31" s="23" t="n">
        <f aca="false">INDEX(Funnel!$B$5:$B$8,MATCH(C31,Funnel!$A$5:$A$8,0))</f>
        <v>15</v>
      </c>
      <c r="U31" s="40" t="n">
        <f aca="false">MIN(N31,MAX(0,T31-S31))</f>
        <v>0</v>
      </c>
      <c r="V31" s="26" t="n">
        <f aca="false">IF(L31&gt;0,U31/L31,0)</f>
        <v>0</v>
      </c>
      <c r="W31" s="23" t="n">
        <f aca="false">IF(I31&gt;0,V31/I31,0)</f>
        <v>0</v>
      </c>
      <c r="X31" s="35" t="n">
        <f aca="false">IF(E31="Slot",ROUNDUP(W31/G31,0)*F31,W31*H31)</f>
        <v>0</v>
      </c>
      <c r="Y31" s="35" t="n">
        <f aca="false">IF(U31&gt;0,0,0)</f>
        <v>0</v>
      </c>
      <c r="Z31" s="35" t="n">
        <f aca="false">IF(AND(D31="Channel",OR(E31="CPC",E31="CPA")),MAX(0,Assumptions!$D$49-X31*(Assumptions!$D$51+Assumptions!$D$52)),0)</f>
        <v>0</v>
      </c>
      <c r="AA31" s="35" t="n">
        <f aca="false">X31+Y31+Z31</f>
        <v>0</v>
      </c>
      <c r="AB31" s="35" t="str">
        <f aca="false">IF(U31&gt;0,(X31+Y31)/U31,"–")</f>
        <v>–</v>
      </c>
      <c r="AC31" s="23" t="n">
        <f aca="false">COUNTIF($Q$5:$Q$34,"&lt;"&amp;Q31)+1</f>
        <v>22</v>
      </c>
      <c r="AD31" s="2" t="str">
        <f aca="false">IF(U31&gt;=N31*0.999,IF(U31&gt;0,"Used to capacity","–"),IF(U31&gt;0,"Marginal (fills the gap)",IF(Z31&gt;0,"Test only (wk 1–2)","Not used")))</f>
        <v>Not used</v>
      </c>
    </row>
    <row r="32" customFormat="false" ht="15" hidden="false" customHeight="false" outlineLevel="0" collapsed="false">
      <c r="A32" s="2" t="s">
        <v>520</v>
      </c>
      <c r="B32" s="2" t="s">
        <v>517</v>
      </c>
      <c r="C32" s="2" t="s">
        <v>57</v>
      </c>
      <c r="D32" s="2" t="s">
        <v>474</v>
      </c>
      <c r="E32" s="2" t="s">
        <v>262</v>
      </c>
      <c r="F32" s="37" t="n">
        <f aca="false">Initiatives!E17</f>
        <v>138.560625</v>
      </c>
      <c r="G32" s="2"/>
      <c r="H32" s="37" t="n">
        <f aca="false">F32</f>
        <v>138.560625</v>
      </c>
      <c r="I32" s="24" t="n">
        <f aca="false">Initiatives!E14</f>
        <v>0.45</v>
      </c>
      <c r="J32" s="23" t="n">
        <f aca="false">Initiatives!E13</f>
        <v>8</v>
      </c>
      <c r="K32" s="26" t="n">
        <f aca="false">J32*I32</f>
        <v>3.6</v>
      </c>
      <c r="L32" s="25" t="n">
        <f aca="false">INDEX(Funnel!$G$5:$G$8,MATCH(C32,Funnel!$A$5:$A$8,0))*M32</f>
        <v>0.3079125</v>
      </c>
      <c r="M32" s="38" t="n">
        <f aca="false">Assumptions!$D$128</f>
        <v>1.15</v>
      </c>
      <c r="N32" s="26" t="n">
        <f aca="false">K32*L32</f>
        <v>1.108485</v>
      </c>
      <c r="O32" s="35" t="n">
        <f aca="false">IF(I32&gt;0,H32/I32,0)</f>
        <v>307.9125</v>
      </c>
      <c r="P32" s="35" t="n">
        <f aca="false">IF(L32&gt;0,O32/L32,0)</f>
        <v>1000</v>
      </c>
      <c r="Q32" s="39" t="n">
        <f aca="false">P32+ROW()/1000000</f>
        <v>1000.000032</v>
      </c>
      <c r="R32" s="23" t="n">
        <f aca="false">COUNTIFS($C$5:$C$34,C32,$Q$5:$Q$34,"&lt;"&amp;Q32)+1</f>
        <v>5</v>
      </c>
      <c r="S32" s="26" t="n">
        <f aca="false">SUMIFS($N$5:$N$34,$C$5:$C$34,C32,$Q$5:$Q$34,"&lt;"&amp;Q32)</f>
        <v>9.08208</v>
      </c>
      <c r="T32" s="23" t="n">
        <f aca="false">INDEX(Funnel!$B$5:$B$8,MATCH(C32,Funnel!$A$5:$A$8,0))</f>
        <v>10</v>
      </c>
      <c r="U32" s="40" t="n">
        <f aca="false">MIN(N32,MAX(0,T32-S32))</f>
        <v>0.917920000000001</v>
      </c>
      <c r="V32" s="26" t="n">
        <f aca="false">IF(L32&gt;0,U32/L32,0)</f>
        <v>2.98110664555678</v>
      </c>
      <c r="W32" s="23" t="n">
        <f aca="false">IF(I32&gt;0,V32/I32,0)</f>
        <v>6.62468143457061</v>
      </c>
      <c r="X32" s="35" t="n">
        <f aca="false">IF(E32="Slot",ROUNDUP(W32/G32,0)*F32,W32*H32)</f>
        <v>917.92</v>
      </c>
      <c r="Y32" s="35" t="n">
        <f aca="false">IF(U32&gt;0,0,0)</f>
        <v>0</v>
      </c>
      <c r="Z32" s="35" t="n">
        <f aca="false">IF(AND(D32="Channel",OR(E32="CPC",E32="CPA")),MAX(0,Assumptions!$D$49-X32*(Assumptions!$D$51+Assumptions!$D$52)),0)</f>
        <v>0</v>
      </c>
      <c r="AA32" s="35" t="n">
        <f aca="false">X32+Y32+Z32</f>
        <v>917.92</v>
      </c>
      <c r="AB32" s="35" t="n">
        <f aca="false">IF(U32&gt;0,(X32+Y32)/U32,"–")</f>
        <v>1000</v>
      </c>
      <c r="AC32" s="23" t="n">
        <f aca="false">COUNTIF($Q$5:$Q$34,"&lt;"&amp;Q32)+1</f>
        <v>23</v>
      </c>
      <c r="AD32" s="2" t="str">
        <f aca="false">IF(U32&gt;=N32*0.999,IF(U32&gt;0,"Used to capacity","–"),IF(U32&gt;0,"Marginal (fills the gap)",IF(Z32&gt;0,"Test only (wk 1–2)","Not used")))</f>
        <v>Marginal (fills the gap)</v>
      </c>
    </row>
    <row r="33" customFormat="false" ht="15" hidden="false" customHeight="false" outlineLevel="0" collapsed="false">
      <c r="A33" s="2" t="s">
        <v>521</v>
      </c>
      <c r="B33" s="2" t="s">
        <v>522</v>
      </c>
      <c r="C33" s="2" t="s">
        <v>50</v>
      </c>
      <c r="D33" s="2" t="s">
        <v>474</v>
      </c>
      <c r="E33" s="2" t="s">
        <v>262</v>
      </c>
      <c r="F33" s="37" t="n">
        <f aca="false">Initiatives!B27</f>
        <v>30</v>
      </c>
      <c r="G33" s="2"/>
      <c r="H33" s="37" t="n">
        <f aca="false">F33</f>
        <v>30</v>
      </c>
      <c r="I33" s="24" t="n">
        <f aca="false">Initiatives!B28</f>
        <v>0.15</v>
      </c>
      <c r="J33" s="23" t="n">
        <f aca="false">Initiatives!B26</f>
        <v>300</v>
      </c>
      <c r="K33" s="26" t="n">
        <f aca="false">J33*I33</f>
        <v>45</v>
      </c>
      <c r="L33" s="25" t="n">
        <f aca="false">INDEX(Funnel!$G$5:$G$8,MATCH(C33,Funnel!$A$5:$A$8,0))*M33</f>
        <v>0.2574</v>
      </c>
      <c r="M33" s="38" t="n">
        <f aca="false">Assumptions!$D$133</f>
        <v>0.8</v>
      </c>
      <c r="N33" s="26" t="n">
        <f aca="false">K33*L33</f>
        <v>11.583</v>
      </c>
      <c r="O33" s="35" t="n">
        <f aca="false">IF(I33&gt;0,H33/I33,0)</f>
        <v>200</v>
      </c>
      <c r="P33" s="35" t="n">
        <f aca="false">IF(L33&gt;0,O33/L33,0)</f>
        <v>777.000777000777</v>
      </c>
      <c r="Q33" s="39" t="n">
        <f aca="false">P33+ROW()/1000000</f>
        <v>777.000810000777</v>
      </c>
      <c r="R33" s="23" t="n">
        <f aca="false">COUNTIFS($C$5:$C$34,C33,$Q$5:$Q$34,"&lt;"&amp;Q33)+1</f>
        <v>4</v>
      </c>
      <c r="S33" s="26" t="n">
        <f aca="false">SUMIFS($N$5:$N$34,$C$5:$C$34,C33,$Q$5:$Q$34,"&lt;"&amp;Q33)</f>
        <v>12.16215</v>
      </c>
      <c r="T33" s="23" t="n">
        <f aca="false">INDEX(Funnel!$B$5:$B$8,MATCH(C33,Funnel!$A$5:$A$8,0))</f>
        <v>30</v>
      </c>
      <c r="U33" s="40" t="n">
        <f aca="false">MIN(N33,MAX(0,T33-S33))</f>
        <v>11.583</v>
      </c>
      <c r="V33" s="26" t="n">
        <f aca="false">IF(L33&gt;0,U33/L33,0)</f>
        <v>45</v>
      </c>
      <c r="W33" s="23" t="n">
        <f aca="false">IF(I33&gt;0,V33/I33,0)</f>
        <v>300</v>
      </c>
      <c r="X33" s="35" t="n">
        <f aca="false">IF(E33="Slot",ROUNDUP(W33/G33,0)*F33,W33*H33)</f>
        <v>9000</v>
      </c>
      <c r="Y33" s="35" t="n">
        <f aca="false">IF(U33&gt;0,Initiatives!B33,0)</f>
        <v>1200</v>
      </c>
      <c r="Z33" s="35" t="n">
        <f aca="false">IF(AND(D33="Channel",OR(E33="CPC",E33="CPA")),MAX(0,Assumptions!$D$49-X33*(Assumptions!$D$51+Assumptions!$D$52)),0)</f>
        <v>0</v>
      </c>
      <c r="AA33" s="35" t="n">
        <f aca="false">X33+Y33+Z33</f>
        <v>10200</v>
      </c>
      <c r="AB33" s="35" t="n">
        <f aca="false">IF(U33&gt;0,(X33+Y33)/U33,"–")</f>
        <v>880.600880600881</v>
      </c>
      <c r="AC33" s="23" t="n">
        <f aca="false">COUNTIF($Q$5:$Q$34,"&lt;"&amp;Q33)+1</f>
        <v>17</v>
      </c>
      <c r="AD33" s="2" t="str">
        <f aca="false">IF(U33&gt;=N33*0.999,IF(U33&gt;0,"Used to capacity","–"),IF(U33&gt;0,"Marginal (fills the gap)",IF(Z33&gt;0,"Test only (wk 1–2)","Not used")))</f>
        <v>Used to capacity</v>
      </c>
    </row>
    <row r="34" customFormat="false" ht="15" hidden="false" customHeight="false" outlineLevel="0" collapsed="false">
      <c r="A34" s="2" t="s">
        <v>523</v>
      </c>
      <c r="B34" s="2" t="s">
        <v>524</v>
      </c>
      <c r="C34" s="2" t="s">
        <v>45</v>
      </c>
      <c r="D34" s="2" t="s">
        <v>474</v>
      </c>
      <c r="E34" s="2" t="s">
        <v>262</v>
      </c>
      <c r="F34" s="37" t="n">
        <f aca="false">Initiatives!B38</f>
        <v>12</v>
      </c>
      <c r="G34" s="2"/>
      <c r="H34" s="37" t="n">
        <f aca="false">F34</f>
        <v>12</v>
      </c>
      <c r="I34" s="24" t="n">
        <f aca="false">Initiatives!B39</f>
        <v>0.22</v>
      </c>
      <c r="J34" s="23" t="n">
        <f aca="false">Initiatives!B40</f>
        <v>450</v>
      </c>
      <c r="K34" s="26" t="n">
        <f aca="false">J34*I34</f>
        <v>99</v>
      </c>
      <c r="L34" s="25" t="n">
        <f aca="false">INDEX(Funnel!$G$5:$G$8,MATCH(C34,Funnel!$A$5:$A$8,0))*M34</f>
        <v>0.4455</v>
      </c>
      <c r="M34" s="38" t="n">
        <f aca="false">Assumptions!$D$138</f>
        <v>1.1</v>
      </c>
      <c r="N34" s="26" t="n">
        <f aca="false">MIN(K34*L34,Initiatives!B42)</f>
        <v>18</v>
      </c>
      <c r="O34" s="35" t="n">
        <f aca="false">IF(I34&gt;0,H34/I34,0)</f>
        <v>54.5454545454546</v>
      </c>
      <c r="P34" s="35" t="n">
        <f aca="false">IF(L34&gt;0,O34/L34,0)</f>
        <v>122.43648607285</v>
      </c>
      <c r="Q34" s="39" t="n">
        <f aca="false">P34+ROW()/1000000</f>
        <v>122.43652007285</v>
      </c>
      <c r="R34" s="23" t="n">
        <f aca="false">COUNTIFS($C$5:$C$34,C34,$Q$5:$Q$34,"&lt;"&amp;Q34)+1</f>
        <v>3</v>
      </c>
      <c r="S34" s="26" t="n">
        <f aca="false">SUMIFS($N$5:$N$34,$C$5:$C$34,C34,$Q$5:$Q$34,"&lt;"&amp;Q34)</f>
        <v>22.9635</v>
      </c>
      <c r="T34" s="23" t="n">
        <f aca="false">INDEX(Funnel!$B$5:$B$8,MATCH(C34,Funnel!$A$5:$A$8,0))</f>
        <v>45</v>
      </c>
      <c r="U34" s="40" t="n">
        <f aca="false">MIN(N34,MAX(0,T34-S34))</f>
        <v>18</v>
      </c>
      <c r="V34" s="26" t="n">
        <f aca="false">IF(L34&gt;0,U34/L34,0)</f>
        <v>40.4040404040404</v>
      </c>
      <c r="W34" s="23" t="n">
        <f aca="false">IF(I34&gt;0,V34/I34,0)</f>
        <v>183.654729109275</v>
      </c>
      <c r="X34" s="35" t="n">
        <f aca="false">IF(E34="Slot",ROUNDUP(W34/G34,0)*F34,W34*H34)</f>
        <v>2203.85674931129</v>
      </c>
      <c r="Y34" s="35" t="n">
        <f aca="false">IF(U34&gt;0,Initiatives!B46,0)</f>
        <v>4000</v>
      </c>
      <c r="Z34" s="35" t="n">
        <f aca="false">IF(AND(D34="Channel",OR(E34="CPC",E34="CPA")),MAX(0,Assumptions!$D$49-X34*(Assumptions!$D$51+Assumptions!$D$52)),0)</f>
        <v>0</v>
      </c>
      <c r="AA34" s="35" t="n">
        <f aca="false">X34+Y34+Z34</f>
        <v>6203.8567493113</v>
      </c>
      <c r="AB34" s="35" t="n">
        <f aca="false">IF(U34&gt;0,(X34+Y34)/U34,"–")</f>
        <v>344.658708295072</v>
      </c>
      <c r="AC34" s="23" t="n">
        <f aca="false">COUNTIF($Q$5:$Q$34,"&lt;"&amp;Q34)+1</f>
        <v>9</v>
      </c>
      <c r="AD34" s="2" t="str">
        <f aca="false">IF(U34&gt;=N34*0.999,IF(U34&gt;0,"Used to capacity","–"),IF(U34&gt;0,"Marginal (fills the gap)",IF(Z34&gt;0,"Test only (wk 1–2)","Not used")))</f>
        <v>Used to capacity</v>
      </c>
    </row>
    <row r="35" customFormat="false" ht="15" hidden="false" customHeight="false" outlineLevel="0" collapsed="false">
      <c r="A35" s="22" t="s">
        <v>366</v>
      </c>
      <c r="J35" s="27" t="n">
        <f aca="false">SUM(J5:J34)</f>
        <v>4477</v>
      </c>
      <c r="K35" s="29" t="n">
        <f aca="false">SUM(K5:K34)</f>
        <v>754.5</v>
      </c>
      <c r="N35" s="29" t="n">
        <f aca="false">SUM(N5:N34)</f>
        <v>249.350068125</v>
      </c>
      <c r="U35" s="29" t="n">
        <f aca="false">SUM(U5:U34)</f>
        <v>100</v>
      </c>
      <c r="V35" s="29" t="n">
        <f aca="false">SUM(V5:V34)</f>
        <v>289.506458238408</v>
      </c>
      <c r="W35" s="27" t="n">
        <f aca="false">SUM(W5:W34)</f>
        <v>1544.01848202792</v>
      </c>
      <c r="X35" s="36" t="n">
        <f aca="false">SUM(X5:X34)</f>
        <v>34486.5858724798</v>
      </c>
      <c r="Y35" s="36" t="n">
        <f aca="false">SUM(Y5:Y34)</f>
        <v>5200</v>
      </c>
      <c r="Z35" s="36" t="n">
        <f aca="false">SUM(Z5:Z34)</f>
        <v>2107.71428571429</v>
      </c>
      <c r="AA35" s="36" t="n">
        <f aca="false">SUM(AA5:AA34)</f>
        <v>41794.3001581941</v>
      </c>
      <c r="AB35" s="36" t="n">
        <f aca="false">(X35+Y35)/U35</f>
        <v>396.865858724798</v>
      </c>
    </row>
    <row r="37" customFormat="false" ht="15" hidden="false" customHeight="false" outlineLevel="0" collapsed="false">
      <c r="A37" s="22" t="s">
        <v>525</v>
      </c>
    </row>
    <row r="38" customFormat="false" ht="26.85" hidden="false" customHeight="false" outlineLevel="0" collapsed="false">
      <c r="A38" s="12"/>
      <c r="B38" s="12" t="s">
        <v>217</v>
      </c>
      <c r="C38" s="12" t="s">
        <v>49</v>
      </c>
      <c r="D38" s="12" t="s">
        <v>501</v>
      </c>
      <c r="E38" s="12" t="s">
        <v>526</v>
      </c>
    </row>
    <row r="39" customFormat="false" ht="15" hidden="false" customHeight="false" outlineLevel="0" collapsed="false">
      <c r="B39" s="2" t="s">
        <v>50</v>
      </c>
      <c r="C39" s="23" t="n">
        <f aca="false">Funnel!B5</f>
        <v>30</v>
      </c>
      <c r="D39" s="26" t="n">
        <f aca="false">SUMIFS($U$5:$U$34,$C$5:$C$34,B39)</f>
        <v>30</v>
      </c>
      <c r="E39" s="26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3" t="n">
        <f aca="false">Funnel!B6</f>
        <v>45</v>
      </c>
      <c r="D40" s="26" t="n">
        <f aca="false">SUMIFS($U$5:$U$34,$C$5:$C$34,B40)</f>
        <v>45</v>
      </c>
      <c r="E40" s="26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3" t="n">
        <f aca="false">Funnel!B7</f>
        <v>15</v>
      </c>
      <c r="D41" s="26" t="n">
        <f aca="false">SUMIFS($U$5:$U$34,$C$5:$C$34,B41)</f>
        <v>15</v>
      </c>
      <c r="E41" s="26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3" t="n">
        <f aca="false">Funnel!B8</f>
        <v>10</v>
      </c>
      <c r="D42" s="26" t="n">
        <f aca="false">SUMIFS($U$5:$U$34,$C$5:$C$34,B42)</f>
        <v>10</v>
      </c>
      <c r="E42" s="26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9" min="3" style="0" width="16"/>
  </cols>
  <sheetData>
    <row r="1" customFormat="false" ht="17.35" hidden="false" customHeight="false" outlineLevel="0" collapsed="false">
      <c r="B1" s="1" t="s">
        <v>527</v>
      </c>
    </row>
    <row r="4" customFormat="false" ht="15" hidden="false" customHeight="false" outlineLevel="0" collapsed="false">
      <c r="B4" s="2" t="s">
        <v>528</v>
      </c>
      <c r="C4" s="35" t="n">
        <f aca="false">SUMIFS(Channels!X5:X34,Channels!D5:D34,"Channel")</f>
        <v>17852.1684981685</v>
      </c>
    </row>
    <row r="5" customFormat="false" ht="15" hidden="false" customHeight="false" outlineLevel="0" collapsed="false">
      <c r="B5" s="2" t="s">
        <v>529</v>
      </c>
      <c r="C5" s="35" t="n">
        <f aca="false">SUMIFS(Channels!X5:X34,Channels!D5:D34,"Initiative")</f>
        <v>16634.4173743113</v>
      </c>
    </row>
    <row r="6" customFormat="false" ht="15" hidden="false" customHeight="false" outlineLevel="0" collapsed="false">
      <c r="B6" s="2" t="s">
        <v>530</v>
      </c>
      <c r="C6" s="35" t="n">
        <f aca="false">Channels!Y35</f>
        <v>5200</v>
      </c>
    </row>
    <row r="7" customFormat="false" ht="15" hidden="false" customHeight="false" outlineLevel="0" collapsed="false">
      <c r="B7" s="2" t="s">
        <v>531</v>
      </c>
      <c r="C7" s="35" t="n">
        <f aca="false">C4+C5+C6</f>
        <v>39686.5858724798</v>
      </c>
    </row>
    <row r="8" customFormat="false" ht="15" hidden="false" customHeight="false" outlineLevel="0" collapsed="false">
      <c r="B8" s="2" t="s">
        <v>532</v>
      </c>
      <c r="C8" s="35" t="n">
        <f aca="false">Channels!Z35</f>
        <v>2107.71428571429</v>
      </c>
    </row>
    <row r="9" customFormat="false" ht="15" hidden="false" customHeight="false" outlineLevel="0" collapsed="false">
      <c r="B9" s="2" t="s">
        <v>533</v>
      </c>
      <c r="C9" s="35" t="n">
        <f aca="false">C7+C8</f>
        <v>41794.3001581941</v>
      </c>
    </row>
    <row r="10" customFormat="false" ht="15" hidden="false" customHeight="false" outlineLevel="0" collapsed="false">
      <c r="B10" s="2" t="s">
        <v>534</v>
      </c>
      <c r="C10" s="35" t="n">
        <f aca="false">C9/(1-Assumptions!$D$48)*Assumptions!$D$48</f>
        <v>7375.46473379895</v>
      </c>
    </row>
    <row r="11" customFormat="false" ht="15" hidden="false" customHeight="false" outlineLevel="0" collapsed="false">
      <c r="B11" s="2" t="s">
        <v>535</v>
      </c>
      <c r="C11" s="35" t="n">
        <f aca="false">C9+C10</f>
        <v>49169.764891993</v>
      </c>
    </row>
    <row r="12" customFormat="false" ht="15" hidden="false" customHeight="false" outlineLevel="0" collapsed="false">
      <c r="B12" s="22" t="s">
        <v>536</v>
      </c>
      <c r="C12" s="4" t="n">
        <f aca="false">ROUNDUP(C11/5000,0)*5000</f>
        <v>50000</v>
      </c>
    </row>
    <row r="13" customFormat="false" ht="15" hidden="false" customHeight="false" outlineLevel="0" collapsed="false">
      <c r="B13" s="2" t="s">
        <v>537</v>
      </c>
      <c r="C13" s="40" t="n">
        <f aca="false">Channels!U35</f>
        <v>100</v>
      </c>
    </row>
    <row r="14" customFormat="false" ht="15" hidden="false" customHeight="false" outlineLevel="0" collapsed="false">
      <c r="B14" s="2" t="s">
        <v>538</v>
      </c>
      <c r="C14" s="41" t="n">
        <f aca="false">C9/C13</f>
        <v>417.943001581941</v>
      </c>
    </row>
    <row r="15" customFormat="false" ht="15" hidden="false" customHeight="false" outlineLevel="0" collapsed="false">
      <c r="B15" s="2" t="s">
        <v>539</v>
      </c>
      <c r="C15" s="35" t="n">
        <f aca="false">C12/C13</f>
        <v>500</v>
      </c>
    </row>
    <row r="16" customFormat="false" ht="15" hidden="false" customHeight="false" outlineLevel="0" collapsed="false">
      <c r="B16" s="2" t="s">
        <v>540</v>
      </c>
      <c r="C16" s="24" t="n">
        <f aca="false">Weekly!J5/C12</f>
        <v>0.295077556644669</v>
      </c>
    </row>
    <row r="19" customFormat="false" ht="15" hidden="false" customHeight="false" outlineLevel="0" collapsed="false">
      <c r="B19" s="22" t="s">
        <v>541</v>
      </c>
    </row>
    <row r="20" customFormat="false" ht="26.85" hidden="false" customHeight="false" outlineLevel="0" collapsed="false">
      <c r="A20" s="12"/>
      <c r="B20" s="12" t="s">
        <v>217</v>
      </c>
      <c r="C20" s="12" t="s">
        <v>504</v>
      </c>
      <c r="D20" s="12" t="s">
        <v>505</v>
      </c>
      <c r="E20" s="12" t="s">
        <v>542</v>
      </c>
      <c r="F20" s="12" t="s">
        <v>507</v>
      </c>
      <c r="G20" s="12" t="s">
        <v>543</v>
      </c>
      <c r="H20" s="12" t="s">
        <v>497</v>
      </c>
      <c r="I20" s="12" t="s">
        <v>544</v>
      </c>
    </row>
    <row r="21" customFormat="false" ht="15" hidden="false" customHeight="false" outlineLevel="0" collapsed="false">
      <c r="B21" s="2" t="s">
        <v>50</v>
      </c>
      <c r="C21" s="35" t="n">
        <f aca="false">SUMIFS(Channels!$X$5:$X$34,Channels!$C$5:$C$34,B21)</f>
        <v>18674.9263392857</v>
      </c>
      <c r="D21" s="35" t="n">
        <f aca="false">SUMIFS(Channels!$Y$5:$Y$34,Channels!$C$5:$C$34,B21)</f>
        <v>1200</v>
      </c>
      <c r="E21" s="35" t="n">
        <f aca="false">SUMIFS(Channels!$Z$5:$Z$34,Channels!$C$5:$C$34,B21)</f>
        <v>600</v>
      </c>
      <c r="F21" s="35" t="n">
        <f aca="false">C21+D21+E21</f>
        <v>20474.9263392857</v>
      </c>
      <c r="G21" s="26" t="n">
        <f aca="false">SUMIFS(Channels!$U$5:$U$34,Channels!$C$5:$C$34,B21)</f>
        <v>30</v>
      </c>
      <c r="H21" s="35" t="n">
        <f aca="false">F21/G21</f>
        <v>682.497544642857</v>
      </c>
      <c r="I21" s="26" t="n">
        <f aca="false">SUMIFS(Channels!$V$5:$V$34,Channels!$C$5:$C$34,B21)</f>
        <v>98.7525932400932</v>
      </c>
    </row>
    <row r="22" customFormat="false" ht="15" hidden="false" customHeight="false" outlineLevel="0" collapsed="false">
      <c r="B22" s="2" t="s">
        <v>45</v>
      </c>
      <c r="C22" s="35" t="n">
        <f aca="false">SUMIFS(Channels!$X$5:$X$34,Channels!$C$5:$C$34,B22)</f>
        <v>3350.52341597796</v>
      </c>
      <c r="D22" s="35" t="n">
        <f aca="false">SUMIFS(Channels!$Y$5:$Y$34,Channels!$C$5:$C$34,B22)</f>
        <v>4000</v>
      </c>
      <c r="E22" s="35" t="n">
        <f aca="false">SUMIFS(Channels!$Z$5:$Z$34,Channels!$C$5:$C$34,B22)</f>
        <v>600</v>
      </c>
      <c r="F22" s="35" t="n">
        <f aca="false">C22+D22+E22</f>
        <v>7950.52341597796</v>
      </c>
      <c r="G22" s="26" t="n">
        <f aca="false">SUMIFS(Channels!$U$5:$U$34,Channels!$C$5:$C$34,B22)</f>
        <v>45</v>
      </c>
      <c r="H22" s="35" t="n">
        <f aca="false">F22/G22</f>
        <v>176.678298132844</v>
      </c>
      <c r="I22" s="26" t="n">
        <f aca="false">SUMIFS(Channels!$V$5:$V$34,Channels!$C$5:$C$34,B22)</f>
        <v>104.370707070707</v>
      </c>
    </row>
    <row r="23" customFormat="false" ht="15" hidden="false" customHeight="false" outlineLevel="0" collapsed="false">
      <c r="B23" s="2" t="s">
        <v>55</v>
      </c>
      <c r="C23" s="35" t="n">
        <f aca="false">SUMIFS(Channels!$X$5:$X$34,Channels!$C$5:$C$34,B23)</f>
        <v>6185.35897435897</v>
      </c>
      <c r="D23" s="35" t="n">
        <f aca="false">SUMIFS(Channels!$Y$5:$Y$34,Channels!$C$5:$C$34,B23)</f>
        <v>0</v>
      </c>
      <c r="E23" s="35" t="n">
        <f aca="false">SUMIFS(Channels!$Z$5:$Z$34,Channels!$C$5:$C$34,B23)</f>
        <v>600</v>
      </c>
      <c r="F23" s="35" t="n">
        <f aca="false">C23+D23+E23</f>
        <v>6785.35897435897</v>
      </c>
      <c r="G23" s="26" t="n">
        <f aca="false">SUMIFS(Channels!$U$5:$U$34,Channels!$C$5:$C$34,B23)</f>
        <v>15</v>
      </c>
      <c r="H23" s="35" t="n">
        <f aca="false">F23/G23</f>
        <v>452.357264957265</v>
      </c>
      <c r="I23" s="26" t="n">
        <f aca="false">SUMIFS(Channels!$V$5:$V$34,Channels!$C$5:$C$34,B23)</f>
        <v>50.2020512820513</v>
      </c>
    </row>
    <row r="24" customFormat="false" ht="15" hidden="false" customHeight="false" outlineLevel="0" collapsed="false">
      <c r="B24" s="2" t="s">
        <v>57</v>
      </c>
      <c r="C24" s="35" t="n">
        <f aca="false">SUMIFS(Channels!$X$5:$X$34,Channels!$C$5:$C$34,B24)</f>
        <v>6275.77714285714</v>
      </c>
      <c r="D24" s="35" t="n">
        <f aca="false">SUMIFS(Channels!$Y$5:$Y$34,Channels!$C$5:$C$34,B24)</f>
        <v>0</v>
      </c>
      <c r="E24" s="35" t="n">
        <f aca="false">SUMIFS(Channels!$Z$5:$Z$34,Channels!$C$5:$C$34,B24)</f>
        <v>307.714285714286</v>
      </c>
      <c r="F24" s="35" t="n">
        <f aca="false">C24+D24+E24</f>
        <v>6583.49142857143</v>
      </c>
      <c r="G24" s="26" t="n">
        <f aca="false">SUMIFS(Channels!$U$5:$U$34,Channels!$C$5:$C$34,B24)</f>
        <v>10</v>
      </c>
      <c r="H24" s="35" t="n">
        <f aca="false">F24/G24</f>
        <v>658.349142857143</v>
      </c>
      <c r="I24" s="26" t="n">
        <f aca="false">SUMIFS(Channels!$V$5:$V$34,Channels!$C$5:$C$34,B24)</f>
        <v>36.1811066455568</v>
      </c>
    </row>
    <row r="25" customFormat="false" ht="15" hidden="false" customHeight="false" outlineLevel="0" collapsed="false">
      <c r="B25" s="22" t="s">
        <v>366</v>
      </c>
      <c r="C25" s="36" t="n">
        <f aca="false">SUM(C21:C24)</f>
        <v>34486.5858724798</v>
      </c>
      <c r="D25" s="36" t="n">
        <f aca="false">SUM(D21:D24)</f>
        <v>5200</v>
      </c>
      <c r="E25" s="36" t="n">
        <f aca="false">SUM(E21:E24)</f>
        <v>2107.71428571429</v>
      </c>
      <c r="F25" s="36" t="n">
        <f aca="false">SUM(F21:F24)</f>
        <v>41794.3001581941</v>
      </c>
      <c r="G25" s="29" t="n">
        <f aca="false">SUM(G21:G24)</f>
        <v>100</v>
      </c>
      <c r="H25" s="36" t="n">
        <f aca="false">F25/G25</f>
        <v>417.943001581941</v>
      </c>
      <c r="I25" s="29" t="n">
        <f aca="false">SUM(I21:I24)</f>
        <v>289.506458238408</v>
      </c>
    </row>
    <row r="27" customFormat="false" ht="15" hidden="false" customHeight="false" outlineLevel="0" collapsed="false">
      <c r="B27" s="22" t="s">
        <v>545</v>
      </c>
    </row>
    <row r="28" customFormat="false" ht="26.85" hidden="false" customHeight="false" outlineLevel="0" collapsed="false">
      <c r="A28" s="12"/>
      <c r="B28" s="12" t="s">
        <v>216</v>
      </c>
      <c r="C28" s="12" t="s">
        <v>507</v>
      </c>
      <c r="D28" s="12" t="s">
        <v>543</v>
      </c>
      <c r="E28" s="12" t="s">
        <v>497</v>
      </c>
      <c r="F28" s="12" t="s">
        <v>546</v>
      </c>
    </row>
    <row r="29" customFormat="false" ht="15" hidden="false" customHeight="false" outlineLevel="0" collapsed="false">
      <c r="B29" s="2" t="s">
        <v>226</v>
      </c>
      <c r="C29" s="35" t="n">
        <f aca="false">SUMIFS(Channels!$AA$5:$AA$34,Channels!$B$5:$B$34,B29)</f>
        <v>0</v>
      </c>
      <c r="D29" s="26" t="n">
        <f aca="false">SUMIFS(Channels!$U$5:$U$34,Channels!$B$5:$B$34,B29)</f>
        <v>22.0662</v>
      </c>
      <c r="E29" s="35" t="n">
        <f aca="false">IF(D29&gt;0,C29/D29,"–")</f>
        <v>0</v>
      </c>
      <c r="F29" s="24" t="n">
        <f aca="false">C29/$C$9</f>
        <v>0</v>
      </c>
    </row>
    <row r="30" customFormat="false" ht="15" hidden="false" customHeight="false" outlineLevel="0" collapsed="false">
      <c r="B30" s="2" t="s">
        <v>235</v>
      </c>
      <c r="C30" s="35" t="n">
        <f aca="false">SUMIFS(Channels!$AA$5:$AA$34,Channels!$B$5:$B$34,B30)</f>
        <v>1200</v>
      </c>
      <c r="D30" s="26" t="n">
        <f aca="false">SUMIFS(Channels!$U$5:$U$34,Channels!$B$5:$B$34,B30)</f>
        <v>0</v>
      </c>
      <c r="E30" s="35" t="str">
        <f aca="false">IF(D30&gt;0,C30/D30,"–")</f>
        <v>–</v>
      </c>
      <c r="F30" s="24" t="n">
        <f aca="false">C30/$C$9</f>
        <v>0.0287120491420582</v>
      </c>
    </row>
    <row r="31" customFormat="false" ht="15" hidden="false" customHeight="false" outlineLevel="0" collapsed="false">
      <c r="B31" s="2" t="s">
        <v>246</v>
      </c>
      <c r="C31" s="35" t="n">
        <f aca="false">SUMIFS(Channels!$AA$5:$AA$34,Channels!$B$5:$B$34,B31)</f>
        <v>2898</v>
      </c>
      <c r="D31" s="26" t="n">
        <f aca="false">SUMIFS(Channels!$U$5:$U$34,Channels!$B$5:$B$34,B31)</f>
        <v>2.092209375</v>
      </c>
      <c r="E31" s="35" t="n">
        <f aca="false">IF(D31&gt;0,C31/D31,"–")</f>
        <v>1385.1386169226</v>
      </c>
      <c r="F31" s="24" t="n">
        <f aca="false">C31/$C$9</f>
        <v>0.0693395986780706</v>
      </c>
    </row>
    <row r="32" customFormat="false" ht="15" hidden="false" customHeight="false" outlineLevel="0" collapsed="false">
      <c r="B32" s="2" t="s">
        <v>256</v>
      </c>
      <c r="C32" s="35" t="n">
        <f aca="false">SUMIFS(Channels!$AA$5:$AA$34,Channels!$B$5:$B$34,B32)</f>
        <v>10500.358974359</v>
      </c>
      <c r="D32" s="26" t="n">
        <f aca="false">SUMIFS(Channels!$U$5:$U$34,Channels!$B$5:$B$34,B32)</f>
        <v>15.5931</v>
      </c>
      <c r="E32" s="35" t="n">
        <f aca="false">IF(D32&gt;0,C32/D32,"–")</f>
        <v>673.397783273305</v>
      </c>
      <c r="F32" s="24" t="n">
        <f aca="false">C32/$C$9</f>
        <v>0.251239019067539</v>
      </c>
    </row>
    <row r="33" customFormat="false" ht="15" hidden="false" customHeight="false" outlineLevel="0" collapsed="false">
      <c r="B33" s="2" t="s">
        <v>261</v>
      </c>
      <c r="C33" s="35" t="n">
        <f aca="false">SUMIFS(Channels!$AA$5:$AA$34,Channels!$B$5:$B$34,B33)</f>
        <v>1296.66666666667</v>
      </c>
      <c r="D33" s="26" t="n">
        <f aca="false">SUMIFS(Channels!$U$5:$U$34,Channels!$B$5:$B$34,B33)</f>
        <v>4.0365</v>
      </c>
      <c r="E33" s="35" t="n">
        <f aca="false">IF(D33&gt;0,C33/D33,"–")</f>
        <v>321.235393699162</v>
      </c>
      <c r="F33" s="24" t="n">
        <f aca="false">C33/$C$9</f>
        <v>0.0310249642118351</v>
      </c>
    </row>
    <row r="34" customFormat="false" ht="15" hidden="false" customHeight="false" outlineLevel="0" collapsed="false">
      <c r="B34" s="2" t="s">
        <v>267</v>
      </c>
      <c r="C34" s="35" t="n">
        <f aca="false">SUMIFS(Channels!$AA$5:$AA$34,Channels!$B$5:$B$34,B34)</f>
        <v>4064.85714285714</v>
      </c>
      <c r="D34" s="26" t="n">
        <f aca="false">SUMIFS(Channels!$U$5:$U$34,Channels!$B$5:$B$34,B34)</f>
        <v>4.8249</v>
      </c>
      <c r="E34" s="35" t="n">
        <f aca="false">IF(D34&gt;0,C34/D34,"–")</f>
        <v>842.474899553803</v>
      </c>
      <c r="F34" s="24" t="n">
        <f aca="false">C34/$C$9</f>
        <v>0.0972586483676339</v>
      </c>
    </row>
    <row r="35" customFormat="false" ht="15" hidden="false" customHeight="false" outlineLevel="0" collapsed="false">
      <c r="B35" s="2" t="s">
        <v>512</v>
      </c>
      <c r="C35" s="35" t="n">
        <f aca="false">SUMIFS(Channels!$AA$5:$AA$34,Channels!$B$5:$B$34,B35)</f>
        <v>350</v>
      </c>
      <c r="D35" s="26" t="n">
        <f aca="false">SUMIFS(Channels!$U$5:$U$34,Channels!$B$5:$B$34,B35)</f>
        <v>16.72353</v>
      </c>
      <c r="E35" s="35" t="n">
        <f aca="false">IF(D35&gt;0,C35/D35,"–")</f>
        <v>20.9285958167923</v>
      </c>
      <c r="F35" s="24" t="n">
        <f aca="false">C35/$C$9</f>
        <v>0.00837434766643365</v>
      </c>
    </row>
    <row r="36" customFormat="false" ht="15" hidden="false" customHeight="false" outlineLevel="0" collapsed="false">
      <c r="B36" s="2" t="s">
        <v>517</v>
      </c>
      <c r="C36" s="35" t="n">
        <f aca="false">SUMIFS(Channels!$AA$5:$AA$34,Channels!$B$5:$B$34,B36)</f>
        <v>5080.560625</v>
      </c>
      <c r="D36" s="26" t="n">
        <f aca="false">SUMIFS(Channels!$U$5:$U$34,Channels!$B$5:$B$34,B36)</f>
        <v>5.080560625</v>
      </c>
      <c r="E36" s="35" t="n">
        <f aca="false">IF(D36&gt;0,C36/D36,"–")</f>
        <v>1000</v>
      </c>
      <c r="F36" s="24" t="n">
        <f aca="false">C36/$C$9</f>
        <v>0.121561088611838</v>
      </c>
    </row>
    <row r="37" customFormat="false" ht="15" hidden="false" customHeight="false" outlineLevel="0" collapsed="false">
      <c r="B37" s="2" t="s">
        <v>522</v>
      </c>
      <c r="C37" s="35" t="n">
        <f aca="false">SUMIFS(Channels!$AA$5:$AA$34,Channels!$B$5:$B$34,B37)</f>
        <v>10200</v>
      </c>
      <c r="D37" s="26" t="n">
        <f aca="false">SUMIFS(Channels!$U$5:$U$34,Channels!$B$5:$B$34,B37)</f>
        <v>11.583</v>
      </c>
      <c r="E37" s="35" t="n">
        <f aca="false">IF(D37&gt;0,C37/D37,"–")</f>
        <v>880.600880600881</v>
      </c>
      <c r="F37" s="24" t="n">
        <f aca="false">C37/$C$9</f>
        <v>0.244052417707495</v>
      </c>
    </row>
    <row r="38" customFormat="false" ht="15" hidden="false" customHeight="false" outlineLevel="0" collapsed="false">
      <c r="B38" s="2" t="s">
        <v>524</v>
      </c>
      <c r="C38" s="35" t="n">
        <f aca="false">SUMIFS(Channels!$AA$5:$AA$34,Channels!$B$5:$B$34,B38)</f>
        <v>6203.8567493113</v>
      </c>
      <c r="D38" s="26" t="n">
        <f aca="false">SUMIFS(Channels!$U$5:$U$34,Channels!$B$5:$B$34,B38)</f>
        <v>18</v>
      </c>
      <c r="E38" s="35" t="n">
        <f aca="false">IF(D38&gt;0,C38/D38,"–")</f>
        <v>344.658708295072</v>
      </c>
      <c r="F38" s="24" t="n">
        <f aca="false">C38/$C$9</f>
        <v>0.148437866547096</v>
      </c>
    </row>
    <row r="39" customFormat="false" ht="15" hidden="false" customHeight="false" outlineLevel="0" collapsed="false">
      <c r="B39" s="22" t="s">
        <v>366</v>
      </c>
      <c r="C39" s="36" t="n">
        <f aca="false">SUM(C29:C38)</f>
        <v>41794.3001581941</v>
      </c>
      <c r="D39" s="29" t="n">
        <f aca="false">SUM(D29:D38)</f>
        <v>100</v>
      </c>
    </row>
    <row r="40" customFormat="false" ht="15" hidden="false" customHeight="false" outlineLevel="0" collapsed="false">
      <c r="B40" s="2" t="str">
        <f aca="false">IF(ABS(C39-C9)&lt;1,"✓ ties to planned spend","✗ check: channel totals ≠ planned spend")</f>
        <v>✓ ties to planned spend</v>
      </c>
    </row>
    <row r="42" customFormat="false" ht="15" hidden="false" customHeight="false" outlineLevel="0" collapsed="false">
      <c r="B42" s="22" t="s">
        <v>547</v>
      </c>
    </row>
    <row r="43" customFormat="false" ht="15" hidden="false" customHeight="false" outlineLevel="0" collapsed="false">
      <c r="B43" s="2" t="s">
        <v>548</v>
      </c>
    </row>
    <row r="44" customFormat="false" ht="15" hidden="false" customHeight="false" outlineLevel="0" collapsed="false">
      <c r="A44" s="12"/>
      <c r="B44" s="12" t="s">
        <v>549</v>
      </c>
      <c r="C44" s="12" t="s">
        <v>550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551</v>
      </c>
      <c r="I44" s="12" t="s">
        <v>497</v>
      </c>
    </row>
    <row r="45" customFormat="false" ht="15" hidden="false" customHeight="false" outlineLevel="0" collapsed="false">
      <c r="B45" s="24" t="n">
        <f aca="false">Scenarios!F3</f>
        <v>1</v>
      </c>
      <c r="C45" s="35" t="n">
        <f aca="false">Scenarios!F4</f>
        <v>49169.764891993</v>
      </c>
      <c r="D45" s="26" t="n">
        <f aca="false">Scenarios!F39</f>
        <v>30</v>
      </c>
      <c r="E45" s="26" t="n">
        <f aca="false">Scenarios!F40</f>
        <v>45</v>
      </c>
      <c r="F45" s="26" t="n">
        <f aca="false">Scenarios!F41</f>
        <v>15</v>
      </c>
      <c r="G45" s="26" t="n">
        <f aca="false">Scenarios!F42</f>
        <v>10</v>
      </c>
      <c r="H45" s="29" t="n">
        <f aca="false">SUM(D45:G45)</f>
        <v>100</v>
      </c>
      <c r="I45" s="35" t="n">
        <f aca="false">C45/H45</f>
        <v>491.69764891993</v>
      </c>
    </row>
    <row r="46" customFormat="false" ht="15" hidden="false" customHeight="false" outlineLevel="0" collapsed="false">
      <c r="B46" s="24" t="n">
        <f aca="false">Scenarios!G3</f>
        <v>0.85</v>
      </c>
      <c r="C46" s="35" t="n">
        <f aca="false">Scenarios!G4</f>
        <v>41794.3001581941</v>
      </c>
      <c r="D46" s="26" t="n">
        <f aca="false">Scenarios!G39</f>
        <v>25.4545656012709</v>
      </c>
      <c r="E46" s="26" t="n">
        <f aca="false">Scenarios!G40</f>
        <v>45</v>
      </c>
      <c r="F46" s="26" t="n">
        <f aca="false">Scenarios!G41</f>
        <v>15</v>
      </c>
      <c r="G46" s="26" t="n">
        <f aca="false">Scenarios!G42</f>
        <v>9.08208</v>
      </c>
      <c r="H46" s="29" t="n">
        <f aca="false">SUM(D46:G46)</f>
        <v>94.5366456012709</v>
      </c>
      <c r="I46" s="35" t="n">
        <f aca="false">C46/H46</f>
        <v>442.096288612468</v>
      </c>
    </row>
    <row r="47" customFormat="false" ht="15" hidden="false" customHeight="false" outlineLevel="0" collapsed="false">
      <c r="B47" s="24" t="n">
        <f aca="false">Scenarios!H3</f>
        <v>0.7</v>
      </c>
      <c r="C47" s="35" t="n">
        <f aca="false">Scenarios!H4</f>
        <v>34418.8354243951</v>
      </c>
      <c r="D47" s="26" t="n">
        <f aca="false">Scenarios!H39</f>
        <v>23.74515</v>
      </c>
      <c r="E47" s="26" t="n">
        <f aca="false">Scenarios!H40</f>
        <v>45</v>
      </c>
      <c r="F47" s="26" t="n">
        <f aca="false">Scenarios!H41</f>
        <v>15</v>
      </c>
      <c r="G47" s="26" t="n">
        <f aca="false">Scenarios!H42</f>
        <v>3.69112832976827</v>
      </c>
      <c r="H47" s="29" t="n">
        <f aca="false">SUM(D47:G47)</f>
        <v>87.4362783297683</v>
      </c>
      <c r="I47" s="35" t="n">
        <f aca="false">C47/H47</f>
        <v>393.644790033075</v>
      </c>
    </row>
    <row r="48" customFormat="false" ht="15" hidden="false" customHeight="false" outlineLevel="0" collapsed="false">
      <c r="B48" s="24" t="n">
        <f aca="false">Scenarios!I3</f>
        <v>0.5</v>
      </c>
      <c r="C48" s="35" t="n">
        <f aca="false">Scenarios!I4</f>
        <v>24584.8824459965</v>
      </c>
      <c r="D48" s="26" t="n">
        <f aca="false">Scenarios!I39</f>
        <v>13.9630075154343</v>
      </c>
      <c r="E48" s="26" t="n">
        <f aca="false">Scenarios!I40</f>
        <v>45</v>
      </c>
      <c r="F48" s="26" t="n">
        <f aca="false">Scenarios!I41</f>
        <v>15</v>
      </c>
      <c r="G48" s="26" t="n">
        <f aca="false">Scenarios!I42</f>
        <v>2.76318</v>
      </c>
      <c r="H48" s="29" t="n">
        <f aca="false">SUM(D48:G48)</f>
        <v>76.7261875154343</v>
      </c>
      <c r="I48" s="35" t="n">
        <f aca="false">C48/H48</f>
        <v>320.423616005305</v>
      </c>
    </row>
    <row r="50" customFormat="false" ht="15" hidden="false" customHeight="true" outlineLevel="0" collapsed="false">
      <c r="B50" s="9" t="s">
        <v>552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15" min="6" style="0" width="13"/>
  </cols>
  <sheetData>
    <row r="1" customFormat="false" ht="17.35" hidden="false" customHeight="false" outlineLevel="0" collapsed="false">
      <c r="A1" s="1" t="s">
        <v>553</v>
      </c>
    </row>
    <row r="3" customFormat="false" ht="15" hidden="false" customHeight="false" outlineLevel="0" collapsed="false">
      <c r="E3" s="22" t="s">
        <v>554</v>
      </c>
      <c r="F3" s="42" t="n">
        <f aca="false">1</f>
        <v>1</v>
      </c>
      <c r="G3" s="42" t="n">
        <f aca="false">1-Assumptions!$D$50/2</f>
        <v>0.85</v>
      </c>
      <c r="H3" s="42" t="n">
        <f aca="false">1-Assumptions!$D$50</f>
        <v>0.7</v>
      </c>
      <c r="I3" s="42" t="n">
        <f aca="false">0.5</f>
        <v>0.5</v>
      </c>
    </row>
    <row r="4" customFormat="false" ht="15" hidden="false" customHeight="false" outlineLevel="0" collapsed="false">
      <c r="E4" s="2" t="s">
        <v>550</v>
      </c>
      <c r="F4" s="35" t="n">
        <f aca="false">Budget!$C$11*F3</f>
        <v>49169.764891993</v>
      </c>
      <c r="G4" s="35" t="n">
        <f aca="false">Budget!$C$11*G3</f>
        <v>41794.3001581941</v>
      </c>
      <c r="H4" s="35" t="n">
        <f aca="false">Budget!$C$11*H3</f>
        <v>34418.8354243951</v>
      </c>
      <c r="I4" s="35" t="n">
        <f aca="false">Budget!$C$11*I3</f>
        <v>24584.8824459965</v>
      </c>
    </row>
    <row r="5" customFormat="false" ht="15" hidden="false" customHeight="false" outlineLevel="0" collapsed="false">
      <c r="E5" s="2" t="s">
        <v>555</v>
      </c>
      <c r="F5" s="35" t="n">
        <f aca="false">F4*(1-Assumptions!$D$48)-Budget!$C$6-Budget!$C$8</f>
        <v>34486.5858724798</v>
      </c>
      <c r="G5" s="35" t="n">
        <f aca="false">G4*(1-Assumptions!$D$48)-Budget!$C$6-Budget!$C$8</f>
        <v>28217.4408487507</v>
      </c>
      <c r="H5" s="35" t="n">
        <f aca="false">H4*(1-Assumptions!$D$48)-Budget!$C$6-Budget!$C$8</f>
        <v>21948.2958250216</v>
      </c>
      <c r="I5" s="35" t="n">
        <f aca="false">I4*(1-Assumptions!$D$48)-Budget!$C$6-Budget!$C$8</f>
        <v>13589.4357933827</v>
      </c>
    </row>
    <row r="6" customFormat="false" ht="15" hidden="false" customHeight="false" outlineLevel="0" collapsed="false">
      <c r="E6" s="2" t="s">
        <v>556</v>
      </c>
      <c r="F6" s="35" t="n">
        <f aca="false">MAX(0,(Budget!$C$4+Budget!$C$5)-F5)</f>
        <v>0</v>
      </c>
      <c r="G6" s="35" t="n">
        <f aca="false">MAX(0,(Budget!$C$4+Budget!$C$5)-G5)</f>
        <v>6269.14502372912</v>
      </c>
      <c r="H6" s="35" t="n">
        <f aca="false">MAX(0,(Budget!$C$4+Budget!$C$5)-H5)</f>
        <v>12538.2900474582</v>
      </c>
      <c r="I6" s="35" t="n">
        <f aca="false">MAX(0,(Budget!$C$4+Budget!$C$5)-I5)</f>
        <v>20897.150079097</v>
      </c>
    </row>
    <row r="7" customFormat="false" ht="15" hidden="false" customHeight="false" outlineLevel="0" collapsed="false">
      <c r="A7" s="12" t="s">
        <v>22</v>
      </c>
      <c r="B7" s="12" t="s">
        <v>217</v>
      </c>
      <c r="C7" s="12" t="s">
        <v>504</v>
      </c>
      <c r="D7" s="12" t="s">
        <v>498</v>
      </c>
      <c r="E7" s="12" t="s">
        <v>543</v>
      </c>
      <c r="F7" s="12" t="s">
        <v>557</v>
      </c>
      <c r="G7" s="12" t="s">
        <v>558</v>
      </c>
      <c r="H7" s="12" t="s">
        <v>559</v>
      </c>
      <c r="I7" s="12" t="s">
        <v>560</v>
      </c>
      <c r="J7" s="12" t="s">
        <v>561</v>
      </c>
      <c r="K7" s="12" t="s">
        <v>562</v>
      </c>
      <c r="L7" s="12" t="s">
        <v>563</v>
      </c>
      <c r="M7" s="12" t="s">
        <v>564</v>
      </c>
    </row>
    <row r="8" customFormat="false" ht="15" hidden="false" customHeight="false" outlineLevel="0" collapsed="false">
      <c r="A8" s="2" t="str">
        <f aca="false">Channels!A5</f>
        <v>C01</v>
      </c>
      <c r="B8" s="2" t="str">
        <f aca="false">Channels!C5</f>
        <v>Electricians</v>
      </c>
      <c r="C8" s="35" t="n">
        <f aca="false">Channels!X5</f>
        <v>0</v>
      </c>
      <c r="D8" s="39" t="n">
        <f aca="false">Channels!Q5</f>
        <v>5E-006</v>
      </c>
      <c r="E8" s="26" t="n">
        <f aca="false">Channels!U5</f>
        <v>3.861</v>
      </c>
      <c r="F8" s="26" t="n">
        <f aca="false">IF(C8&gt;0,E8*(1-J8/C8),E8)</f>
        <v>3.861</v>
      </c>
      <c r="G8" s="26" t="n">
        <f aca="false">IF(C8&gt;0,E8*(1-K8/C8),E8)</f>
        <v>3.861</v>
      </c>
      <c r="H8" s="26" t="n">
        <f aca="false">IF(C8&gt;0,E8*(1-L8/C8),E8)</f>
        <v>3.861</v>
      </c>
      <c r="I8" s="26" t="n">
        <f aca="false">IF(C8&gt;0,E8*(1-M8/C8),E8)</f>
        <v>3.861</v>
      </c>
      <c r="J8" s="35" t="n">
        <f aca="false">MIN(C8,MAX(0,F$6-SUMIFS($C$8:$C$37,$D$8:$D$37,"&gt;"&amp;D8)))</f>
        <v>0</v>
      </c>
      <c r="K8" s="35" t="n">
        <f aca="false">MIN(C8,MAX(0,G$6-SUMIFS($C$8:$C$37,$D$8:$D$37,"&gt;"&amp;D8)))</f>
        <v>0</v>
      </c>
      <c r="L8" s="35" t="n">
        <f aca="false">MIN(C8,MAX(0,H$6-SUMIFS($C$8:$C$37,$D$8:$D$37,"&gt;"&amp;D8)))</f>
        <v>0</v>
      </c>
      <c r="M8" s="35" t="n">
        <f aca="false">MIN(C8,MAX(0,I$6-SUMIFS($C$8:$C$37,$D$8:$D$37,"&gt;"&amp;D8)))</f>
        <v>0</v>
      </c>
    </row>
    <row r="9" customFormat="false" ht="15" hidden="false" customHeight="false" outlineLevel="0" collapsed="false">
      <c r="A9" s="2" t="str">
        <f aca="false">Channels!A6</f>
        <v>C02</v>
      </c>
      <c r="B9" s="2" t="str">
        <f aca="false">Channels!C6</f>
        <v>Mechatronics</v>
      </c>
      <c r="C9" s="35" t="n">
        <f aca="false">Channels!X6</f>
        <v>0</v>
      </c>
      <c r="D9" s="39" t="n">
        <f aca="false">Channels!Q6</f>
        <v>6E-006</v>
      </c>
      <c r="E9" s="26" t="n">
        <f aca="false">Channels!U6</f>
        <v>14.58</v>
      </c>
      <c r="F9" s="26" t="n">
        <f aca="false">IF(C9&gt;0,E9*(1-J9/C9),E9)</f>
        <v>14.58</v>
      </c>
      <c r="G9" s="26" t="n">
        <f aca="false">IF(C9&gt;0,E9*(1-K9/C9),E9)</f>
        <v>14.58</v>
      </c>
      <c r="H9" s="26" t="n">
        <f aca="false">IF(C9&gt;0,E9*(1-L9/C9),E9)</f>
        <v>14.58</v>
      </c>
      <c r="I9" s="26" t="n">
        <f aca="false">IF(C9&gt;0,E9*(1-M9/C9),E9)</f>
        <v>14.58</v>
      </c>
      <c r="J9" s="35" t="n">
        <f aca="false">MIN(C9,MAX(0,F$6-SUMIFS($C$8:$C$37,$D$8:$D$37,"&gt;"&amp;D9)))</f>
        <v>0</v>
      </c>
      <c r="K9" s="35" t="n">
        <f aca="false">MIN(C9,MAX(0,G$6-SUMIFS($C$8:$C$37,$D$8:$D$37,"&gt;"&amp;D9)))</f>
        <v>0</v>
      </c>
      <c r="L9" s="35" t="n">
        <f aca="false">MIN(C9,MAX(0,H$6-SUMIFS($C$8:$C$37,$D$8:$D$37,"&gt;"&amp;D9)))</f>
        <v>0</v>
      </c>
      <c r="M9" s="35" t="n">
        <f aca="false">MIN(C9,MAX(0,I$6-SUMIFS($C$8:$C$37,$D$8:$D$37,"&gt;"&amp;D9)))</f>
        <v>0</v>
      </c>
    </row>
    <row r="10" customFormat="false" ht="15" hidden="false" customHeight="false" outlineLevel="0" collapsed="false">
      <c r="A10" s="2" t="str">
        <f aca="false">Channels!A7</f>
        <v>C03</v>
      </c>
      <c r="B10" s="2" t="str">
        <f aca="false">Channels!C7</f>
        <v>Automation</v>
      </c>
      <c r="C10" s="35" t="n">
        <f aca="false">Channels!X7</f>
        <v>0</v>
      </c>
      <c r="D10" s="39" t="n">
        <f aca="false">Channels!Q7</f>
        <v>7E-006</v>
      </c>
      <c r="E10" s="26" t="n">
        <f aca="false">Channels!U7</f>
        <v>2.34</v>
      </c>
      <c r="F10" s="26" t="n">
        <f aca="false">IF(C10&gt;0,E10*(1-J10/C10),E10)</f>
        <v>2.34</v>
      </c>
      <c r="G10" s="26" t="n">
        <f aca="false">IF(C10&gt;0,E10*(1-K10/C10),E10)</f>
        <v>2.34</v>
      </c>
      <c r="H10" s="26" t="n">
        <f aca="false">IF(C10&gt;0,E10*(1-L10/C10),E10)</f>
        <v>2.34</v>
      </c>
      <c r="I10" s="26" t="n">
        <f aca="false">IF(C10&gt;0,E10*(1-M10/C10),E10)</f>
        <v>2.34</v>
      </c>
      <c r="J10" s="35" t="n">
        <f aca="false">MIN(C10,MAX(0,F$6-SUMIFS($C$8:$C$37,$D$8:$D$37,"&gt;"&amp;D10)))</f>
        <v>0</v>
      </c>
      <c r="K10" s="35" t="n">
        <f aca="false">MIN(C10,MAX(0,G$6-SUMIFS($C$8:$C$37,$D$8:$D$37,"&gt;"&amp;D10)))</f>
        <v>0</v>
      </c>
      <c r="L10" s="35" t="n">
        <f aca="false">MIN(C10,MAX(0,H$6-SUMIFS($C$8:$C$37,$D$8:$D$37,"&gt;"&amp;D10)))</f>
        <v>0</v>
      </c>
      <c r="M10" s="35" t="n">
        <f aca="false">MIN(C10,MAX(0,I$6-SUMIFS($C$8:$C$37,$D$8:$D$37,"&gt;"&amp;D10)))</f>
        <v>0</v>
      </c>
    </row>
    <row r="11" customFormat="false" ht="15" hidden="false" customHeight="false" outlineLevel="0" collapsed="false">
      <c r="A11" s="2" t="str">
        <f aca="false">Channels!A8</f>
        <v>C04</v>
      </c>
      <c r="B11" s="2" t="str">
        <f aca="false">Channels!C8</f>
        <v>Supervisors</v>
      </c>
      <c r="C11" s="35" t="n">
        <f aca="false">Channels!X8</f>
        <v>0</v>
      </c>
      <c r="D11" s="39" t="n">
        <f aca="false">Channels!Q8</f>
        <v>8E-006</v>
      </c>
      <c r="E11" s="26" t="n">
        <f aca="false">Channels!U8</f>
        <v>1.2852</v>
      </c>
      <c r="F11" s="26" t="n">
        <f aca="false">IF(C11&gt;0,E11*(1-J11/C11),E11)</f>
        <v>1.2852</v>
      </c>
      <c r="G11" s="26" t="n">
        <f aca="false">IF(C11&gt;0,E11*(1-K11/C11),E11)</f>
        <v>1.2852</v>
      </c>
      <c r="H11" s="26" t="n">
        <f aca="false">IF(C11&gt;0,E11*(1-L11/C11),E11)</f>
        <v>1.2852</v>
      </c>
      <c r="I11" s="26" t="n">
        <f aca="false">IF(C11&gt;0,E11*(1-M11/C11),E11)</f>
        <v>1.2852</v>
      </c>
      <c r="J11" s="35" t="n">
        <f aca="false">MIN(C11,MAX(0,F$6-SUMIFS($C$8:$C$37,$D$8:$D$37,"&gt;"&amp;D11)))</f>
        <v>0</v>
      </c>
      <c r="K11" s="35" t="n">
        <f aca="false">MIN(C11,MAX(0,G$6-SUMIFS($C$8:$C$37,$D$8:$D$37,"&gt;"&amp;D11)))</f>
        <v>0</v>
      </c>
      <c r="L11" s="35" t="n">
        <f aca="false">MIN(C11,MAX(0,H$6-SUMIFS($C$8:$C$37,$D$8:$D$37,"&gt;"&amp;D11)))</f>
        <v>0</v>
      </c>
      <c r="M11" s="35" t="n">
        <f aca="false">MIN(C11,MAX(0,I$6-SUMIFS($C$8:$C$37,$D$8:$D$37,"&gt;"&amp;D11)))</f>
        <v>0</v>
      </c>
    </row>
    <row r="12" customFormat="false" ht="15" hidden="false" customHeight="false" outlineLevel="0" collapsed="false">
      <c r="A12" s="2" t="str">
        <f aca="false">Channels!A9</f>
        <v>C05</v>
      </c>
      <c r="B12" s="2" t="str">
        <f aca="false">Channels!C9</f>
        <v>Electricians</v>
      </c>
      <c r="C12" s="35" t="n">
        <f aca="false">Channels!X9</f>
        <v>0</v>
      </c>
      <c r="D12" s="39" t="n">
        <f aca="false">Channels!Q9</f>
        <v>1480.00148900148</v>
      </c>
      <c r="E12" s="26" t="n">
        <f aca="false">Channels!U9</f>
        <v>0</v>
      </c>
      <c r="F12" s="26" t="n">
        <f aca="false">IF(C12&gt;0,E12*(1-J12/C12),E12)</f>
        <v>0</v>
      </c>
      <c r="G12" s="26" t="n">
        <f aca="false">IF(C12&gt;0,E12*(1-K12/C12),E12)</f>
        <v>0</v>
      </c>
      <c r="H12" s="26" t="n">
        <f aca="false">IF(C12&gt;0,E12*(1-L12/C12),E12)</f>
        <v>0</v>
      </c>
      <c r="I12" s="26" t="n">
        <f aca="false">IF(C12&gt;0,E12*(1-M12/C12),E12)</f>
        <v>0</v>
      </c>
      <c r="J12" s="35" t="n">
        <f aca="false">MIN(C12,MAX(0,F$6-SUMIFS($C$8:$C$37,$D$8:$D$37,"&gt;"&amp;D12)))</f>
        <v>0</v>
      </c>
      <c r="K12" s="35" t="n">
        <f aca="false">MIN(C12,MAX(0,G$6-SUMIFS($C$8:$C$37,$D$8:$D$37,"&gt;"&amp;D12)))</f>
        <v>0</v>
      </c>
      <c r="L12" s="35" t="n">
        <f aca="false">MIN(C12,MAX(0,H$6-SUMIFS($C$8:$C$37,$D$8:$D$37,"&gt;"&amp;D12)))</f>
        <v>0</v>
      </c>
      <c r="M12" s="35" t="n">
        <f aca="false">MIN(C12,MAX(0,I$6-SUMIFS($C$8:$C$37,$D$8:$D$37,"&gt;"&amp;D12)))</f>
        <v>0</v>
      </c>
    </row>
    <row r="13" customFormat="false" ht="15" hidden="false" customHeight="false" outlineLevel="0" collapsed="false">
      <c r="A13" s="2" t="str">
        <f aca="false">Channels!A10</f>
        <v>C06</v>
      </c>
      <c r="B13" s="2" t="str">
        <f aca="false">Channels!C10</f>
        <v>Mechatronics</v>
      </c>
      <c r="C13" s="35" t="n">
        <f aca="false">Channels!X10</f>
        <v>0</v>
      </c>
      <c r="D13" s="39" t="n">
        <f aca="false">Channels!Q10</f>
        <v>269.360279360269</v>
      </c>
      <c r="E13" s="26" t="n">
        <f aca="false">Channels!U10</f>
        <v>0</v>
      </c>
      <c r="F13" s="26" t="n">
        <f aca="false">IF(C13&gt;0,E13*(1-J13/C13),E13)</f>
        <v>0</v>
      </c>
      <c r="G13" s="26" t="n">
        <f aca="false">IF(C13&gt;0,E13*(1-K13/C13),E13)</f>
        <v>0</v>
      </c>
      <c r="H13" s="26" t="n">
        <f aca="false">IF(C13&gt;0,E13*(1-L13/C13),E13)</f>
        <v>0</v>
      </c>
      <c r="I13" s="26" t="n">
        <f aca="false">IF(C13&gt;0,E13*(1-M13/C13),E13)</f>
        <v>0</v>
      </c>
      <c r="J13" s="35" t="n">
        <f aca="false">MIN(C13,MAX(0,F$6-SUMIFS($C$8:$C$37,$D$8:$D$37,"&gt;"&amp;D13)))</f>
        <v>0</v>
      </c>
      <c r="K13" s="35" t="n">
        <f aca="false">MIN(C13,MAX(0,G$6-SUMIFS($C$8:$C$37,$D$8:$D$37,"&gt;"&amp;D13)))</f>
        <v>0</v>
      </c>
      <c r="L13" s="35" t="n">
        <f aca="false">MIN(C13,MAX(0,H$6-SUMIFS($C$8:$C$37,$D$8:$D$37,"&gt;"&amp;D13)))</f>
        <v>0</v>
      </c>
      <c r="M13" s="35" t="n">
        <f aca="false">MIN(C13,MAX(0,I$6-SUMIFS($C$8:$C$37,$D$8:$D$37,"&gt;"&amp;D13)))</f>
        <v>0</v>
      </c>
    </row>
    <row r="14" customFormat="false" ht="15" hidden="false" customHeight="false" outlineLevel="0" collapsed="false">
      <c r="A14" s="2" t="str">
        <f aca="false">Channels!A11</f>
        <v>C07</v>
      </c>
      <c r="B14" s="2" t="str">
        <f aca="false">Channels!C11</f>
        <v>Automation</v>
      </c>
      <c r="C14" s="35" t="n">
        <f aca="false">Channels!X11</f>
        <v>0</v>
      </c>
      <c r="D14" s="39" t="n">
        <f aca="false">Channels!Q11</f>
        <v>1282.05129305128</v>
      </c>
      <c r="E14" s="26" t="n">
        <f aca="false">Channels!U11</f>
        <v>0</v>
      </c>
      <c r="F14" s="26" t="n">
        <f aca="false">IF(C14&gt;0,E14*(1-J14/C14),E14)</f>
        <v>0</v>
      </c>
      <c r="G14" s="26" t="n">
        <f aca="false">IF(C14&gt;0,E14*(1-K14/C14),E14)</f>
        <v>0</v>
      </c>
      <c r="H14" s="26" t="n">
        <f aca="false">IF(C14&gt;0,E14*(1-L14/C14),E14)</f>
        <v>0</v>
      </c>
      <c r="I14" s="26" t="n">
        <f aca="false">IF(C14&gt;0,E14*(1-M14/C14),E14)</f>
        <v>0</v>
      </c>
      <c r="J14" s="35" t="n">
        <f aca="false">MIN(C14,MAX(0,F$6-SUMIFS($C$8:$C$37,$D$8:$D$37,"&gt;"&amp;D14)))</f>
        <v>0</v>
      </c>
      <c r="K14" s="35" t="n">
        <f aca="false">MIN(C14,MAX(0,G$6-SUMIFS($C$8:$C$37,$D$8:$D$37,"&gt;"&amp;D14)))</f>
        <v>0</v>
      </c>
      <c r="L14" s="35" t="n">
        <f aca="false">MIN(C14,MAX(0,H$6-SUMIFS($C$8:$C$37,$D$8:$D$37,"&gt;"&amp;D14)))</f>
        <v>0</v>
      </c>
      <c r="M14" s="35" t="n">
        <f aca="false">MIN(C14,MAX(0,I$6-SUMIFS($C$8:$C$37,$D$8:$D$37,"&gt;"&amp;D14)))</f>
        <v>0</v>
      </c>
    </row>
    <row r="15" customFormat="false" ht="15" hidden="false" customHeight="false" outlineLevel="0" collapsed="false">
      <c r="A15" s="2" t="str">
        <f aca="false">Channels!A12</f>
        <v>C08</v>
      </c>
      <c r="B15" s="2" t="str">
        <f aca="false">Channels!C12</f>
        <v>Supervisors</v>
      </c>
      <c r="C15" s="35" t="n">
        <f aca="false">Channels!X12</f>
        <v>0</v>
      </c>
      <c r="D15" s="39" t="n">
        <f aca="false">Channels!Q12</f>
        <v>1587.30159930159</v>
      </c>
      <c r="E15" s="26" t="n">
        <f aca="false">Channels!U12</f>
        <v>0</v>
      </c>
      <c r="F15" s="26" t="n">
        <f aca="false">IF(C15&gt;0,E15*(1-J15/C15),E15)</f>
        <v>0</v>
      </c>
      <c r="G15" s="26" t="n">
        <f aca="false">IF(C15&gt;0,E15*(1-K15/C15),E15)</f>
        <v>0</v>
      </c>
      <c r="H15" s="26" t="n">
        <f aca="false">IF(C15&gt;0,E15*(1-L15/C15),E15)</f>
        <v>0</v>
      </c>
      <c r="I15" s="26" t="n">
        <f aca="false">IF(C15&gt;0,E15*(1-M15/C15),E15)</f>
        <v>0</v>
      </c>
      <c r="J15" s="35" t="n">
        <f aca="false">MIN(C15,MAX(0,F$6-SUMIFS($C$8:$C$37,$D$8:$D$37,"&gt;"&amp;D15)))</f>
        <v>0</v>
      </c>
      <c r="K15" s="35" t="n">
        <f aca="false">MIN(C15,MAX(0,G$6-SUMIFS($C$8:$C$37,$D$8:$D$37,"&gt;"&amp;D15)))</f>
        <v>0</v>
      </c>
      <c r="L15" s="35" t="n">
        <f aca="false">MIN(C15,MAX(0,H$6-SUMIFS($C$8:$C$37,$D$8:$D$37,"&gt;"&amp;D15)))</f>
        <v>0</v>
      </c>
      <c r="M15" s="35" t="n">
        <f aca="false">MIN(C15,MAX(0,I$6-SUMIFS($C$8:$C$37,$D$8:$D$37,"&gt;"&amp;D15)))</f>
        <v>0</v>
      </c>
    </row>
    <row r="16" customFormat="false" ht="15" hidden="false" customHeight="false" outlineLevel="0" collapsed="false">
      <c r="A16" s="2" t="str">
        <f aca="false">Channels!A13</f>
        <v>C09</v>
      </c>
      <c r="B16" s="2" t="str">
        <f aca="false">Channels!C13</f>
        <v>Electricians</v>
      </c>
      <c r="C16" s="35" t="n">
        <f aca="false">Channels!X13</f>
        <v>2898</v>
      </c>
      <c r="D16" s="39" t="n">
        <f aca="false">Channels!Q13</f>
        <v>1000.777013777</v>
      </c>
      <c r="E16" s="26" t="n">
        <f aca="false">Channels!U13</f>
        <v>2.092209375</v>
      </c>
      <c r="F16" s="26" t="n">
        <f aca="false">IF(C16&gt;0,E16*(1-J16/C16),E16)</f>
        <v>2.092209375</v>
      </c>
      <c r="G16" s="26" t="n">
        <f aca="false">IF(C16&gt;0,E16*(1-K16/C16),E16)</f>
        <v>0</v>
      </c>
      <c r="H16" s="26" t="n">
        <f aca="false">IF(C16&gt;0,E16*(1-L16/C16),E16)</f>
        <v>0</v>
      </c>
      <c r="I16" s="26" t="n">
        <f aca="false">IF(C16&gt;0,E16*(1-M16/C16),E16)</f>
        <v>0</v>
      </c>
      <c r="J16" s="35" t="n">
        <f aca="false">MIN(C16,MAX(0,F$6-SUMIFS($C$8:$C$37,$D$8:$D$37,"&gt;"&amp;D16)))</f>
        <v>0</v>
      </c>
      <c r="K16" s="35" t="n">
        <f aca="false">MIN(C16,MAX(0,G$6-SUMIFS($C$8:$C$37,$D$8:$D$37,"&gt;"&amp;D16)))</f>
        <v>2898</v>
      </c>
      <c r="L16" s="35" t="n">
        <f aca="false">MIN(C16,MAX(0,H$6-SUMIFS($C$8:$C$37,$D$8:$D$37,"&gt;"&amp;D16)))</f>
        <v>2898</v>
      </c>
      <c r="M16" s="35" t="n">
        <f aca="false">MIN(C16,MAX(0,I$6-SUMIFS($C$8:$C$37,$D$8:$D$37,"&gt;"&amp;D16)))</f>
        <v>2898</v>
      </c>
    </row>
    <row r="17" customFormat="false" ht="15" hidden="false" customHeight="false" outlineLevel="0" collapsed="false">
      <c r="A17" s="2" t="str">
        <f aca="false">Channels!A14</f>
        <v>C10</v>
      </c>
      <c r="B17" s="2" t="str">
        <f aca="false">Channels!C14</f>
        <v>Mechatronics</v>
      </c>
      <c r="C17" s="35" t="n">
        <f aca="false">Channels!X14</f>
        <v>0</v>
      </c>
      <c r="D17" s="39" t="n">
        <f aca="false">Channels!Q14</f>
        <v>408.888902888889</v>
      </c>
      <c r="E17" s="26" t="n">
        <f aca="false">Channels!U14</f>
        <v>0</v>
      </c>
      <c r="F17" s="26" t="n">
        <f aca="false">IF(C17&gt;0,E17*(1-J17/C17),E17)</f>
        <v>0</v>
      </c>
      <c r="G17" s="26" t="n">
        <f aca="false">IF(C17&gt;0,E17*(1-K17/C17),E17)</f>
        <v>0</v>
      </c>
      <c r="H17" s="26" t="n">
        <f aca="false">IF(C17&gt;0,E17*(1-L17/C17),E17)</f>
        <v>0</v>
      </c>
      <c r="I17" s="26" t="n">
        <f aca="false">IF(C17&gt;0,E17*(1-M17/C17),E17)</f>
        <v>0</v>
      </c>
      <c r="J17" s="35" t="n">
        <f aca="false">MIN(C17,MAX(0,F$6-SUMIFS($C$8:$C$37,$D$8:$D$37,"&gt;"&amp;D17)))</f>
        <v>0</v>
      </c>
      <c r="K17" s="35" t="n">
        <f aca="false">MIN(C17,MAX(0,G$6-SUMIFS($C$8:$C$37,$D$8:$D$37,"&gt;"&amp;D17)))</f>
        <v>0</v>
      </c>
      <c r="L17" s="35" t="n">
        <f aca="false">MIN(C17,MAX(0,H$6-SUMIFS($C$8:$C$37,$D$8:$D$37,"&gt;"&amp;D17)))</f>
        <v>0</v>
      </c>
      <c r="M17" s="35" t="n">
        <f aca="false">MIN(C17,MAX(0,I$6-SUMIFS($C$8:$C$37,$D$8:$D$37,"&gt;"&amp;D17)))</f>
        <v>0</v>
      </c>
    </row>
    <row r="18" customFormat="false" ht="15" hidden="false" customHeight="false" outlineLevel="0" collapsed="false">
      <c r="A18" s="2" t="str">
        <f aca="false">Channels!A15</f>
        <v>C11</v>
      </c>
      <c r="B18" s="2" t="str">
        <f aca="false">Channels!C15</f>
        <v>Automation</v>
      </c>
      <c r="C18" s="35" t="n">
        <f aca="false">Channels!X15</f>
        <v>0</v>
      </c>
      <c r="D18" s="39" t="n">
        <f aca="false">Channels!Q15</f>
        <v>1321.02565602564</v>
      </c>
      <c r="E18" s="26" t="n">
        <f aca="false">Channels!U15</f>
        <v>0</v>
      </c>
      <c r="F18" s="26" t="n">
        <f aca="false">IF(C18&gt;0,E18*(1-J18/C18),E18)</f>
        <v>0</v>
      </c>
      <c r="G18" s="26" t="n">
        <f aca="false">IF(C18&gt;0,E18*(1-K18/C18),E18)</f>
        <v>0</v>
      </c>
      <c r="H18" s="26" t="n">
        <f aca="false">IF(C18&gt;0,E18*(1-L18/C18),E18)</f>
        <v>0</v>
      </c>
      <c r="I18" s="26" t="n">
        <f aca="false">IF(C18&gt;0,E18*(1-M18/C18),E18)</f>
        <v>0</v>
      </c>
      <c r="J18" s="35" t="n">
        <f aca="false">MIN(C18,MAX(0,F$6-SUMIFS($C$8:$C$37,$D$8:$D$37,"&gt;"&amp;D18)))</f>
        <v>0</v>
      </c>
      <c r="K18" s="35" t="n">
        <f aca="false">MIN(C18,MAX(0,G$6-SUMIFS($C$8:$C$37,$D$8:$D$37,"&gt;"&amp;D18)))</f>
        <v>0</v>
      </c>
      <c r="L18" s="35" t="n">
        <f aca="false">MIN(C18,MAX(0,H$6-SUMIFS($C$8:$C$37,$D$8:$D$37,"&gt;"&amp;D18)))</f>
        <v>0</v>
      </c>
      <c r="M18" s="35" t="n">
        <f aca="false">MIN(C18,MAX(0,I$6-SUMIFS($C$8:$C$37,$D$8:$D$37,"&gt;"&amp;D18)))</f>
        <v>0</v>
      </c>
    </row>
    <row r="19" customFormat="false" ht="15" hidden="false" customHeight="false" outlineLevel="0" collapsed="false">
      <c r="A19" s="2" t="str">
        <f aca="false">Channels!A16</f>
        <v>C12</v>
      </c>
      <c r="B19" s="2" t="str">
        <f aca="false">Channels!C16</f>
        <v>Supervisors</v>
      </c>
      <c r="C19" s="35" t="n">
        <f aca="false">Channels!X16</f>
        <v>0</v>
      </c>
      <c r="D19" s="39" t="n">
        <f aca="false">Channels!Q16</f>
        <v>1443.13727090196</v>
      </c>
      <c r="E19" s="26" t="n">
        <f aca="false">Channels!U16</f>
        <v>0</v>
      </c>
      <c r="F19" s="26" t="n">
        <f aca="false">IF(C19&gt;0,E19*(1-J19/C19),E19)</f>
        <v>0</v>
      </c>
      <c r="G19" s="26" t="n">
        <f aca="false">IF(C19&gt;0,E19*(1-K19/C19),E19)</f>
        <v>0</v>
      </c>
      <c r="H19" s="26" t="n">
        <f aca="false">IF(C19&gt;0,E19*(1-L19/C19),E19)</f>
        <v>0</v>
      </c>
      <c r="I19" s="26" t="n">
        <f aca="false">IF(C19&gt;0,E19*(1-M19/C19),E19)</f>
        <v>0</v>
      </c>
      <c r="J19" s="35" t="n">
        <f aca="false">MIN(C19,MAX(0,F$6-SUMIFS($C$8:$C$37,$D$8:$D$37,"&gt;"&amp;D19)))</f>
        <v>0</v>
      </c>
      <c r="K19" s="35" t="n">
        <f aca="false">MIN(C19,MAX(0,G$6-SUMIFS($C$8:$C$37,$D$8:$D$37,"&gt;"&amp;D19)))</f>
        <v>0</v>
      </c>
      <c r="L19" s="35" t="n">
        <f aca="false">MIN(C19,MAX(0,H$6-SUMIFS($C$8:$C$37,$D$8:$D$37,"&gt;"&amp;D19)))</f>
        <v>0</v>
      </c>
      <c r="M19" s="35" t="n">
        <f aca="false">MIN(C19,MAX(0,I$6-SUMIFS($C$8:$C$37,$D$8:$D$37,"&gt;"&amp;D19)))</f>
        <v>0</v>
      </c>
    </row>
    <row r="20" customFormat="false" ht="15" hidden="false" customHeight="false" outlineLevel="0" collapsed="false">
      <c r="A20" s="2" t="str">
        <f aca="false">Channels!A17</f>
        <v>C13</v>
      </c>
      <c r="B20" s="2" t="str">
        <f aca="false">Channels!C17</f>
        <v>Automation</v>
      </c>
      <c r="C20" s="35" t="n">
        <f aca="false">Channels!X17</f>
        <v>6125.35897435897</v>
      </c>
      <c r="D20" s="39" t="n">
        <f aca="false">Channels!Q17</f>
        <v>598.290615290598</v>
      </c>
      <c r="E20" s="26" t="n">
        <f aca="false">Channels!U17</f>
        <v>10.2381</v>
      </c>
      <c r="F20" s="26" t="n">
        <f aca="false">IF(C20&gt;0,E20*(1-J20/C20),E20)</f>
        <v>10.2381</v>
      </c>
      <c r="G20" s="26" t="n">
        <f aca="false">IF(C20&gt;0,E20*(1-K20/C20),E20)</f>
        <v>10.2381</v>
      </c>
      <c r="H20" s="26" t="n">
        <f aca="false">IF(C20&gt;0,E20*(1-L20/C20),E20)</f>
        <v>10.2381</v>
      </c>
      <c r="I20" s="26" t="n">
        <f aca="false">IF(C20&gt;0,E20*(1-M20/C20),E20)</f>
        <v>10.2381</v>
      </c>
      <c r="J20" s="35" t="n">
        <f aca="false">MIN(C20,MAX(0,F$6-SUMIFS($C$8:$C$37,$D$8:$D$37,"&gt;"&amp;D20)))</f>
        <v>0</v>
      </c>
      <c r="K20" s="35" t="n">
        <f aca="false">MIN(C20,MAX(0,G$6-SUMIFS($C$8:$C$37,$D$8:$D$37,"&gt;"&amp;D20)))</f>
        <v>0</v>
      </c>
      <c r="L20" s="35" t="n">
        <f aca="false">MIN(C20,MAX(0,H$6-SUMIFS($C$8:$C$37,$D$8:$D$37,"&gt;"&amp;D20)))</f>
        <v>0</v>
      </c>
      <c r="M20" s="35" t="n">
        <f aca="false">MIN(C20,MAX(0,I$6-SUMIFS($C$8:$C$37,$D$8:$D$37,"&gt;"&amp;D20)))</f>
        <v>0</v>
      </c>
    </row>
    <row r="21" customFormat="false" ht="15" hidden="false" customHeight="false" outlineLevel="0" collapsed="false">
      <c r="A21" s="2" t="str">
        <f aca="false">Channels!A18</f>
        <v>C14</v>
      </c>
      <c r="B21" s="2" t="str">
        <f aca="false">Channels!C18</f>
        <v>Supervisors</v>
      </c>
      <c r="C21" s="35" t="n">
        <f aca="false">Channels!X18</f>
        <v>4375</v>
      </c>
      <c r="D21" s="39" t="n">
        <f aca="false">Channels!Q18</f>
        <v>816.993482052288</v>
      </c>
      <c r="E21" s="26" t="n">
        <f aca="false">Channels!U18</f>
        <v>5.355</v>
      </c>
      <c r="F21" s="26" t="n">
        <f aca="false">IF(C21&gt;0,E21*(1-J21/C21),E21)</f>
        <v>5.355</v>
      </c>
      <c r="G21" s="26" t="n">
        <f aca="false">IF(C21&gt;0,E21*(1-K21/C21),E21)</f>
        <v>5.355</v>
      </c>
      <c r="H21" s="26" t="n">
        <f aca="false">IF(C21&gt;0,E21*(1-L21/C21),E21)</f>
        <v>0.927948329768269</v>
      </c>
      <c r="I21" s="26" t="n">
        <f aca="false">IF(C21&gt;0,E21*(1-M21/C21),E21)</f>
        <v>0</v>
      </c>
      <c r="J21" s="35" t="n">
        <f aca="false">MIN(C21,MAX(0,F$6-SUMIFS($C$8:$C$37,$D$8:$D$37,"&gt;"&amp;D21)))</f>
        <v>0</v>
      </c>
      <c r="K21" s="35" t="n">
        <f aca="false">MIN(C21,MAX(0,G$6-SUMIFS($C$8:$C$37,$D$8:$D$37,"&gt;"&amp;D21)))</f>
        <v>0</v>
      </c>
      <c r="L21" s="35" t="n">
        <f aca="false">MIN(C21,MAX(0,H$6-SUMIFS($C$8:$C$37,$D$8:$D$37,"&gt;"&amp;D21)))</f>
        <v>3616.87227960109</v>
      </c>
      <c r="M21" s="35" t="n">
        <f aca="false">MIN(C21,MAX(0,I$6-SUMIFS($C$8:$C$37,$D$8:$D$37,"&gt;"&amp;D21)))</f>
        <v>4375</v>
      </c>
    </row>
    <row r="22" customFormat="false" ht="15" hidden="false" customHeight="false" outlineLevel="0" collapsed="false">
      <c r="A22" s="2" t="str">
        <f aca="false">Channels!A19</f>
        <v>C15</v>
      </c>
      <c r="B22" s="2" t="str">
        <f aca="false">Channels!C19</f>
        <v>Electricians</v>
      </c>
      <c r="C22" s="35" t="n">
        <f aca="false">Channels!X19</f>
        <v>0</v>
      </c>
      <c r="D22" s="39" t="n">
        <f aca="false">Channels!Q19</f>
        <v>1118.88113788112</v>
      </c>
      <c r="E22" s="26" t="n">
        <f aca="false">Channels!U19</f>
        <v>0</v>
      </c>
      <c r="F22" s="26" t="n">
        <f aca="false">IF(C22&gt;0,E22*(1-J22/C22),E22)</f>
        <v>0</v>
      </c>
      <c r="G22" s="26" t="n">
        <f aca="false">IF(C22&gt;0,E22*(1-K22/C22),E22)</f>
        <v>0</v>
      </c>
      <c r="H22" s="26" t="n">
        <f aca="false">IF(C22&gt;0,E22*(1-L22/C22),E22)</f>
        <v>0</v>
      </c>
      <c r="I22" s="26" t="n">
        <f aca="false">IF(C22&gt;0,E22*(1-M22/C22),E22)</f>
        <v>0</v>
      </c>
      <c r="J22" s="35" t="n">
        <f aca="false">MIN(C22,MAX(0,F$6-SUMIFS($C$8:$C$37,$D$8:$D$37,"&gt;"&amp;D22)))</f>
        <v>0</v>
      </c>
      <c r="K22" s="35" t="n">
        <f aca="false">MIN(C22,MAX(0,G$6-SUMIFS($C$8:$C$37,$D$8:$D$37,"&gt;"&amp;D22)))</f>
        <v>0</v>
      </c>
      <c r="L22" s="35" t="n">
        <f aca="false">MIN(C22,MAX(0,H$6-SUMIFS($C$8:$C$37,$D$8:$D$37,"&gt;"&amp;D22)))</f>
        <v>0</v>
      </c>
      <c r="M22" s="35" t="n">
        <f aca="false">MIN(C22,MAX(0,I$6-SUMIFS($C$8:$C$37,$D$8:$D$37,"&gt;"&amp;D22)))</f>
        <v>0</v>
      </c>
    </row>
    <row r="23" customFormat="false" ht="15" hidden="false" customHeight="false" outlineLevel="0" collapsed="false">
      <c r="A23" s="2" t="str">
        <f aca="false">Channels!A20</f>
        <v>C16</v>
      </c>
      <c r="B23" s="2" t="str">
        <f aca="false">Channels!C20</f>
        <v>Mechatronics</v>
      </c>
      <c r="C23" s="35" t="n">
        <f aca="false">Channels!X20</f>
        <v>996.666666666666</v>
      </c>
      <c r="D23" s="39" t="n">
        <f aca="false">Channels!Q20</f>
        <v>246.913600246914</v>
      </c>
      <c r="E23" s="26" t="n">
        <f aca="false">Channels!U20</f>
        <v>4.0365</v>
      </c>
      <c r="F23" s="26" t="n">
        <f aca="false">IF(C23&gt;0,E23*(1-J23/C23),E23)</f>
        <v>4.0365</v>
      </c>
      <c r="G23" s="26" t="n">
        <f aca="false">IF(C23&gt;0,E23*(1-K23/C23),E23)</f>
        <v>4.0365</v>
      </c>
      <c r="H23" s="26" t="n">
        <f aca="false">IF(C23&gt;0,E23*(1-L23/C23),E23)</f>
        <v>4.0365</v>
      </c>
      <c r="I23" s="26" t="n">
        <f aca="false">IF(C23&gt;0,E23*(1-M23/C23),E23)</f>
        <v>4.0365</v>
      </c>
      <c r="J23" s="35" t="n">
        <f aca="false">MIN(C23,MAX(0,F$6-SUMIFS($C$8:$C$37,$D$8:$D$37,"&gt;"&amp;D23)))</f>
        <v>0</v>
      </c>
      <c r="K23" s="35" t="n">
        <f aca="false">MIN(C23,MAX(0,G$6-SUMIFS($C$8:$C$37,$D$8:$D$37,"&gt;"&amp;D23)))</f>
        <v>0</v>
      </c>
      <c r="L23" s="35" t="n">
        <f aca="false">MIN(C23,MAX(0,H$6-SUMIFS($C$8:$C$37,$D$8:$D$37,"&gt;"&amp;D23)))</f>
        <v>0</v>
      </c>
      <c r="M23" s="35" t="n">
        <f aca="false">MIN(C23,MAX(0,I$6-SUMIFS($C$8:$C$37,$D$8:$D$37,"&gt;"&amp;D23)))</f>
        <v>0</v>
      </c>
    </row>
    <row r="24" customFormat="false" ht="15" hidden="false" customHeight="false" outlineLevel="0" collapsed="false">
      <c r="A24" s="2" t="str">
        <f aca="false">Channels!A21</f>
        <v>C17</v>
      </c>
      <c r="B24" s="2" t="str">
        <f aca="false">Channels!C21</f>
        <v>Electricians</v>
      </c>
      <c r="C24" s="35" t="n">
        <f aca="false">Channels!X21</f>
        <v>2514.28571428571</v>
      </c>
      <c r="D24" s="39" t="n">
        <f aca="false">Channels!Q21</f>
        <v>651.200672200651</v>
      </c>
      <c r="E24" s="26" t="n">
        <f aca="false">Channels!U21</f>
        <v>3.861</v>
      </c>
      <c r="F24" s="26" t="n">
        <f aca="false">IF(C24&gt;0,E24*(1-J24/C24),E24)</f>
        <v>3.861</v>
      </c>
      <c r="G24" s="26" t="n">
        <f aca="false">IF(C24&gt;0,E24*(1-K24/C24),E24)</f>
        <v>3.861</v>
      </c>
      <c r="H24" s="26" t="n">
        <f aca="false">IF(C24&gt;0,E24*(1-L24/C24),E24)</f>
        <v>3.861</v>
      </c>
      <c r="I24" s="26" t="n">
        <f aca="false">IF(C24&gt;0,E24*(1-M24/C24),E24)</f>
        <v>3.861</v>
      </c>
      <c r="J24" s="35" t="n">
        <f aca="false">MIN(C24,MAX(0,F$6-SUMIFS($C$8:$C$37,$D$8:$D$37,"&gt;"&amp;D24)))</f>
        <v>0</v>
      </c>
      <c r="K24" s="35" t="n">
        <f aca="false">MIN(C24,MAX(0,G$6-SUMIFS($C$8:$C$37,$D$8:$D$37,"&gt;"&amp;D24)))</f>
        <v>0</v>
      </c>
      <c r="L24" s="35" t="n">
        <f aca="false">MIN(C24,MAX(0,H$6-SUMIFS($C$8:$C$37,$D$8:$D$37,"&gt;"&amp;D24)))</f>
        <v>0</v>
      </c>
      <c r="M24" s="35" t="n">
        <f aca="false">MIN(C24,MAX(0,I$6-SUMIFS($C$8:$C$37,$D$8:$D$37,"&gt;"&amp;D24)))</f>
        <v>0</v>
      </c>
    </row>
    <row r="25" customFormat="false" ht="15" hidden="false" customHeight="false" outlineLevel="0" collapsed="false">
      <c r="A25" s="2" t="str">
        <f aca="false">Channels!A22</f>
        <v>C18</v>
      </c>
      <c r="B25" s="2" t="str">
        <f aca="false">Channels!C22</f>
        <v>Mechatronics</v>
      </c>
      <c r="C25" s="35" t="n">
        <f aca="false">Channels!X22</f>
        <v>0</v>
      </c>
      <c r="D25" s="39" t="n">
        <f aca="false">Channels!Q22</f>
        <v>310.405665738977</v>
      </c>
      <c r="E25" s="26" t="n">
        <f aca="false">Channels!U22</f>
        <v>0</v>
      </c>
      <c r="F25" s="26" t="n">
        <f aca="false">IF(C25&gt;0,E25*(1-J25/C25),E25)</f>
        <v>0</v>
      </c>
      <c r="G25" s="26" t="n">
        <f aca="false">IF(C25&gt;0,E25*(1-K25/C25),E25)</f>
        <v>0</v>
      </c>
      <c r="H25" s="26" t="n">
        <f aca="false">IF(C25&gt;0,E25*(1-L25/C25),E25)</f>
        <v>0</v>
      </c>
      <c r="I25" s="26" t="n">
        <f aca="false">IF(C25&gt;0,E25*(1-M25/C25),E25)</f>
        <v>0</v>
      </c>
      <c r="J25" s="35" t="n">
        <f aca="false">MIN(C25,MAX(0,F$6-SUMIFS($C$8:$C$37,$D$8:$D$37,"&gt;"&amp;D25)))</f>
        <v>0</v>
      </c>
      <c r="K25" s="35" t="n">
        <f aca="false">MIN(C25,MAX(0,G$6-SUMIFS($C$8:$C$37,$D$8:$D$37,"&gt;"&amp;D25)))</f>
        <v>0</v>
      </c>
      <c r="L25" s="35" t="n">
        <f aca="false">MIN(C25,MAX(0,H$6-SUMIFS($C$8:$C$37,$D$8:$D$37,"&gt;"&amp;D25)))</f>
        <v>0</v>
      </c>
      <c r="M25" s="35" t="n">
        <f aca="false">MIN(C25,MAX(0,I$6-SUMIFS($C$8:$C$37,$D$8:$D$37,"&gt;"&amp;D25)))</f>
        <v>0</v>
      </c>
    </row>
    <row r="26" customFormat="false" ht="15" hidden="false" customHeight="false" outlineLevel="0" collapsed="false">
      <c r="A26" s="2" t="str">
        <f aca="false">Channels!A23</f>
        <v>C19</v>
      </c>
      <c r="B26" s="2" t="str">
        <f aca="false">Channels!C23</f>
        <v>Automation</v>
      </c>
      <c r="C26" s="35" t="n">
        <f aca="false">Channels!X23</f>
        <v>0</v>
      </c>
      <c r="D26" s="39" t="n">
        <f aca="false">Channels!Q23</f>
        <v>716.320739320716</v>
      </c>
      <c r="E26" s="26" t="n">
        <f aca="false">Channels!U23</f>
        <v>0</v>
      </c>
      <c r="F26" s="26" t="n">
        <f aca="false">IF(C26&gt;0,E26*(1-J26/C26),E26)</f>
        <v>0</v>
      </c>
      <c r="G26" s="26" t="n">
        <f aca="false">IF(C26&gt;0,E26*(1-K26/C26),E26)</f>
        <v>0</v>
      </c>
      <c r="H26" s="26" t="n">
        <f aca="false">IF(C26&gt;0,E26*(1-L26/C26),E26)</f>
        <v>0</v>
      </c>
      <c r="I26" s="26" t="n">
        <f aca="false">IF(C26&gt;0,E26*(1-M26/C26),E26)</f>
        <v>0</v>
      </c>
      <c r="J26" s="35" t="n">
        <f aca="false">MIN(C26,MAX(0,F$6-SUMIFS($C$8:$C$37,$D$8:$D$37,"&gt;"&amp;D26)))</f>
        <v>0</v>
      </c>
      <c r="K26" s="35" t="n">
        <f aca="false">MIN(C26,MAX(0,G$6-SUMIFS($C$8:$C$37,$D$8:$D$37,"&gt;"&amp;D26)))</f>
        <v>0</v>
      </c>
      <c r="L26" s="35" t="n">
        <f aca="false">MIN(C26,MAX(0,H$6-SUMIFS($C$8:$C$37,$D$8:$D$37,"&gt;"&amp;D26)))</f>
        <v>0</v>
      </c>
      <c r="M26" s="35" t="n">
        <f aca="false">MIN(C26,MAX(0,I$6-SUMIFS($C$8:$C$37,$D$8:$D$37,"&gt;"&amp;D26)))</f>
        <v>0</v>
      </c>
    </row>
    <row r="27" customFormat="false" ht="15" hidden="false" customHeight="false" outlineLevel="0" collapsed="false">
      <c r="A27" s="2" t="str">
        <f aca="false">Channels!A24</f>
        <v>C20</v>
      </c>
      <c r="B27" s="2" t="str">
        <f aca="false">Channels!C24</f>
        <v>Supervisors</v>
      </c>
      <c r="C27" s="35" t="n">
        <f aca="false">Channels!X24</f>
        <v>942.857142857143</v>
      </c>
      <c r="D27" s="39" t="n">
        <f aca="false">Channels!Q24</f>
        <v>978.169069395936</v>
      </c>
      <c r="E27" s="26" t="n">
        <f aca="false">Channels!U24</f>
        <v>0.9639</v>
      </c>
      <c r="F27" s="26" t="n">
        <f aca="false">IF(C27&gt;0,E27*(1-J27/C27),E27)</f>
        <v>0.9639</v>
      </c>
      <c r="G27" s="26" t="n">
        <f aca="false">IF(C27&gt;0,E27*(1-K27/C27),E27)</f>
        <v>0.9639</v>
      </c>
      <c r="H27" s="26" t="n">
        <f aca="false">IF(C27&gt;0,E27*(1-L27/C27),E27)</f>
        <v>0</v>
      </c>
      <c r="I27" s="26" t="n">
        <f aca="false">IF(C27&gt;0,E27*(1-M27/C27),E27)</f>
        <v>0</v>
      </c>
      <c r="J27" s="35" t="n">
        <f aca="false">MIN(C27,MAX(0,F$6-SUMIFS($C$8:$C$37,$D$8:$D$37,"&gt;"&amp;D27)))</f>
        <v>0</v>
      </c>
      <c r="K27" s="35" t="n">
        <f aca="false">MIN(C27,MAX(0,G$6-SUMIFS($C$8:$C$37,$D$8:$D$37,"&gt;"&amp;D27)))</f>
        <v>0</v>
      </c>
      <c r="L27" s="35" t="n">
        <f aca="false">MIN(C27,MAX(0,H$6-SUMIFS($C$8:$C$37,$D$8:$D$37,"&gt;"&amp;D27)))</f>
        <v>942.857142857143</v>
      </c>
      <c r="M27" s="35" t="n">
        <f aca="false">MIN(C27,MAX(0,I$6-SUMIFS($C$8:$C$37,$D$8:$D$37,"&gt;"&amp;D27)))</f>
        <v>942.857142857143</v>
      </c>
    </row>
    <row r="28" customFormat="false" ht="15" hidden="false" customHeight="false" outlineLevel="0" collapsed="false">
      <c r="A28" s="2" t="str">
        <f aca="false">Channels!A25</f>
        <v>I1a-E</v>
      </c>
      <c r="B28" s="2" t="str">
        <f aca="false">Channels!C25</f>
        <v>Electricians</v>
      </c>
      <c r="C28" s="35" t="n">
        <f aca="false">Channels!X25</f>
        <v>100</v>
      </c>
      <c r="D28" s="39" t="n">
        <f aca="false">Channels!Q25</f>
        <v>22.5217866521964</v>
      </c>
      <c r="E28" s="26" t="n">
        <f aca="false">Channels!U25</f>
        <v>4.44015</v>
      </c>
      <c r="F28" s="26" t="n">
        <f aca="false">IF(C28&gt;0,E28*(1-J28/C28),E28)</f>
        <v>4.44015</v>
      </c>
      <c r="G28" s="26" t="n">
        <f aca="false">IF(C28&gt;0,E28*(1-K28/C28),E28)</f>
        <v>4.44015</v>
      </c>
      <c r="H28" s="26" t="n">
        <f aca="false">IF(C28&gt;0,E28*(1-L28/C28),E28)</f>
        <v>4.44015</v>
      </c>
      <c r="I28" s="26" t="n">
        <f aca="false">IF(C28&gt;0,E28*(1-M28/C28),E28)</f>
        <v>4.44015</v>
      </c>
      <c r="J28" s="35" t="n">
        <f aca="false">MIN(C28,MAX(0,F$6-SUMIFS($C$8:$C$37,$D$8:$D$37,"&gt;"&amp;D28)))</f>
        <v>0</v>
      </c>
      <c r="K28" s="35" t="n">
        <f aca="false">MIN(C28,MAX(0,G$6-SUMIFS($C$8:$C$37,$D$8:$D$37,"&gt;"&amp;D28)))</f>
        <v>0</v>
      </c>
      <c r="L28" s="35" t="n">
        <f aca="false">MIN(C28,MAX(0,H$6-SUMIFS($C$8:$C$37,$D$8:$D$37,"&gt;"&amp;D28)))</f>
        <v>0</v>
      </c>
      <c r="M28" s="35" t="n">
        <f aca="false">MIN(C28,MAX(0,I$6-SUMIFS($C$8:$C$37,$D$8:$D$37,"&gt;"&amp;D28)))</f>
        <v>0</v>
      </c>
    </row>
    <row r="29" customFormat="false" ht="15" hidden="false" customHeight="false" outlineLevel="0" collapsed="false">
      <c r="A29" s="2" t="str">
        <f aca="false">Channels!A26</f>
        <v>I1a-M</v>
      </c>
      <c r="B29" s="2" t="str">
        <f aca="false">Channels!C26</f>
        <v>Mechatronics</v>
      </c>
      <c r="C29" s="35" t="n">
        <f aca="false">Channels!X26</f>
        <v>150</v>
      </c>
      <c r="D29" s="39" t="n">
        <f aca="false">Channels!Q26</f>
        <v>17.8923144236894</v>
      </c>
      <c r="E29" s="26" t="n">
        <f aca="false">Channels!U26</f>
        <v>8.3835</v>
      </c>
      <c r="F29" s="26" t="n">
        <f aca="false">IF(C29&gt;0,E29*(1-J29/C29),E29)</f>
        <v>8.3835</v>
      </c>
      <c r="G29" s="26" t="n">
        <f aca="false">IF(C29&gt;0,E29*(1-K29/C29),E29)</f>
        <v>8.3835</v>
      </c>
      <c r="H29" s="26" t="n">
        <f aca="false">IF(C29&gt;0,E29*(1-L29/C29),E29)</f>
        <v>8.3835</v>
      </c>
      <c r="I29" s="26" t="n">
        <f aca="false">IF(C29&gt;0,E29*(1-M29/C29),E29)</f>
        <v>8.3835</v>
      </c>
      <c r="J29" s="35" t="n">
        <f aca="false">MIN(C29,MAX(0,F$6-SUMIFS($C$8:$C$37,$D$8:$D$37,"&gt;"&amp;D29)))</f>
        <v>0</v>
      </c>
      <c r="K29" s="35" t="n">
        <f aca="false">MIN(C29,MAX(0,G$6-SUMIFS($C$8:$C$37,$D$8:$D$37,"&gt;"&amp;D29)))</f>
        <v>0</v>
      </c>
      <c r="L29" s="35" t="n">
        <f aca="false">MIN(C29,MAX(0,H$6-SUMIFS($C$8:$C$37,$D$8:$D$37,"&gt;"&amp;D29)))</f>
        <v>0</v>
      </c>
      <c r="M29" s="35" t="n">
        <f aca="false">MIN(C29,MAX(0,I$6-SUMIFS($C$8:$C$37,$D$8:$D$37,"&gt;"&amp;D29)))</f>
        <v>0</v>
      </c>
    </row>
    <row r="30" customFormat="false" ht="15" hidden="false" customHeight="false" outlineLevel="0" collapsed="false">
      <c r="A30" s="2" t="str">
        <f aca="false">Channels!A27</f>
        <v>I1a-A</v>
      </c>
      <c r="B30" s="2" t="str">
        <f aca="false">Channels!C27</f>
        <v>Automation</v>
      </c>
      <c r="C30" s="35" t="n">
        <f aca="false">Channels!X27</f>
        <v>60</v>
      </c>
      <c r="D30" s="39" t="n">
        <f aca="false">Channels!Q27</f>
        <v>24.7739648174161</v>
      </c>
      <c r="E30" s="26" t="n">
        <f aca="false">Channels!U27</f>
        <v>2.4219</v>
      </c>
      <c r="F30" s="26" t="n">
        <f aca="false">IF(C30&gt;0,E30*(1-J30/C30),E30)</f>
        <v>2.4219</v>
      </c>
      <c r="G30" s="26" t="n">
        <f aca="false">IF(C30&gt;0,E30*(1-K30/C30),E30)</f>
        <v>2.4219</v>
      </c>
      <c r="H30" s="26" t="n">
        <f aca="false">IF(C30&gt;0,E30*(1-L30/C30),E30)</f>
        <v>2.4219</v>
      </c>
      <c r="I30" s="26" t="n">
        <f aca="false">IF(C30&gt;0,E30*(1-M30/C30),E30)</f>
        <v>2.4219</v>
      </c>
      <c r="J30" s="35" t="n">
        <f aca="false">MIN(C30,MAX(0,F$6-SUMIFS($C$8:$C$37,$D$8:$D$37,"&gt;"&amp;D30)))</f>
        <v>0</v>
      </c>
      <c r="K30" s="35" t="n">
        <f aca="false">MIN(C30,MAX(0,G$6-SUMIFS($C$8:$C$37,$D$8:$D$37,"&gt;"&amp;D30)))</f>
        <v>0</v>
      </c>
      <c r="L30" s="35" t="n">
        <f aca="false">MIN(C30,MAX(0,H$6-SUMIFS($C$8:$C$37,$D$8:$D$37,"&gt;"&amp;D30)))</f>
        <v>0</v>
      </c>
      <c r="M30" s="35" t="n">
        <f aca="false">MIN(C30,MAX(0,I$6-SUMIFS($C$8:$C$37,$D$8:$D$37,"&gt;"&amp;D30)))</f>
        <v>0</v>
      </c>
    </row>
    <row r="31" customFormat="false" ht="15" hidden="false" customHeight="false" outlineLevel="0" collapsed="false">
      <c r="A31" s="2" t="str">
        <f aca="false">Channels!A28</f>
        <v>I1a-S</v>
      </c>
      <c r="B31" s="2" t="str">
        <f aca="false">Channels!C28</f>
        <v>Supervisors</v>
      </c>
      <c r="C31" s="35" t="n">
        <f aca="false">Channels!X28</f>
        <v>40</v>
      </c>
      <c r="D31" s="39" t="n">
        <f aca="false">Channels!Q28</f>
        <v>27.0639936828915</v>
      </c>
      <c r="E31" s="26" t="n">
        <f aca="false">Channels!U28</f>
        <v>1.47798</v>
      </c>
      <c r="F31" s="26" t="n">
        <f aca="false">IF(C31&gt;0,E31*(1-J31/C31),E31)</f>
        <v>1.47798</v>
      </c>
      <c r="G31" s="26" t="n">
        <f aca="false">IF(C31&gt;0,E31*(1-K31/C31),E31)</f>
        <v>1.47798</v>
      </c>
      <c r="H31" s="26" t="n">
        <f aca="false">IF(C31&gt;0,E31*(1-L31/C31),E31)</f>
        <v>1.47798</v>
      </c>
      <c r="I31" s="26" t="n">
        <f aca="false">IF(C31&gt;0,E31*(1-M31/C31),E31)</f>
        <v>1.47798</v>
      </c>
      <c r="J31" s="35" t="n">
        <f aca="false">MIN(C31,MAX(0,F$6-SUMIFS($C$8:$C$37,$D$8:$D$37,"&gt;"&amp;D31)))</f>
        <v>0</v>
      </c>
      <c r="K31" s="35" t="n">
        <f aca="false">MIN(C31,MAX(0,G$6-SUMIFS($C$8:$C$37,$D$8:$D$37,"&gt;"&amp;D31)))</f>
        <v>0</v>
      </c>
      <c r="L31" s="35" t="n">
        <f aca="false">MIN(C31,MAX(0,H$6-SUMIFS($C$8:$C$37,$D$8:$D$37,"&gt;"&amp;D31)))</f>
        <v>0</v>
      </c>
      <c r="M31" s="35" t="n">
        <f aca="false">MIN(C31,MAX(0,I$6-SUMIFS($C$8:$C$37,$D$8:$D$37,"&gt;"&amp;D31)))</f>
        <v>0</v>
      </c>
    </row>
    <row r="32" customFormat="false" ht="15" hidden="false" customHeight="false" outlineLevel="0" collapsed="false">
      <c r="A32" s="2" t="str">
        <f aca="false">Channels!A29</f>
        <v>I1b-E</v>
      </c>
      <c r="B32" s="2" t="str">
        <f aca="false">Channels!C29</f>
        <v>Electricians</v>
      </c>
      <c r="C32" s="35" t="n">
        <f aca="false">Channels!X29</f>
        <v>4162.640625</v>
      </c>
      <c r="D32" s="39" t="n">
        <f aca="false">Channels!Q29</f>
        <v>1000.000029</v>
      </c>
      <c r="E32" s="26" t="n">
        <f aca="false">Channels!U29</f>
        <v>4.162640625</v>
      </c>
      <c r="F32" s="26" t="n">
        <f aca="false">IF(C32&gt;0,E32*(1-J32/C32),E32)</f>
        <v>4.162640625</v>
      </c>
      <c r="G32" s="26" t="n">
        <f aca="false">IF(C32&gt;0,E32*(1-K32/C32),E32)</f>
        <v>1.70941560127088</v>
      </c>
      <c r="H32" s="26" t="n">
        <f aca="false">IF(C32&gt;0,E32*(1-L32/C32),E32)</f>
        <v>0</v>
      </c>
      <c r="I32" s="26" t="n">
        <f aca="false">IF(C32&gt;0,E32*(1-M32/C32),E32)</f>
        <v>0</v>
      </c>
      <c r="J32" s="35" t="n">
        <f aca="false">MIN(C32,MAX(0,F$6-SUMIFS($C$8:$C$37,$D$8:$D$37,"&gt;"&amp;D32)))</f>
        <v>0</v>
      </c>
      <c r="K32" s="35" t="n">
        <f aca="false">MIN(C32,MAX(0,G$6-SUMIFS($C$8:$C$37,$D$8:$D$37,"&gt;"&amp;D32)))</f>
        <v>2453.22502372912</v>
      </c>
      <c r="L32" s="35" t="n">
        <f aca="false">MIN(C32,MAX(0,H$6-SUMIFS($C$8:$C$37,$D$8:$D$37,"&gt;"&amp;D32)))</f>
        <v>4162.640625</v>
      </c>
      <c r="M32" s="35" t="n">
        <f aca="false">MIN(C32,MAX(0,I$6-SUMIFS($C$8:$C$37,$D$8:$D$37,"&gt;"&amp;D32)))</f>
        <v>4162.640625</v>
      </c>
    </row>
    <row r="33" customFormat="false" ht="15" hidden="false" customHeight="false" outlineLevel="0" collapsed="false">
      <c r="A33" s="2" t="str">
        <f aca="false">Channels!A30</f>
        <v>I1b-M</v>
      </c>
      <c r="B33" s="2" t="str">
        <f aca="false">Channels!C30</f>
        <v>Mechatronics</v>
      </c>
      <c r="C33" s="35" t="n">
        <f aca="false">Channels!X30</f>
        <v>0</v>
      </c>
      <c r="D33" s="39" t="n">
        <f aca="false">Channels!Q30</f>
        <v>1000.00003</v>
      </c>
      <c r="E33" s="26" t="n">
        <f aca="false">Channels!U30</f>
        <v>0</v>
      </c>
      <c r="F33" s="26" t="n">
        <f aca="false">IF(C33&gt;0,E33*(1-J33/C33),E33)</f>
        <v>0</v>
      </c>
      <c r="G33" s="26" t="n">
        <f aca="false">IF(C33&gt;0,E33*(1-K33/C33),E33)</f>
        <v>0</v>
      </c>
      <c r="H33" s="26" t="n">
        <f aca="false">IF(C33&gt;0,E33*(1-L33/C33),E33)</f>
        <v>0</v>
      </c>
      <c r="I33" s="26" t="n">
        <f aca="false">IF(C33&gt;0,E33*(1-M33/C33),E33)</f>
        <v>0</v>
      </c>
      <c r="J33" s="35" t="n">
        <f aca="false">MIN(C33,MAX(0,F$6-SUMIFS($C$8:$C$37,$D$8:$D$37,"&gt;"&amp;D33)))</f>
        <v>0</v>
      </c>
      <c r="K33" s="35" t="n">
        <f aca="false">MIN(C33,MAX(0,G$6-SUMIFS($C$8:$C$37,$D$8:$D$37,"&gt;"&amp;D33)))</f>
        <v>0</v>
      </c>
      <c r="L33" s="35" t="n">
        <f aca="false">MIN(C33,MAX(0,H$6-SUMIFS($C$8:$C$37,$D$8:$D$37,"&gt;"&amp;D33)))</f>
        <v>0</v>
      </c>
      <c r="M33" s="35" t="n">
        <f aca="false">MIN(C33,MAX(0,I$6-SUMIFS($C$8:$C$37,$D$8:$D$37,"&gt;"&amp;D33)))</f>
        <v>0</v>
      </c>
    </row>
    <row r="34" customFormat="false" ht="15" hidden="false" customHeight="false" outlineLevel="0" collapsed="false">
      <c r="A34" s="2" t="str">
        <f aca="false">Channels!A31</f>
        <v>I1b-A</v>
      </c>
      <c r="B34" s="2" t="str">
        <f aca="false">Channels!C31</f>
        <v>Automation</v>
      </c>
      <c r="C34" s="35" t="n">
        <f aca="false">Channels!X31</f>
        <v>0</v>
      </c>
      <c r="D34" s="39" t="n">
        <f aca="false">Channels!Q31</f>
        <v>1000.000031</v>
      </c>
      <c r="E34" s="26" t="n">
        <f aca="false">Channels!U31</f>
        <v>0</v>
      </c>
      <c r="F34" s="26" t="n">
        <f aca="false">IF(C34&gt;0,E34*(1-J34/C34),E34)</f>
        <v>0</v>
      </c>
      <c r="G34" s="26" t="n">
        <f aca="false">IF(C34&gt;0,E34*(1-K34/C34),E34)</f>
        <v>0</v>
      </c>
      <c r="H34" s="26" t="n">
        <f aca="false">IF(C34&gt;0,E34*(1-L34/C34),E34)</f>
        <v>0</v>
      </c>
      <c r="I34" s="26" t="n">
        <f aca="false">IF(C34&gt;0,E34*(1-M34/C34),E34)</f>
        <v>0</v>
      </c>
      <c r="J34" s="35" t="n">
        <f aca="false">MIN(C34,MAX(0,F$6-SUMIFS($C$8:$C$37,$D$8:$D$37,"&gt;"&amp;D34)))</f>
        <v>0</v>
      </c>
      <c r="K34" s="35" t="n">
        <f aca="false">MIN(C34,MAX(0,G$6-SUMIFS($C$8:$C$37,$D$8:$D$37,"&gt;"&amp;D34)))</f>
        <v>0</v>
      </c>
      <c r="L34" s="35" t="n">
        <f aca="false">MIN(C34,MAX(0,H$6-SUMIFS($C$8:$C$37,$D$8:$D$37,"&gt;"&amp;D34)))</f>
        <v>0</v>
      </c>
      <c r="M34" s="35" t="n">
        <f aca="false">MIN(C34,MAX(0,I$6-SUMIFS($C$8:$C$37,$D$8:$D$37,"&gt;"&amp;D34)))</f>
        <v>0</v>
      </c>
    </row>
    <row r="35" customFormat="false" ht="15" hidden="false" customHeight="false" outlineLevel="0" collapsed="false">
      <c r="A35" s="2" t="str">
        <f aca="false">Channels!A32</f>
        <v>I1b-S</v>
      </c>
      <c r="B35" s="2" t="str">
        <f aca="false">Channels!C32</f>
        <v>Supervisors</v>
      </c>
      <c r="C35" s="35" t="n">
        <f aca="false">Channels!X32</f>
        <v>917.92</v>
      </c>
      <c r="D35" s="39" t="n">
        <f aca="false">Channels!Q32</f>
        <v>1000.000032</v>
      </c>
      <c r="E35" s="26" t="n">
        <f aca="false">Channels!U32</f>
        <v>0.917920000000001</v>
      </c>
      <c r="F35" s="26" t="n">
        <f aca="false">IF(C35&gt;0,E35*(1-J35/C35),E35)</f>
        <v>0.917920000000001</v>
      </c>
      <c r="G35" s="26" t="n">
        <f aca="false">IF(C35&gt;0,E35*(1-K35/C35),E35)</f>
        <v>0</v>
      </c>
      <c r="H35" s="26" t="n">
        <f aca="false">IF(C35&gt;0,E35*(1-L35/C35),E35)</f>
        <v>0</v>
      </c>
      <c r="I35" s="26" t="n">
        <f aca="false">IF(C35&gt;0,E35*(1-M35/C35),E35)</f>
        <v>0</v>
      </c>
      <c r="J35" s="35" t="n">
        <f aca="false">MIN(C35,MAX(0,F$6-SUMIFS($C$8:$C$37,$D$8:$D$37,"&gt;"&amp;D35)))</f>
        <v>0</v>
      </c>
      <c r="K35" s="35" t="n">
        <f aca="false">MIN(C35,MAX(0,G$6-SUMIFS($C$8:$C$37,$D$8:$D$37,"&gt;"&amp;D35)))</f>
        <v>917.92</v>
      </c>
      <c r="L35" s="35" t="n">
        <f aca="false">MIN(C35,MAX(0,H$6-SUMIFS($C$8:$C$37,$D$8:$D$37,"&gt;"&amp;D35)))</f>
        <v>917.92</v>
      </c>
      <c r="M35" s="35" t="n">
        <f aca="false">MIN(C35,MAX(0,I$6-SUMIFS($C$8:$C$37,$D$8:$D$37,"&gt;"&amp;D35)))</f>
        <v>917.92</v>
      </c>
    </row>
    <row r="36" customFormat="false" ht="15" hidden="false" customHeight="false" outlineLevel="0" collapsed="false">
      <c r="A36" s="2" t="str">
        <f aca="false">Channels!A33</f>
        <v>I2-E</v>
      </c>
      <c r="B36" s="2" t="str">
        <f aca="false">Channels!C33</f>
        <v>Electricians</v>
      </c>
      <c r="C36" s="35" t="n">
        <f aca="false">Channels!X33</f>
        <v>9000</v>
      </c>
      <c r="D36" s="39" t="n">
        <f aca="false">Channels!Q33</f>
        <v>777.000810000777</v>
      </c>
      <c r="E36" s="26" t="n">
        <f aca="false">Channels!U33</f>
        <v>11.583</v>
      </c>
      <c r="F36" s="26" t="n">
        <f aca="false">IF(C36&gt;0,E36*(1-J36/C36),E36)</f>
        <v>11.583</v>
      </c>
      <c r="G36" s="26" t="n">
        <f aca="false">IF(C36&gt;0,E36*(1-K36/C36),E36)</f>
        <v>11.583</v>
      </c>
      <c r="H36" s="26" t="n">
        <f aca="false">IF(C36&gt;0,E36*(1-L36/C36),E36)</f>
        <v>11.583</v>
      </c>
      <c r="I36" s="26" t="n">
        <f aca="false">IF(C36&gt;0,E36*(1-M36/C36),E36)</f>
        <v>1.80085751543425</v>
      </c>
      <c r="J36" s="35" t="n">
        <f aca="false">MIN(C36,MAX(0,F$6-SUMIFS($C$8:$C$37,$D$8:$D$37,"&gt;"&amp;D36)))</f>
        <v>0</v>
      </c>
      <c r="K36" s="35" t="n">
        <f aca="false">MIN(C36,MAX(0,G$6-SUMIFS($C$8:$C$37,$D$8:$D$37,"&gt;"&amp;D36)))</f>
        <v>0</v>
      </c>
      <c r="L36" s="35" t="n">
        <f aca="false">MIN(C36,MAX(0,H$6-SUMIFS($C$8:$C$37,$D$8:$D$37,"&gt;"&amp;D36)))</f>
        <v>0</v>
      </c>
      <c r="M36" s="35" t="n">
        <f aca="false">MIN(C36,MAX(0,I$6-SUMIFS($C$8:$C$37,$D$8:$D$37,"&gt;"&amp;D36)))</f>
        <v>7600.7323112399</v>
      </c>
    </row>
    <row r="37" customFormat="false" ht="15" hidden="false" customHeight="false" outlineLevel="0" collapsed="false">
      <c r="A37" s="2" t="str">
        <f aca="false">Channels!A34</f>
        <v>I3-M</v>
      </c>
      <c r="B37" s="2" t="str">
        <f aca="false">Channels!C34</f>
        <v>Mechatronics</v>
      </c>
      <c r="C37" s="35" t="n">
        <f aca="false">Channels!X34</f>
        <v>2203.85674931129</v>
      </c>
      <c r="D37" s="39" t="n">
        <f aca="false">Channels!Q34</f>
        <v>122.43652007285</v>
      </c>
      <c r="E37" s="26" t="n">
        <f aca="false">Channels!U34</f>
        <v>18</v>
      </c>
      <c r="F37" s="26" t="n">
        <f aca="false">IF(C37&gt;0,E37*(1-J37/C37),E37)</f>
        <v>18</v>
      </c>
      <c r="G37" s="26" t="n">
        <f aca="false">IF(C37&gt;0,E37*(1-K37/C37),E37)</f>
        <v>18</v>
      </c>
      <c r="H37" s="26" t="n">
        <f aca="false">IF(C37&gt;0,E37*(1-L37/C37),E37)</f>
        <v>18</v>
      </c>
      <c r="I37" s="26" t="n">
        <f aca="false">IF(C37&gt;0,E37*(1-M37/C37),E37)</f>
        <v>18</v>
      </c>
      <c r="J37" s="35" t="n">
        <f aca="false">MIN(C37,MAX(0,F$6-SUMIFS($C$8:$C$37,$D$8:$D$37,"&gt;"&amp;D37)))</f>
        <v>0</v>
      </c>
      <c r="K37" s="35" t="n">
        <f aca="false">MIN(C37,MAX(0,G$6-SUMIFS($C$8:$C$37,$D$8:$D$37,"&gt;"&amp;D37)))</f>
        <v>0</v>
      </c>
      <c r="L37" s="35" t="n">
        <f aca="false">MIN(C37,MAX(0,H$6-SUMIFS($C$8:$C$37,$D$8:$D$37,"&gt;"&amp;D37)))</f>
        <v>0</v>
      </c>
      <c r="M37" s="35" t="n">
        <f aca="false">MIN(C37,MAX(0,I$6-SUMIFS($C$8:$C$37,$D$8:$D$37,"&gt;"&amp;D37)))</f>
        <v>0</v>
      </c>
    </row>
    <row r="38" customFormat="false" ht="15" hidden="false" customHeight="false" outlineLevel="0" collapsed="false">
      <c r="E38" s="22" t="s">
        <v>565</v>
      </c>
    </row>
    <row r="39" customFormat="false" ht="15" hidden="false" customHeight="false" outlineLevel="0" collapsed="false">
      <c r="E39" s="2" t="s">
        <v>50</v>
      </c>
      <c r="F39" s="26" t="n">
        <f aca="false">SUMIFS(F$8:F$37,$B$8:$B$37,$E39)</f>
        <v>30</v>
      </c>
      <c r="G39" s="26" t="n">
        <f aca="false">SUMIFS(G$8:G$37,$B$8:$B$37,$E39)</f>
        <v>25.4545656012709</v>
      </c>
      <c r="H39" s="26" t="n">
        <f aca="false">SUMIFS(H$8:H$37,$B$8:$B$37,$E39)</f>
        <v>23.74515</v>
      </c>
      <c r="I39" s="26" t="n">
        <f aca="false">SUMIFS(I$8:I$37,$B$8:$B$37,$E39)</f>
        <v>13.9630075154343</v>
      </c>
    </row>
    <row r="40" customFormat="false" ht="15" hidden="false" customHeight="false" outlineLevel="0" collapsed="false">
      <c r="E40" s="2" t="s">
        <v>45</v>
      </c>
      <c r="F40" s="26" t="n">
        <f aca="false">SUMIFS(F$8:F$37,$B$8:$B$37,$E40)</f>
        <v>45</v>
      </c>
      <c r="G40" s="26" t="n">
        <f aca="false">SUMIFS(G$8:G$37,$B$8:$B$37,$E40)</f>
        <v>45</v>
      </c>
      <c r="H40" s="26" t="n">
        <f aca="false">SUMIFS(H$8:H$37,$B$8:$B$37,$E40)</f>
        <v>45</v>
      </c>
      <c r="I40" s="26" t="n">
        <f aca="false">SUMIFS(I$8:I$37,$B$8:$B$37,$E40)</f>
        <v>45</v>
      </c>
    </row>
    <row r="41" customFormat="false" ht="15" hidden="false" customHeight="false" outlineLevel="0" collapsed="false">
      <c r="E41" s="2" t="s">
        <v>55</v>
      </c>
      <c r="F41" s="26" t="n">
        <f aca="false">SUMIFS(F$8:F$37,$B$8:$B$37,$E41)</f>
        <v>15</v>
      </c>
      <c r="G41" s="26" t="n">
        <f aca="false">SUMIFS(G$8:G$37,$B$8:$B$37,$E41)</f>
        <v>15</v>
      </c>
      <c r="H41" s="26" t="n">
        <f aca="false">SUMIFS(H$8:H$37,$B$8:$B$37,$E41)</f>
        <v>15</v>
      </c>
      <c r="I41" s="26" t="n">
        <f aca="false">SUMIFS(I$8:I$37,$B$8:$B$37,$E41)</f>
        <v>15</v>
      </c>
    </row>
    <row r="42" customFormat="false" ht="15" hidden="false" customHeight="false" outlineLevel="0" collapsed="false">
      <c r="E42" s="2" t="s">
        <v>57</v>
      </c>
      <c r="F42" s="26" t="n">
        <f aca="false">SUMIFS(F$8:F$37,$B$8:$B$37,$E42)</f>
        <v>10</v>
      </c>
      <c r="G42" s="26" t="n">
        <f aca="false">SUMIFS(G$8:G$37,$B$8:$B$37,$E42)</f>
        <v>9.08208</v>
      </c>
      <c r="H42" s="26" t="n">
        <f aca="false">SUMIFS(H$8:H$37,$B$8:$B$37,$E42)</f>
        <v>3.69112832976827</v>
      </c>
      <c r="I42" s="26" t="n">
        <f aca="false">SUMIFS(I$8:I$37,$B$8:$B$37,$E42)</f>
        <v>2.76318</v>
      </c>
    </row>
    <row r="43" customFormat="false" ht="15" hidden="false" customHeight="false" outlineLevel="0" collapsed="false">
      <c r="E43" s="22" t="s">
        <v>366</v>
      </c>
      <c r="F43" s="29" t="n">
        <f aca="false">SUM(F39:F42)</f>
        <v>100</v>
      </c>
      <c r="G43" s="29" t="n">
        <f aca="false">SUM(G39:G42)</f>
        <v>94.5366456012709</v>
      </c>
      <c r="H43" s="29" t="n">
        <f aca="false">SUM(H39:H42)</f>
        <v>87.4362783297683</v>
      </c>
      <c r="I43" s="29" t="n">
        <f aca="false">SUM(I39:I42)</f>
        <v>76.7261875154343</v>
      </c>
    </row>
    <row r="44" customFormat="false" ht="15" hidden="false" customHeight="false" outlineLevel="0" collapsed="false">
      <c r="E44" s="2" t="s">
        <v>497</v>
      </c>
      <c r="F44" s="35" t="n">
        <f aca="false">F4/F43</f>
        <v>491.69764891993</v>
      </c>
      <c r="G44" s="35" t="n">
        <f aca="false">G4/G43</f>
        <v>442.096288612468</v>
      </c>
      <c r="H44" s="35" t="n">
        <f aca="false">H4/H43</f>
        <v>393.644790033075</v>
      </c>
      <c r="I44" s="35" t="n">
        <f aca="false">I4/I43</f>
        <v>320.423616005305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S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1" min="2" style="0" width="13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3" customFormat="false" ht="45" hidden="false" customHeight="true" outlineLevel="0" collapsed="false">
      <c r="A3" s="12" t="s">
        <v>568</v>
      </c>
      <c r="B3" s="12" t="s">
        <v>569</v>
      </c>
      <c r="C3" s="12" t="s">
        <v>570</v>
      </c>
      <c r="D3" s="12" t="s">
        <v>571</v>
      </c>
      <c r="E3" s="12" t="s">
        <v>572</v>
      </c>
      <c r="F3" s="12" t="s">
        <v>573</v>
      </c>
      <c r="G3" s="12" t="s">
        <v>574</v>
      </c>
      <c r="H3" s="12" t="s">
        <v>542</v>
      </c>
      <c r="I3" s="12" t="s">
        <v>575</v>
      </c>
      <c r="J3" s="12" t="s">
        <v>576</v>
      </c>
      <c r="K3" s="12" t="s">
        <v>577</v>
      </c>
      <c r="L3" s="12" t="s">
        <v>578</v>
      </c>
      <c r="M3" s="12" t="s">
        <v>579</v>
      </c>
      <c r="N3" s="12" t="s">
        <v>580</v>
      </c>
      <c r="O3" s="12" t="s">
        <v>581</v>
      </c>
      <c r="P3" s="12" t="s">
        <v>582</v>
      </c>
      <c r="Q3" s="12" t="s">
        <v>583</v>
      </c>
      <c r="R3" s="12" t="s">
        <v>584</v>
      </c>
      <c r="S3" s="12" t="s">
        <v>585</v>
      </c>
    </row>
    <row r="4" customFormat="false" ht="15" hidden="false" customHeight="false" outlineLevel="0" collapsed="false">
      <c r="A4" s="23" t="n">
        <v>1</v>
      </c>
      <c r="B4" s="43" t="n">
        <f aca="false">Assumptions!$D$7+7*(A4-1)</f>
        <v>46315</v>
      </c>
      <c r="C4" s="43" t="n">
        <f aca="false">MIN(B4+6,Assumptions!$D$8)</f>
        <v>46321</v>
      </c>
      <c r="D4" s="24" t="n">
        <f aca="false">Assumptions!$D$51</f>
        <v>0.13</v>
      </c>
      <c r="E4" s="24" t="n">
        <f aca="false">IF(B4&lt;=Funnel!$B$20,D4,0)/SUMPRODUCT(($B$4:$B$14&lt;=Funnel!$B$20)*$D$4:$D$14)</f>
        <v>0.152941176470588</v>
      </c>
      <c r="F4" s="35" t="n">
        <f aca="false">(Budget!$C$25-Budget!$C$24)*D4+Budget!$C$24*E4</f>
        <v>4627.22987434674</v>
      </c>
      <c r="G4" s="35" t="n">
        <f aca="false">Budget!$C$6*D4</f>
        <v>676</v>
      </c>
      <c r="H4" s="35" t="n">
        <f aca="false">Budget!$C$8*0.5</f>
        <v>1053.85714285714</v>
      </c>
      <c r="I4" s="35" t="n">
        <f aca="false">F4+G4+H4</f>
        <v>6357.08701720389</v>
      </c>
      <c r="J4" s="35" t="n">
        <f aca="false">SUM($I$4:I4)</f>
        <v>6357.08701720389</v>
      </c>
      <c r="K4" s="23" t="n">
        <f aca="false">(Funnel!$M$5+Funnel!$M$6+Funnel!$M$7)*D4+Funnel!$M$8*E4</f>
        <v>205.45343947301</v>
      </c>
      <c r="L4" s="23" t="n">
        <f aca="false">(Funnel!$O$5+Funnel!$O$6+Funnel!$O$7)*D4+Funnel!$O$8*E4</f>
        <v>38.46587672345</v>
      </c>
      <c r="M4" s="23" t="n">
        <f aca="false">Assumptions!$D$9*MAX(0,MIN(C4,Funnel!$B$17)-MAX(B4,Funnel!$B$13)+1)/7</f>
        <v>39.2857142857143</v>
      </c>
      <c r="N4" s="24" t="n">
        <f aca="false">IF(M4&gt;0,L4/M4,IF(L4&gt;0,9.99,0))</f>
        <v>0.979131407506</v>
      </c>
      <c r="O4" s="2" t="str">
        <f aca="false">IF(L4&gt;M4+0.5,"OVER 55 – pace down",IF(N4&gt;0.9,"Full",""))</f>
        <v>Full</v>
      </c>
      <c r="P4" s="26" t="n">
        <f aca="false">IF(A4-ROUNDUP(Funnel!$B$15/7,0)&gt;=1,INDEX($D$4:$D$14,A4-ROUNDUP(Funnel!$B$15/7,0)),0)*(Budget!$G$21+Budget!$G$22+Budget!$G$23)</f>
        <v>0</v>
      </c>
      <c r="Q4" s="26" t="n">
        <f aca="false">IF(A4-ROUNDUP(Funnel!$B$16/7,0)&gt;=1,INDEX($E$4:$E$14,A4-ROUNDUP(Funnel!$B$16/7,0)),0)*Budget!$G$24</f>
        <v>0</v>
      </c>
      <c r="R4" s="26" t="n">
        <f aca="false">P4+Q4</f>
        <v>0</v>
      </c>
      <c r="S4" s="26" t="n">
        <f aca="false">SUM($R$4:R4)</f>
        <v>0</v>
      </c>
    </row>
    <row r="5" customFormat="false" ht="15" hidden="false" customHeight="false" outlineLevel="0" collapsed="false">
      <c r="A5" s="23" t="n">
        <v>2</v>
      </c>
      <c r="B5" s="43" t="n">
        <f aca="false">Assumptions!$D$7+7*(A5-1)</f>
        <v>46322</v>
      </c>
      <c r="C5" s="43" t="n">
        <f aca="false">MIN(B5+6,Assumptions!$D$8)</f>
        <v>46328</v>
      </c>
      <c r="D5" s="24" t="n">
        <f aca="false">Assumptions!$D$52</f>
        <v>0.18</v>
      </c>
      <c r="E5" s="24" t="n">
        <f aca="false">IF(B5&lt;=Funnel!$B$20,D5,0)/SUMPRODUCT(($B$4:$B$14&lt;=Funnel!$B$20)*$D$4:$D$14)</f>
        <v>0.211764705882353</v>
      </c>
      <c r="F5" s="35" t="n">
        <f aca="false">(Budget!$C$25-Budget!$C$24)*D5+Budget!$C$24*E5</f>
        <v>6406.93367217241</v>
      </c>
      <c r="G5" s="35" t="n">
        <f aca="false">Budget!$C$6*D5</f>
        <v>936</v>
      </c>
      <c r="H5" s="35" t="n">
        <f aca="false">Budget!$C$8*0.5</f>
        <v>1053.85714285714</v>
      </c>
      <c r="I5" s="35" t="n">
        <f aca="false">F5+G5+H5</f>
        <v>8396.79081502956</v>
      </c>
      <c r="J5" s="41" t="n">
        <f aca="false">SUM($I$4:I5)</f>
        <v>14753.8778322334</v>
      </c>
      <c r="K5" s="23" t="n">
        <f aca="false">(Funnel!$M$5+Funnel!$M$6+Funnel!$M$7)*D5+Funnel!$M$8*E5</f>
        <v>284.473993116476</v>
      </c>
      <c r="L5" s="23" t="n">
        <f aca="false">(Funnel!$O$5+Funnel!$O$6+Funnel!$O$7)*D5+Funnel!$O$8*E5</f>
        <v>53.2604446940077</v>
      </c>
      <c r="M5" s="23" t="n">
        <f aca="false">Assumptions!$D$9*MAX(0,MIN(C5,Funnel!$B$17)-MAX(B5,Funnel!$B$13)+1)/7</f>
        <v>55</v>
      </c>
      <c r="N5" s="24" t="n">
        <f aca="false">IF(M5&gt;0,L5/M5,IF(L5&gt;0,9.99,0))</f>
        <v>0.96837172170923</v>
      </c>
      <c r="O5" s="2" t="str">
        <f aca="false">IF(L5&gt;M5+0.5,"OVER 55 – pace down",IF(N5&gt;0.9,"Full",""))</f>
        <v>Full</v>
      </c>
      <c r="P5" s="26" t="n">
        <f aca="false">IF(A5-ROUNDUP(Funnel!$B$15/7,0)&gt;=1,INDEX($D$4:$D$14,A5-ROUNDUP(Funnel!$B$15/7,0)),0)*(Budget!$G$21+Budget!$G$22+Budget!$G$23)</f>
        <v>0</v>
      </c>
      <c r="Q5" s="26" t="n">
        <f aca="false">IF(A5-ROUNDUP(Funnel!$B$16/7,0)&gt;=1,INDEX($E$4:$E$14,A5-ROUNDUP(Funnel!$B$16/7,0)),0)*Budget!$G$24</f>
        <v>0</v>
      </c>
      <c r="R5" s="26" t="n">
        <f aca="false">P5+Q5</f>
        <v>0</v>
      </c>
      <c r="S5" s="26" t="n">
        <f aca="false">SUM($R$4:R5)</f>
        <v>0</v>
      </c>
    </row>
    <row r="6" customFormat="false" ht="15" hidden="false" customHeight="false" outlineLevel="0" collapsed="false">
      <c r="A6" s="23" t="n">
        <v>3</v>
      </c>
      <c r="B6" s="43" t="n">
        <f aca="false">Assumptions!$D$7+7*(A6-1)</f>
        <v>46329</v>
      </c>
      <c r="C6" s="43" t="n">
        <f aca="false">MIN(B6+6,Assumptions!$D$8)</f>
        <v>46335</v>
      </c>
      <c r="D6" s="24" t="n">
        <f aca="false">Assumptions!$D$53</f>
        <v>0.18</v>
      </c>
      <c r="E6" s="24" t="n">
        <f aca="false">IF(B6&lt;=Funnel!$B$20,D6,0)/SUMPRODUCT(($B$4:$B$14&lt;=Funnel!$B$20)*$D$4:$D$14)</f>
        <v>0.211764705882353</v>
      </c>
      <c r="F6" s="35" t="n">
        <f aca="false">(Budget!$C$25-Budget!$C$24)*D6+Budget!$C$24*E6</f>
        <v>6406.93367217241</v>
      </c>
      <c r="G6" s="35" t="n">
        <f aca="false">Budget!$C$6*D6</f>
        <v>936</v>
      </c>
      <c r="H6" s="35" t="n">
        <f aca="false">0</f>
        <v>0</v>
      </c>
      <c r="I6" s="35" t="n">
        <f aca="false">F6+G6+H6</f>
        <v>7342.93367217241</v>
      </c>
      <c r="J6" s="35" t="n">
        <f aca="false">SUM($I$4:I6)</f>
        <v>22096.8115044059</v>
      </c>
      <c r="K6" s="23" t="n">
        <f aca="false">(Funnel!$M$5+Funnel!$M$6+Funnel!$M$7)*D6+Funnel!$M$8*E6</f>
        <v>284.473993116476</v>
      </c>
      <c r="L6" s="23" t="n">
        <f aca="false">(Funnel!$O$5+Funnel!$O$6+Funnel!$O$7)*D6+Funnel!$O$8*E6</f>
        <v>53.2604446940077</v>
      </c>
      <c r="M6" s="23" t="n">
        <f aca="false">Assumptions!$D$9*MAX(0,MIN(C6,Funnel!$B$17)-MAX(B6,Funnel!$B$13)+1)/7</f>
        <v>55</v>
      </c>
      <c r="N6" s="24" t="n">
        <f aca="false">IF(M6&gt;0,L6/M6,IF(L6&gt;0,9.99,0))</f>
        <v>0.96837172170923</v>
      </c>
      <c r="O6" s="2" t="str">
        <f aca="false">IF(L6&gt;M6+0.5,"OVER 55 – pace down",IF(N6&gt;0.9,"Full",""))</f>
        <v>Full</v>
      </c>
      <c r="P6" s="26" t="n">
        <f aca="false">IF(A6-ROUNDUP(Funnel!$B$15/7,0)&gt;=1,INDEX($D$4:$D$14,A6-ROUNDUP(Funnel!$B$15/7,0)),0)*(Budget!$G$21+Budget!$G$22+Budget!$G$23)</f>
        <v>0</v>
      </c>
      <c r="Q6" s="26" t="n">
        <f aca="false">IF(A6-ROUNDUP(Funnel!$B$16/7,0)&gt;=1,INDEX($E$4:$E$14,A6-ROUNDUP(Funnel!$B$16/7,0)),0)*Budget!$G$24</f>
        <v>0</v>
      </c>
      <c r="R6" s="26" t="n">
        <f aca="false">P6+Q6</f>
        <v>0</v>
      </c>
      <c r="S6" s="26" t="n">
        <f aca="false">SUM($R$4:R6)</f>
        <v>0</v>
      </c>
    </row>
    <row r="7" customFormat="false" ht="15" hidden="false" customHeight="false" outlineLevel="0" collapsed="false">
      <c r="A7" s="23" t="n">
        <v>4</v>
      </c>
      <c r="B7" s="43" t="n">
        <f aca="false">Assumptions!$D$7+7*(A7-1)</f>
        <v>46336</v>
      </c>
      <c r="C7" s="43" t="n">
        <f aca="false">MIN(B7+6,Assumptions!$D$8)</f>
        <v>46342</v>
      </c>
      <c r="D7" s="24" t="n">
        <f aca="false">Assumptions!$D$54</f>
        <v>0.18</v>
      </c>
      <c r="E7" s="24" t="n">
        <f aca="false">IF(B7&lt;=Funnel!$B$20,D7,0)/SUMPRODUCT(($B$4:$B$14&lt;=Funnel!$B$20)*$D$4:$D$14)</f>
        <v>0.211764705882353</v>
      </c>
      <c r="F7" s="35" t="n">
        <f aca="false">(Budget!$C$25-Budget!$C$24)*D7+Budget!$C$24*E7</f>
        <v>6406.93367217241</v>
      </c>
      <c r="G7" s="35" t="n">
        <f aca="false">Budget!$C$6*D7</f>
        <v>936</v>
      </c>
      <c r="H7" s="35" t="n">
        <f aca="false">0</f>
        <v>0</v>
      </c>
      <c r="I7" s="35" t="n">
        <f aca="false">F7+G7+H7</f>
        <v>7342.93367217241</v>
      </c>
      <c r="J7" s="35" t="n">
        <f aca="false">SUM($I$4:I7)</f>
        <v>29439.7451765783</v>
      </c>
      <c r="K7" s="23" t="n">
        <f aca="false">(Funnel!$M$5+Funnel!$M$6+Funnel!$M$7)*D7+Funnel!$M$8*E7</f>
        <v>284.473993116476</v>
      </c>
      <c r="L7" s="23" t="n">
        <f aca="false">(Funnel!$O$5+Funnel!$O$6+Funnel!$O$7)*D7+Funnel!$O$8*E7</f>
        <v>53.2604446940077</v>
      </c>
      <c r="M7" s="23" t="n">
        <f aca="false">Assumptions!$D$9*MAX(0,MIN(C7,Funnel!$B$17)-MAX(B7,Funnel!$B$13)+1)/7</f>
        <v>55</v>
      </c>
      <c r="N7" s="24" t="n">
        <f aca="false">IF(M7&gt;0,L7/M7,IF(L7&gt;0,9.99,0))</f>
        <v>0.96837172170923</v>
      </c>
      <c r="O7" s="2" t="str">
        <f aca="false">IF(L7&gt;M7+0.5,"OVER 55 – pace down",IF(N7&gt;0.9,"Full",""))</f>
        <v>Full</v>
      </c>
      <c r="P7" s="26" t="n">
        <f aca="false">IF(A7-ROUNDUP(Funnel!$B$15/7,0)&gt;=1,INDEX($D$4:$D$14,A7-ROUNDUP(Funnel!$B$15/7,0)),0)*(Budget!$G$21+Budget!$G$22+Budget!$G$23)</f>
        <v>11.7</v>
      </c>
      <c r="Q7" s="26" t="n">
        <f aca="false">IF(A7-ROUNDUP(Funnel!$B$16/7,0)&gt;=1,INDEX($E$4:$E$14,A7-ROUNDUP(Funnel!$B$16/7,0)),0)*Budget!$G$24</f>
        <v>0</v>
      </c>
      <c r="R7" s="26" t="n">
        <f aca="false">P7+Q7</f>
        <v>11.7</v>
      </c>
      <c r="S7" s="26" t="n">
        <f aca="false">SUM($R$4:R7)</f>
        <v>11.7</v>
      </c>
    </row>
    <row r="8" customFormat="false" ht="15" hidden="false" customHeight="false" outlineLevel="0" collapsed="false">
      <c r="A8" s="23" t="n">
        <v>5</v>
      </c>
      <c r="B8" s="43" t="n">
        <f aca="false">Assumptions!$D$7+7*(A8-1)</f>
        <v>46343</v>
      </c>
      <c r="C8" s="43" t="n">
        <f aca="false">MIN(B8+6,Assumptions!$D$8)</f>
        <v>46349</v>
      </c>
      <c r="D8" s="24" t="n">
        <f aca="false">Assumptions!$D$55</f>
        <v>0.18</v>
      </c>
      <c r="E8" s="24" t="n">
        <f aca="false">IF(B8&lt;=Funnel!$B$20,D8,0)/SUMPRODUCT(($B$4:$B$14&lt;=Funnel!$B$20)*$D$4:$D$14)</f>
        <v>0.211764705882353</v>
      </c>
      <c r="F8" s="35" t="n">
        <f aca="false">(Budget!$C$25-Budget!$C$24)*D8+Budget!$C$24*E8</f>
        <v>6406.93367217241</v>
      </c>
      <c r="G8" s="35" t="n">
        <f aca="false">Budget!$C$6*D8</f>
        <v>936</v>
      </c>
      <c r="H8" s="35" t="n">
        <f aca="false">0</f>
        <v>0</v>
      </c>
      <c r="I8" s="35" t="n">
        <f aca="false">F8+G8+H8</f>
        <v>7342.93367217241</v>
      </c>
      <c r="J8" s="35" t="n">
        <f aca="false">SUM($I$4:I8)</f>
        <v>36782.6788487507</v>
      </c>
      <c r="K8" s="23" t="n">
        <f aca="false">(Funnel!$M$5+Funnel!$M$6+Funnel!$M$7)*D8+Funnel!$M$8*E8</f>
        <v>284.473993116476</v>
      </c>
      <c r="L8" s="23" t="n">
        <f aca="false">(Funnel!$O$5+Funnel!$O$6+Funnel!$O$7)*D8+Funnel!$O$8*E8</f>
        <v>53.2604446940077</v>
      </c>
      <c r="M8" s="23" t="n">
        <f aca="false">Assumptions!$D$9*MAX(0,MIN(C8,Funnel!$B$17)-MAX(B8,Funnel!$B$13)+1)/7</f>
        <v>55</v>
      </c>
      <c r="N8" s="24" t="n">
        <f aca="false">IF(M8&gt;0,L8/M8,IF(L8&gt;0,9.99,0))</f>
        <v>0.96837172170923</v>
      </c>
      <c r="O8" s="2" t="str">
        <f aca="false">IF(L8&gt;M8+0.5,"OVER 55 – pace down",IF(N8&gt;0.9,"Full",""))</f>
        <v>Full</v>
      </c>
      <c r="P8" s="26" t="n">
        <f aca="false">IF(A8-ROUNDUP(Funnel!$B$15/7,0)&gt;=1,INDEX($D$4:$D$14,A8-ROUNDUP(Funnel!$B$15/7,0)),0)*(Budget!$G$21+Budget!$G$22+Budget!$G$23)</f>
        <v>16.2</v>
      </c>
      <c r="Q8" s="26" t="n">
        <f aca="false">IF(A8-ROUNDUP(Funnel!$B$16/7,0)&gt;=1,INDEX($E$4:$E$14,A8-ROUNDUP(Funnel!$B$16/7,0)),0)*Budget!$G$24</f>
        <v>1.52941176470588</v>
      </c>
      <c r="R8" s="26" t="n">
        <f aca="false">P8+Q8</f>
        <v>17.7294117647059</v>
      </c>
      <c r="S8" s="26" t="n">
        <f aca="false">SUM($R$4:R8)</f>
        <v>29.4294117647059</v>
      </c>
    </row>
    <row r="9" customFormat="false" ht="15" hidden="false" customHeight="false" outlineLevel="0" collapsed="false">
      <c r="A9" s="23" t="n">
        <v>6</v>
      </c>
      <c r="B9" s="43" t="n">
        <f aca="false">Assumptions!$D$7+7*(A9-1)</f>
        <v>46350</v>
      </c>
      <c r="C9" s="43" t="n">
        <f aca="false">MIN(B9+6,Assumptions!$D$8)</f>
        <v>46356</v>
      </c>
      <c r="D9" s="24" t="n">
        <f aca="false">Assumptions!$D$56</f>
        <v>0.15</v>
      </c>
      <c r="E9" s="24" t="n">
        <f aca="false">IF(B9&lt;=Funnel!$B$20,D9,0)/SUMPRODUCT(($B$4:$B$14&lt;=Funnel!$B$20)*$D$4:$D$14)</f>
        <v>0</v>
      </c>
      <c r="F9" s="35" t="n">
        <f aca="false">(Budget!$C$25-Budget!$C$24)*D9+Budget!$C$24*E9</f>
        <v>4231.6213094434</v>
      </c>
      <c r="G9" s="35" t="n">
        <f aca="false">Budget!$C$6*D9</f>
        <v>780</v>
      </c>
      <c r="H9" s="35" t="n">
        <f aca="false">0</f>
        <v>0</v>
      </c>
      <c r="I9" s="35" t="n">
        <f aca="false">F9+G9+H9</f>
        <v>5011.6213094434</v>
      </c>
      <c r="J9" s="35" t="n">
        <f aca="false">SUM($I$4:I9)</f>
        <v>41794.3001581941</v>
      </c>
      <c r="K9" s="23" t="n">
        <f aca="false">(Funnel!$M$5+Funnel!$M$6+Funnel!$M$7)*D9+Funnel!$M$8*E9</f>
        <v>200.669070089002</v>
      </c>
      <c r="L9" s="23" t="n">
        <f aca="false">(Funnel!$O$5+Funnel!$O$6+Funnel!$O$7)*D9+Funnel!$O$8*E9</f>
        <v>37.9988027389277</v>
      </c>
      <c r="M9" s="23" t="n">
        <f aca="false">Assumptions!$D$9*MAX(0,MIN(C9,Funnel!$B$17)-MAX(B9,Funnel!$B$13)+1)/7</f>
        <v>55</v>
      </c>
      <c r="N9" s="24" t="n">
        <f aca="false">IF(M9&gt;0,L9/M9,IF(L9&gt;0,9.99,0))</f>
        <v>0.690887322525959</v>
      </c>
      <c r="O9" s="2" t="str">
        <f aca="false">IF(L9&gt;M9+0.5,"OVER 55 – pace down",IF(N9&gt;0.9,"Full",""))</f>
        <v/>
      </c>
      <c r="P9" s="26" t="n">
        <f aca="false">IF(A9-ROUNDUP(Funnel!$B$15/7,0)&gt;=1,INDEX($D$4:$D$14,A9-ROUNDUP(Funnel!$B$15/7,0)),0)*(Budget!$G$21+Budget!$G$22+Budget!$G$23)</f>
        <v>16.2</v>
      </c>
      <c r="Q9" s="26" t="n">
        <f aca="false">IF(A9-ROUNDUP(Funnel!$B$16/7,0)&gt;=1,INDEX($E$4:$E$14,A9-ROUNDUP(Funnel!$B$16/7,0)),0)*Budget!$G$24</f>
        <v>2.11764705882353</v>
      </c>
      <c r="R9" s="26" t="n">
        <f aca="false">P9+Q9</f>
        <v>18.3176470588235</v>
      </c>
      <c r="S9" s="26" t="n">
        <f aca="false">SUM($R$4:R9)</f>
        <v>47.7470588235294</v>
      </c>
    </row>
    <row r="10" customFormat="false" ht="15" hidden="false" customHeight="false" outlineLevel="0" collapsed="false">
      <c r="A10" s="23" t="n">
        <v>7</v>
      </c>
      <c r="B10" s="43" t="n">
        <f aca="false">Assumptions!$D$7+7*(A10-1)</f>
        <v>46357</v>
      </c>
      <c r="C10" s="43" t="n">
        <f aca="false">MIN(B10+6,Assumptions!$D$8)</f>
        <v>46363</v>
      </c>
      <c r="D10" s="24" t="n">
        <f aca="false">Assumptions!$D$57</f>
        <v>0</v>
      </c>
      <c r="E10" s="24" t="n">
        <f aca="false">IF(B10&lt;=Funnel!$B$20,D10,0)/SUMPRODUCT(($B$4:$B$14&lt;=Funnel!$B$20)*$D$4:$D$14)</f>
        <v>0</v>
      </c>
      <c r="F10" s="35" t="n">
        <f aca="false">(Budget!$C$25-Budget!$C$24)*D10+Budget!$C$24*E10</f>
        <v>0</v>
      </c>
      <c r="G10" s="35" t="n">
        <f aca="false">Budget!$C$6*D10</f>
        <v>0</v>
      </c>
      <c r="H10" s="35" t="n">
        <f aca="false">0</f>
        <v>0</v>
      </c>
      <c r="I10" s="35" t="n">
        <f aca="false">F10+G10+H10</f>
        <v>0</v>
      </c>
      <c r="J10" s="35" t="n">
        <f aca="false">SUM($I$4:I10)</f>
        <v>41794.3001581941</v>
      </c>
      <c r="K10" s="23" t="n">
        <f aca="false">(Funnel!$M$5+Funnel!$M$6+Funnel!$M$7)*D10+Funnel!$M$8*E10</f>
        <v>0</v>
      </c>
      <c r="L10" s="23" t="n">
        <f aca="false">(Funnel!$O$5+Funnel!$O$6+Funnel!$O$7)*D10+Funnel!$O$8*E10</f>
        <v>0</v>
      </c>
      <c r="M10" s="23" t="n">
        <f aca="false">Assumptions!$D$9*MAX(0,MIN(C10,Funnel!$B$17)-MAX(B10,Funnel!$B$13)+1)/7</f>
        <v>7.85714285714286</v>
      </c>
      <c r="N10" s="24" t="n">
        <f aca="false">IF(M10&gt;0,L10/M10,IF(L10&gt;0,9.99,0))</f>
        <v>0</v>
      </c>
      <c r="O10" s="2" t="str">
        <f aca="false">IF(L10&gt;M10+0.5,"OVER 55 – pace down",IF(N10&gt;0.9,"Full",""))</f>
        <v/>
      </c>
      <c r="P10" s="26" t="n">
        <f aca="false">IF(A10-ROUNDUP(Funnel!$B$15/7,0)&gt;=1,INDEX($D$4:$D$14,A10-ROUNDUP(Funnel!$B$15/7,0)),0)*(Budget!$G$21+Budget!$G$22+Budget!$G$23)</f>
        <v>16.2</v>
      </c>
      <c r="Q10" s="26" t="n">
        <f aca="false">IF(A10-ROUNDUP(Funnel!$B$16/7,0)&gt;=1,INDEX($E$4:$E$14,A10-ROUNDUP(Funnel!$B$16/7,0)),0)*Budget!$G$24</f>
        <v>2.11764705882353</v>
      </c>
      <c r="R10" s="26" t="n">
        <f aca="false">P10+Q10</f>
        <v>18.3176470588235</v>
      </c>
      <c r="S10" s="26" t="n">
        <f aca="false">SUM($R$4:R10)</f>
        <v>66.0647058823529</v>
      </c>
    </row>
    <row r="11" customFormat="false" ht="15" hidden="false" customHeight="false" outlineLevel="0" collapsed="false">
      <c r="A11" s="23" t="n">
        <v>8</v>
      </c>
      <c r="B11" s="43" t="n">
        <f aca="false">Assumptions!$D$7+7*(A11-1)</f>
        <v>46364</v>
      </c>
      <c r="C11" s="43" t="n">
        <f aca="false">MIN(B11+6,Assumptions!$D$8)</f>
        <v>46370</v>
      </c>
      <c r="D11" s="24" t="n">
        <f aca="false">Assumptions!$D$58</f>
        <v>0</v>
      </c>
      <c r="E11" s="24" t="n">
        <f aca="false">IF(B11&lt;=Funnel!$B$20,D11,0)/SUMPRODUCT(($B$4:$B$14&lt;=Funnel!$B$20)*$D$4:$D$14)</f>
        <v>0</v>
      </c>
      <c r="F11" s="35" t="n">
        <f aca="false">(Budget!$C$25-Budget!$C$24)*D11+Budget!$C$24*E11</f>
        <v>0</v>
      </c>
      <c r="G11" s="35" t="n">
        <f aca="false">Budget!$C$6*D11</f>
        <v>0</v>
      </c>
      <c r="H11" s="35" t="n">
        <f aca="false">0</f>
        <v>0</v>
      </c>
      <c r="I11" s="35" t="n">
        <f aca="false">F11+G11+H11</f>
        <v>0</v>
      </c>
      <c r="J11" s="35" t="n">
        <f aca="false">SUM($I$4:I11)</f>
        <v>41794.3001581941</v>
      </c>
      <c r="K11" s="23" t="n">
        <f aca="false">(Funnel!$M$5+Funnel!$M$6+Funnel!$M$7)*D11+Funnel!$M$8*E11</f>
        <v>0</v>
      </c>
      <c r="L11" s="23" t="n">
        <f aca="false">(Funnel!$O$5+Funnel!$O$6+Funnel!$O$7)*D11+Funnel!$O$8*E11</f>
        <v>0</v>
      </c>
      <c r="M11" s="23" t="n">
        <f aca="false">Assumptions!$D$9*MAX(0,MIN(C11,Funnel!$B$17)-MAX(B11,Funnel!$B$13)+1)/7</f>
        <v>0</v>
      </c>
      <c r="N11" s="24" t="n">
        <f aca="false">IF(M11&gt;0,L11/M11,IF(L11&gt;0,9.99,0))</f>
        <v>0</v>
      </c>
      <c r="O11" s="2" t="str">
        <f aca="false">IF(L11&gt;M11+0.5,"OVER 55 – pace down",IF(N11&gt;0.9,"Full",""))</f>
        <v/>
      </c>
      <c r="P11" s="26" t="n">
        <f aca="false">IF(A11-ROUNDUP(Funnel!$B$15/7,0)&gt;=1,INDEX($D$4:$D$14,A11-ROUNDUP(Funnel!$B$15/7,0)),0)*(Budget!$G$21+Budget!$G$22+Budget!$G$23)</f>
        <v>16.2</v>
      </c>
      <c r="Q11" s="26" t="n">
        <f aca="false">IF(A11-ROUNDUP(Funnel!$B$16/7,0)&gt;=1,INDEX($E$4:$E$14,A11-ROUNDUP(Funnel!$B$16/7,0)),0)*Budget!$G$24</f>
        <v>2.11764705882353</v>
      </c>
      <c r="R11" s="26" t="n">
        <f aca="false">P11+Q11</f>
        <v>18.3176470588235</v>
      </c>
      <c r="S11" s="26" t="n">
        <f aca="false">SUM($R$4:R11)</f>
        <v>84.3823529411765</v>
      </c>
    </row>
    <row r="12" customFormat="false" ht="15" hidden="false" customHeight="false" outlineLevel="0" collapsed="false">
      <c r="A12" s="23" t="n">
        <v>9</v>
      </c>
      <c r="B12" s="43" t="n">
        <f aca="false">Assumptions!$D$7+7*(A12-1)</f>
        <v>46371</v>
      </c>
      <c r="C12" s="43" t="n">
        <f aca="false">MIN(B12+6,Assumptions!$D$8)</f>
        <v>46377</v>
      </c>
      <c r="D12" s="24" t="n">
        <f aca="false">Assumptions!$D$59</f>
        <v>0</v>
      </c>
      <c r="E12" s="24" t="n">
        <f aca="false">IF(B12&lt;=Funnel!$B$20,D12,0)/SUMPRODUCT(($B$4:$B$14&lt;=Funnel!$B$20)*$D$4:$D$14)</f>
        <v>0</v>
      </c>
      <c r="F12" s="35" t="n">
        <f aca="false">(Budget!$C$25-Budget!$C$24)*D12+Budget!$C$24*E12</f>
        <v>0</v>
      </c>
      <c r="G12" s="35" t="n">
        <f aca="false">Budget!$C$6*D12</f>
        <v>0</v>
      </c>
      <c r="H12" s="35" t="n">
        <f aca="false">0</f>
        <v>0</v>
      </c>
      <c r="I12" s="35" t="n">
        <f aca="false">F12+G12+H12</f>
        <v>0</v>
      </c>
      <c r="J12" s="35" t="n">
        <f aca="false">SUM($I$4:I12)</f>
        <v>41794.3001581941</v>
      </c>
      <c r="K12" s="23" t="n">
        <f aca="false">(Funnel!$M$5+Funnel!$M$6+Funnel!$M$7)*D12+Funnel!$M$8*E12</f>
        <v>0</v>
      </c>
      <c r="L12" s="23" t="n">
        <f aca="false">(Funnel!$O$5+Funnel!$O$6+Funnel!$O$7)*D12+Funnel!$O$8*E12</f>
        <v>0</v>
      </c>
      <c r="M12" s="23" t="n">
        <f aca="false">Assumptions!$D$9*MAX(0,MIN(C12,Funnel!$B$17)-MAX(B12,Funnel!$B$13)+1)/7</f>
        <v>0</v>
      </c>
      <c r="N12" s="24" t="n">
        <f aca="false">IF(M12&gt;0,L12/M12,IF(L12&gt;0,9.99,0))</f>
        <v>0</v>
      </c>
      <c r="O12" s="2" t="str">
        <f aca="false">IF(L12&gt;M12+0.5,"OVER 55 – pace down",IF(N12&gt;0.9,"Full",""))</f>
        <v/>
      </c>
      <c r="P12" s="26" t="n">
        <f aca="false">IF(A12-ROUNDUP(Funnel!$B$15/7,0)&gt;=1,INDEX($D$4:$D$14,A12-ROUNDUP(Funnel!$B$15/7,0)),0)*(Budget!$G$21+Budget!$G$22+Budget!$G$23)</f>
        <v>13.5</v>
      </c>
      <c r="Q12" s="26" t="n">
        <f aca="false">IF(A12-ROUNDUP(Funnel!$B$16/7,0)&gt;=1,INDEX($E$4:$E$14,A12-ROUNDUP(Funnel!$B$16/7,0)),0)*Budget!$G$24</f>
        <v>2.11764705882353</v>
      </c>
      <c r="R12" s="26" t="n">
        <f aca="false">P12+Q12</f>
        <v>15.6176470588235</v>
      </c>
      <c r="S12" s="26" t="n">
        <f aca="false">SUM($R$4:R12)</f>
        <v>100</v>
      </c>
    </row>
    <row r="13" customFormat="false" ht="15" hidden="false" customHeight="false" outlineLevel="0" collapsed="false">
      <c r="A13" s="23" t="n">
        <v>10</v>
      </c>
      <c r="B13" s="43" t="n">
        <f aca="false">Assumptions!$D$7+7*(A13-1)</f>
        <v>46378</v>
      </c>
      <c r="C13" s="43" t="n">
        <f aca="false">MIN(B13+6,Assumptions!$D$8)</f>
        <v>46384</v>
      </c>
      <c r="D13" s="24" t="n">
        <f aca="false">Assumptions!$D$60</f>
        <v>0</v>
      </c>
      <c r="E13" s="24" t="n">
        <f aca="false">IF(B13&lt;=Funnel!$B$20,D13,0)/SUMPRODUCT(($B$4:$B$14&lt;=Funnel!$B$20)*$D$4:$D$14)</f>
        <v>0</v>
      </c>
      <c r="F13" s="35" t="n">
        <f aca="false">(Budget!$C$25-Budget!$C$24)*D13+Budget!$C$24*E13</f>
        <v>0</v>
      </c>
      <c r="G13" s="35" t="n">
        <f aca="false">Budget!$C$6*D13</f>
        <v>0</v>
      </c>
      <c r="H13" s="35" t="n">
        <f aca="false">0</f>
        <v>0</v>
      </c>
      <c r="I13" s="35" t="n">
        <f aca="false">F13+G13+H13</f>
        <v>0</v>
      </c>
      <c r="J13" s="35" t="n">
        <f aca="false">SUM($I$4:I13)</f>
        <v>41794.3001581941</v>
      </c>
      <c r="K13" s="23" t="n">
        <f aca="false">(Funnel!$M$5+Funnel!$M$6+Funnel!$M$7)*D13+Funnel!$M$8*E13</f>
        <v>0</v>
      </c>
      <c r="L13" s="23" t="n">
        <f aca="false">(Funnel!$O$5+Funnel!$O$6+Funnel!$O$7)*D13+Funnel!$O$8*E13</f>
        <v>0</v>
      </c>
      <c r="M13" s="23" t="n">
        <f aca="false">Assumptions!$D$9*MAX(0,MIN(C13,Funnel!$B$17)-MAX(B13,Funnel!$B$13)+1)/7</f>
        <v>0</v>
      </c>
      <c r="N13" s="24" t="n">
        <f aca="false">IF(M13&gt;0,L13/M13,IF(L13&gt;0,9.99,0))</f>
        <v>0</v>
      </c>
      <c r="O13" s="2" t="str">
        <f aca="false">IF(L13&gt;M13+0.5,"OVER 55 – pace down",IF(N13&gt;0.9,"Full",""))</f>
        <v/>
      </c>
      <c r="P13" s="26" t="n">
        <f aca="false">IF(A13-ROUNDUP(Funnel!$B$15/7,0)&gt;=1,INDEX($D$4:$D$14,A13-ROUNDUP(Funnel!$B$15/7,0)),0)*(Budget!$G$21+Budget!$G$22+Budget!$G$23)</f>
        <v>0</v>
      </c>
      <c r="Q13" s="26" t="n">
        <f aca="false">IF(A13-ROUNDUP(Funnel!$B$16/7,0)&gt;=1,INDEX($E$4:$E$14,A13-ROUNDUP(Funnel!$B$16/7,0)),0)*Budget!$G$24</f>
        <v>0</v>
      </c>
      <c r="R13" s="26" t="n">
        <f aca="false">P13+Q13</f>
        <v>0</v>
      </c>
      <c r="S13" s="26" t="n">
        <f aca="false">SUM($R$4:R13)</f>
        <v>100</v>
      </c>
    </row>
    <row r="14" customFormat="false" ht="15" hidden="false" customHeight="false" outlineLevel="0" collapsed="false">
      <c r="A14" s="23" t="n">
        <v>11</v>
      </c>
      <c r="B14" s="43" t="n">
        <f aca="false">Assumptions!$D$7+7*(A14-1)</f>
        <v>46385</v>
      </c>
      <c r="C14" s="43" t="n">
        <f aca="false">MIN(B14+6,Assumptions!$D$8)</f>
        <v>46387</v>
      </c>
      <c r="D14" s="24" t="n">
        <f aca="false">Assumptions!$D$61</f>
        <v>0</v>
      </c>
      <c r="E14" s="24" t="n">
        <f aca="false">IF(B14&lt;=Funnel!$B$20,D14,0)/SUMPRODUCT(($B$4:$B$14&lt;=Funnel!$B$20)*$D$4:$D$14)</f>
        <v>0</v>
      </c>
      <c r="F14" s="35" t="n">
        <f aca="false">(Budget!$C$25-Budget!$C$24)*D14+Budget!$C$24*E14</f>
        <v>0</v>
      </c>
      <c r="G14" s="35" t="n">
        <f aca="false">Budget!$C$6*D14</f>
        <v>0</v>
      </c>
      <c r="H14" s="35" t="n">
        <f aca="false">0</f>
        <v>0</v>
      </c>
      <c r="I14" s="35" t="n">
        <f aca="false">F14+G14+H14</f>
        <v>0</v>
      </c>
      <c r="J14" s="35" t="n">
        <f aca="false">SUM($I$4:I14)</f>
        <v>41794.3001581941</v>
      </c>
      <c r="K14" s="23" t="n">
        <f aca="false">(Funnel!$M$5+Funnel!$M$6+Funnel!$M$7)*D14+Funnel!$M$8*E14</f>
        <v>0</v>
      </c>
      <c r="L14" s="23" t="n">
        <f aca="false">(Funnel!$O$5+Funnel!$O$6+Funnel!$O$7)*D14+Funnel!$O$8*E14</f>
        <v>0</v>
      </c>
      <c r="M14" s="23" t="n">
        <f aca="false">Assumptions!$D$9*MAX(0,MIN(C14,Funnel!$B$17)-MAX(B14,Funnel!$B$13)+1)/7</f>
        <v>0</v>
      </c>
      <c r="N14" s="24" t="n">
        <f aca="false">IF(M14&gt;0,L14/M14,IF(L14&gt;0,9.99,0))</f>
        <v>0</v>
      </c>
      <c r="O14" s="2" t="str">
        <f aca="false">IF(L14&gt;M14+0.5,"OVER 55 – pace down",IF(N14&gt;0.9,"Full",""))</f>
        <v/>
      </c>
      <c r="P14" s="26" t="n">
        <f aca="false">IF(A14-ROUNDUP(Funnel!$B$15/7,0)&gt;=1,INDEX($D$4:$D$14,A14-ROUNDUP(Funnel!$B$15/7,0)),0)*(Budget!$G$21+Budget!$G$22+Budget!$G$23)</f>
        <v>0</v>
      </c>
      <c r="Q14" s="26" t="n">
        <f aca="false">IF(A14-ROUNDUP(Funnel!$B$16/7,0)&gt;=1,INDEX($E$4:$E$14,A14-ROUNDUP(Funnel!$B$16/7,0)),0)*Budget!$G$24</f>
        <v>0</v>
      </c>
      <c r="R14" s="26" t="n">
        <f aca="false">P14+Q14</f>
        <v>0</v>
      </c>
      <c r="S14" s="26" t="n">
        <f aca="false">SUM($R$4:R14)</f>
        <v>100</v>
      </c>
    </row>
    <row r="15" customFormat="false" ht="15" hidden="false" customHeight="false" outlineLevel="0" collapsed="false">
      <c r="A15" s="22" t="s">
        <v>366</v>
      </c>
      <c r="D15" s="44" t="n">
        <f aca="false">SUM(D4:D14)</f>
        <v>1</v>
      </c>
      <c r="E15" s="44" t="n">
        <f aca="false">SUM(E4:E14)</f>
        <v>1</v>
      </c>
      <c r="F15" s="36" t="n">
        <f aca="false">SUM(F4:F14)</f>
        <v>34486.5858724798</v>
      </c>
      <c r="G15" s="36" t="n">
        <f aca="false">SUM(G4:G14)</f>
        <v>5200</v>
      </c>
      <c r="H15" s="36" t="n">
        <f aca="false">SUM(H4:H14)</f>
        <v>2107.71428571429</v>
      </c>
      <c r="I15" s="36" t="n">
        <f aca="false">SUM(I4:I14)</f>
        <v>41794.3001581941</v>
      </c>
      <c r="K15" s="29" t="n">
        <f aca="false">SUM(K4:K14)</f>
        <v>1544.01848202792</v>
      </c>
      <c r="L15" s="29" t="n">
        <f aca="false">SUM(L4:L14)</f>
        <v>289.506458238408</v>
      </c>
      <c r="M15" s="29" t="n">
        <f aca="false">SUM(M4:M14)</f>
        <v>322.142857142857</v>
      </c>
      <c r="O15" s="2" t="str">
        <f aca="false">IF(ABS(D15-1)&gt;0.001,"✗ spend shares must sum to 100%",IF(ABS(I15-Budget!C9)&gt;1,"✗ weeks ≠ planned spend","✓ ties to planned spend"))</f>
        <v>✓ ties to planned spend</v>
      </c>
      <c r="P15" s="29" t="n">
        <f aca="false">SUM(P4:P14)</f>
        <v>90</v>
      </c>
      <c r="Q15" s="29" t="n">
        <f aca="false">SUM(Q4:Q14)</f>
        <v>10</v>
      </c>
      <c r="R15" s="29" t="n">
        <f aca="false">SUM(R4:R14)</f>
        <v>100</v>
      </c>
    </row>
    <row r="16" customFormat="false" ht="30" hidden="false" customHeight="true" outlineLevel="0" collapsed="false">
      <c r="A16" s="9" t="s">
        <v>586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</row>
    <row r="19" customFormat="false" ht="15" hidden="false" customHeight="false" outlineLevel="0" collapsed="false">
      <c r="A19" s="22" t="s">
        <v>587</v>
      </c>
    </row>
    <row r="20" customFormat="false" ht="30" hidden="false" customHeight="true" outlineLevel="0" collapsed="false">
      <c r="A20" s="12"/>
      <c r="B20" s="12" t="s">
        <v>216</v>
      </c>
      <c r="C20" s="12" t="s">
        <v>588</v>
      </c>
      <c r="D20" s="12" t="s">
        <v>589</v>
      </c>
      <c r="E20" s="12" t="s">
        <v>590</v>
      </c>
      <c r="F20" s="12" t="s">
        <v>591</v>
      </c>
      <c r="G20" s="12" t="s">
        <v>592</v>
      </c>
      <c r="H20" s="12" t="s">
        <v>593</v>
      </c>
      <c r="I20" s="12" t="s">
        <v>366</v>
      </c>
    </row>
    <row r="21" customFormat="false" ht="15" hidden="false" customHeight="false" outlineLevel="0" collapsed="false">
      <c r="B21" s="2" t="str">
        <f aca="false">Budget!B29</f>
        <v>Organic (Tesla careers, BA Jobbörse, Google for Jobs)</v>
      </c>
      <c r="C21" s="35" t="n">
        <f aca="false">(SUMIFS(Channels!$X$5:$X$34,Channels!$B$5:$B$34,$B21)-SUMIFS(Channels!$X$5:$X$34,Channels!$B$5:$B$34,$B21,Channels!$C$5:$C$34,"Supervisors"))*$D$4+SUMIFS(Channels!$X$5:$X$34,Channels!$B$5:$B$34,$B21,Channels!$C$5:$C$34,"Supervisors")*$E$4+SUMIFS(Channels!$Y$5:$Y$34,Channels!$B$5:$B$34,$B21)*$D$4+0.5*SUMIFS(Channels!$Z$5:$Z$34,Channels!$B$5:$B$34,$B21)</f>
        <v>0</v>
      </c>
      <c r="D21" s="35" t="n">
        <f aca="false">(SUMIFS(Channels!$X$5:$X$34,Channels!$B$5:$B$34,$B21)-SUMIFS(Channels!$X$5:$X$34,Channels!$B$5:$B$34,$B21,Channels!$C$5:$C$34,"Supervisors"))*$D$5+SUMIFS(Channels!$X$5:$X$34,Channels!$B$5:$B$34,$B21,Channels!$C$5:$C$34,"Supervisors")*$E$5+SUMIFS(Channels!$Y$5:$Y$34,Channels!$B$5:$B$34,$B21)*$D$5+0.5*SUMIFS(Channels!$Z$5:$Z$34,Channels!$B$5:$B$34,$B21)</f>
        <v>0</v>
      </c>
      <c r="E21" s="35" t="n">
        <f aca="false">(SUMIFS(Channels!$X$5:$X$34,Channels!$B$5:$B$34,$B21)-SUMIFS(Channels!$X$5:$X$34,Channels!$B$5:$B$34,$B21,Channels!$C$5:$C$34,"Supervisors"))*$D$6+SUMIFS(Channels!$X$5:$X$34,Channels!$B$5:$B$34,$B21,Channels!$C$5:$C$34,"Supervisors")*$E$6+SUMIFS(Channels!$Y$5:$Y$34,Channels!$B$5:$B$34,$B21)*$D$6</f>
        <v>0</v>
      </c>
      <c r="F21" s="35" t="n">
        <f aca="false">(SUMIFS(Channels!$X$5:$X$34,Channels!$B$5:$B$34,$B21)-SUMIFS(Channels!$X$5:$X$34,Channels!$B$5:$B$34,$B21,Channels!$C$5:$C$34,"Supervisors"))*$D$7+SUMIFS(Channels!$X$5:$X$34,Channels!$B$5:$B$34,$B21,Channels!$C$5:$C$34,"Supervisors")*$E$7+SUMIFS(Channels!$Y$5:$Y$34,Channels!$B$5:$B$34,$B21)*$D$7</f>
        <v>0</v>
      </c>
      <c r="G21" s="35" t="n">
        <f aca="false">(SUMIFS(Channels!$X$5:$X$34,Channels!$B$5:$B$34,$B21)-SUMIFS(Channels!$X$5:$X$34,Channels!$B$5:$B$34,$B21,Channels!$C$5:$C$34,"Supervisors"))*$D$8+SUMIFS(Channels!$X$5:$X$34,Channels!$B$5:$B$34,$B21,Channels!$C$5:$C$34,"Supervisors")*$E$8+SUMIFS(Channels!$Y$5:$Y$34,Channels!$B$5:$B$34,$B21)*$D$8</f>
        <v>0</v>
      </c>
      <c r="H21" s="35" t="n">
        <f aca="false">(SUMIFS(Channels!$X$5:$X$34,Channels!$B$5:$B$34,$B21)-SUMIFS(Channels!$X$5:$X$34,Channels!$B$5:$B$34,$B21,Channels!$C$5:$C$34,"Supervisors"))*$D$9+SUMIFS(Channels!$X$5:$X$34,Channels!$B$5:$B$34,$B21,Channels!$C$5:$C$34,"Supervisors")*$E$9+SUMIFS(Channels!$Y$5:$Y$34,Channels!$B$5:$B$34,$B21)*$D$9</f>
        <v>0</v>
      </c>
      <c r="I21" s="36" t="n">
        <f aca="false">SUM(C21:H21)</f>
        <v>0</v>
      </c>
    </row>
    <row r="22" customFormat="false" ht="15" hidden="false" customHeight="false" outlineLevel="0" collapsed="false">
      <c r="B22" s="2" t="str">
        <f aca="false">Budget!B30</f>
        <v>Programmatic job ads (Joveo: Indeed, Jooble, Talent.com, Kimeta, meinestadt…)</v>
      </c>
      <c r="C22" s="35" t="n">
        <f aca="false">(SUMIFS(Channels!$X$5:$X$34,Channels!$B$5:$B$34,$B22)-SUMIFS(Channels!$X$5:$X$34,Channels!$B$5:$B$34,$B22,Channels!$C$5:$C$34,"Supervisors"))*$D$4+SUMIFS(Channels!$X$5:$X$34,Channels!$B$5:$B$34,$B22,Channels!$C$5:$C$34,"Supervisors")*$E$4+SUMIFS(Channels!$Y$5:$Y$34,Channels!$B$5:$B$34,$B22)*$D$4+0.5*SUMIFS(Channels!$Z$5:$Z$34,Channels!$B$5:$B$34,$B22)</f>
        <v>600</v>
      </c>
      <c r="D22" s="35" t="n">
        <f aca="false">(SUMIFS(Channels!$X$5:$X$34,Channels!$B$5:$B$34,$B22)-SUMIFS(Channels!$X$5:$X$34,Channels!$B$5:$B$34,$B22,Channels!$C$5:$C$34,"Supervisors"))*$D$5+SUMIFS(Channels!$X$5:$X$34,Channels!$B$5:$B$34,$B22,Channels!$C$5:$C$34,"Supervisors")*$E$5+SUMIFS(Channels!$Y$5:$Y$34,Channels!$B$5:$B$34,$B22)*$D$5+0.5*SUMIFS(Channels!$Z$5:$Z$34,Channels!$B$5:$B$34,$B22)</f>
        <v>600</v>
      </c>
      <c r="E22" s="35" t="n">
        <f aca="false">(SUMIFS(Channels!$X$5:$X$34,Channels!$B$5:$B$34,$B22)-SUMIFS(Channels!$X$5:$X$34,Channels!$B$5:$B$34,$B22,Channels!$C$5:$C$34,"Supervisors"))*$D$6+SUMIFS(Channels!$X$5:$X$34,Channels!$B$5:$B$34,$B22,Channels!$C$5:$C$34,"Supervisors")*$E$6+SUMIFS(Channels!$Y$5:$Y$34,Channels!$B$5:$B$34,$B22)*$D$6</f>
        <v>0</v>
      </c>
      <c r="F22" s="35" t="n">
        <f aca="false">(SUMIFS(Channels!$X$5:$X$34,Channels!$B$5:$B$34,$B22)-SUMIFS(Channels!$X$5:$X$34,Channels!$B$5:$B$34,$B22,Channels!$C$5:$C$34,"Supervisors"))*$D$7+SUMIFS(Channels!$X$5:$X$34,Channels!$B$5:$B$34,$B22,Channels!$C$5:$C$34,"Supervisors")*$E$7+SUMIFS(Channels!$Y$5:$Y$34,Channels!$B$5:$B$34,$B22)*$D$7</f>
        <v>0</v>
      </c>
      <c r="G22" s="35" t="n">
        <f aca="false">(SUMIFS(Channels!$X$5:$X$34,Channels!$B$5:$B$34,$B22)-SUMIFS(Channels!$X$5:$X$34,Channels!$B$5:$B$34,$B22,Channels!$C$5:$C$34,"Supervisors"))*$D$8+SUMIFS(Channels!$X$5:$X$34,Channels!$B$5:$B$34,$B22,Channels!$C$5:$C$34,"Supervisors")*$E$8+SUMIFS(Channels!$Y$5:$Y$34,Channels!$B$5:$B$34,$B22)*$D$8</f>
        <v>0</v>
      </c>
      <c r="H22" s="35" t="n">
        <f aca="false">(SUMIFS(Channels!$X$5:$X$34,Channels!$B$5:$B$34,$B22)-SUMIFS(Channels!$X$5:$X$34,Channels!$B$5:$B$34,$B22,Channels!$C$5:$C$34,"Supervisors"))*$D$9+SUMIFS(Channels!$X$5:$X$34,Channels!$B$5:$B$34,$B22,Channels!$C$5:$C$34,"Supervisors")*$E$9+SUMIFS(Channels!$Y$5:$Y$34,Channels!$B$5:$B$34,$B22)*$D$9</f>
        <v>0</v>
      </c>
      <c r="I22" s="36" t="n">
        <f aca="false">SUM(C22:H22)</f>
        <v>1200</v>
      </c>
    </row>
    <row r="23" customFormat="false" ht="15" hidden="false" customHeight="false" outlineLevel="0" collapsed="false">
      <c r="B23" s="2" t="str">
        <f aca="false">Budget!B31</f>
        <v>StepStone (30-day single ad)</v>
      </c>
      <c r="C23" s="35" t="n">
        <f aca="false">(SUMIFS(Channels!$X$5:$X$34,Channels!$B$5:$B$34,$B23)-SUMIFS(Channels!$X$5:$X$34,Channels!$B$5:$B$34,$B23,Channels!$C$5:$C$34,"Supervisors"))*$D$4+SUMIFS(Channels!$X$5:$X$34,Channels!$B$5:$B$34,$B23,Channels!$C$5:$C$34,"Supervisors")*$E$4+SUMIFS(Channels!$Y$5:$Y$34,Channels!$B$5:$B$34,$B23)*$D$4+0.5*SUMIFS(Channels!$Z$5:$Z$34,Channels!$B$5:$B$34,$B23)</f>
        <v>376.74</v>
      </c>
      <c r="D23" s="35" t="n">
        <f aca="false">(SUMIFS(Channels!$X$5:$X$34,Channels!$B$5:$B$34,$B23)-SUMIFS(Channels!$X$5:$X$34,Channels!$B$5:$B$34,$B23,Channels!$C$5:$C$34,"Supervisors"))*$D$5+SUMIFS(Channels!$X$5:$X$34,Channels!$B$5:$B$34,$B23,Channels!$C$5:$C$34,"Supervisors")*$E$5+SUMIFS(Channels!$Y$5:$Y$34,Channels!$B$5:$B$34,$B23)*$D$5+0.5*SUMIFS(Channels!$Z$5:$Z$34,Channels!$B$5:$B$34,$B23)</f>
        <v>521.64</v>
      </c>
      <c r="E23" s="35" t="n">
        <f aca="false">(SUMIFS(Channels!$X$5:$X$34,Channels!$B$5:$B$34,$B23)-SUMIFS(Channels!$X$5:$X$34,Channels!$B$5:$B$34,$B23,Channels!$C$5:$C$34,"Supervisors"))*$D$6+SUMIFS(Channels!$X$5:$X$34,Channels!$B$5:$B$34,$B23,Channels!$C$5:$C$34,"Supervisors")*$E$6+SUMIFS(Channels!$Y$5:$Y$34,Channels!$B$5:$B$34,$B23)*$D$6</f>
        <v>521.64</v>
      </c>
      <c r="F23" s="35" t="n">
        <f aca="false">(SUMIFS(Channels!$X$5:$X$34,Channels!$B$5:$B$34,$B23)-SUMIFS(Channels!$X$5:$X$34,Channels!$B$5:$B$34,$B23,Channels!$C$5:$C$34,"Supervisors"))*$D$7+SUMIFS(Channels!$X$5:$X$34,Channels!$B$5:$B$34,$B23,Channels!$C$5:$C$34,"Supervisors")*$E$7+SUMIFS(Channels!$Y$5:$Y$34,Channels!$B$5:$B$34,$B23)*$D$7</f>
        <v>521.64</v>
      </c>
      <c r="G23" s="35" t="n">
        <f aca="false">(SUMIFS(Channels!$X$5:$X$34,Channels!$B$5:$B$34,$B23)-SUMIFS(Channels!$X$5:$X$34,Channels!$B$5:$B$34,$B23,Channels!$C$5:$C$34,"Supervisors"))*$D$8+SUMIFS(Channels!$X$5:$X$34,Channels!$B$5:$B$34,$B23,Channels!$C$5:$C$34,"Supervisors")*$E$8+SUMIFS(Channels!$Y$5:$Y$34,Channels!$B$5:$B$34,$B23)*$D$8</f>
        <v>521.64</v>
      </c>
      <c r="H23" s="35" t="n">
        <f aca="false">(SUMIFS(Channels!$X$5:$X$34,Channels!$B$5:$B$34,$B23)-SUMIFS(Channels!$X$5:$X$34,Channels!$B$5:$B$34,$B23,Channels!$C$5:$C$34,"Supervisors"))*$D$9+SUMIFS(Channels!$X$5:$X$34,Channels!$B$5:$B$34,$B23,Channels!$C$5:$C$34,"Supervisors")*$E$9+SUMIFS(Channels!$Y$5:$Y$34,Channels!$B$5:$B$34,$B23)*$D$9</f>
        <v>434.7</v>
      </c>
      <c r="I23" s="36" t="n">
        <f aca="false">SUM(C23:H23)</f>
        <v>2898</v>
      </c>
    </row>
    <row r="24" customFormat="false" ht="15" hidden="false" customHeight="false" outlineLevel="0" collapsed="false">
      <c r="B24" s="2" t="str">
        <f aca="false">Budget!B32</f>
        <v>LinkedIn (promoted jobs + InMail)</v>
      </c>
      <c r="C24" s="35" t="n">
        <f aca="false">(SUMIFS(Channels!$X$5:$X$34,Channels!$B$5:$B$34,$B24)-SUMIFS(Channels!$X$5:$X$34,Channels!$B$5:$B$34,$B24,Channels!$C$5:$C$34,"Supervisors"))*$D$4+SUMIFS(Channels!$X$5:$X$34,Channels!$B$5:$B$34,$B24,Channels!$C$5:$C$34,"Supervisors")*$E$4+SUMIFS(Channels!$Y$5:$Y$34,Channels!$B$5:$B$34,$B24)*$D$4+0.5*SUMIFS(Channels!$Z$5:$Z$34,Channels!$B$5:$B$34,$B24)</f>
        <v>1465.41431372549</v>
      </c>
      <c r="D24" s="35" t="n">
        <f aca="false">(SUMIFS(Channels!$X$5:$X$34,Channels!$B$5:$B$34,$B24)-SUMIFS(Channels!$X$5:$X$34,Channels!$B$5:$B$34,$B24,Channels!$C$5:$C$34,"Supervisors"))*$D$5+SUMIFS(Channels!$X$5:$X$34,Channels!$B$5:$B$34,$B24,Channels!$C$5:$C$34,"Supervisors")*$E$5+SUMIFS(Channels!$Y$5:$Y$34,Channels!$B$5:$B$34,$B24)*$D$5+0.5*SUMIFS(Channels!$Z$5:$Z$34,Channels!$B$5:$B$34,$B24)</f>
        <v>2029.03520361991</v>
      </c>
      <c r="E24" s="35" t="n">
        <f aca="false">(SUMIFS(Channels!$X$5:$X$34,Channels!$B$5:$B$34,$B24)-SUMIFS(Channels!$X$5:$X$34,Channels!$B$5:$B$34,$B24,Channels!$C$5:$C$34,"Supervisors"))*$D$6+SUMIFS(Channels!$X$5:$X$34,Channels!$B$5:$B$34,$B24,Channels!$C$5:$C$34,"Supervisors")*$E$6+SUMIFS(Channels!$Y$5:$Y$34,Channels!$B$5:$B$34,$B24)*$D$6</f>
        <v>2029.03520361991</v>
      </c>
      <c r="F24" s="35" t="n">
        <f aca="false">(SUMIFS(Channels!$X$5:$X$34,Channels!$B$5:$B$34,$B24)-SUMIFS(Channels!$X$5:$X$34,Channels!$B$5:$B$34,$B24,Channels!$C$5:$C$34,"Supervisors"))*$D$7+SUMIFS(Channels!$X$5:$X$34,Channels!$B$5:$B$34,$B24,Channels!$C$5:$C$34,"Supervisors")*$E$7+SUMIFS(Channels!$Y$5:$Y$34,Channels!$B$5:$B$34,$B24)*$D$7</f>
        <v>2029.03520361991</v>
      </c>
      <c r="G24" s="35" t="n">
        <f aca="false">(SUMIFS(Channels!$X$5:$X$34,Channels!$B$5:$B$34,$B24)-SUMIFS(Channels!$X$5:$X$34,Channels!$B$5:$B$34,$B24,Channels!$C$5:$C$34,"Supervisors"))*$D$8+SUMIFS(Channels!$X$5:$X$34,Channels!$B$5:$B$34,$B24,Channels!$C$5:$C$34,"Supervisors")*$E$8+SUMIFS(Channels!$Y$5:$Y$34,Channels!$B$5:$B$34,$B24)*$D$8</f>
        <v>2029.03520361991</v>
      </c>
      <c r="H24" s="35" t="n">
        <f aca="false">(SUMIFS(Channels!$X$5:$X$34,Channels!$B$5:$B$34,$B24)-SUMIFS(Channels!$X$5:$X$34,Channels!$B$5:$B$34,$B24,Channels!$C$5:$C$34,"Supervisors"))*$D$9+SUMIFS(Channels!$X$5:$X$34,Channels!$B$5:$B$34,$B24,Channels!$C$5:$C$34,"Supervisors")*$E$9+SUMIFS(Channels!$Y$5:$Y$34,Channels!$B$5:$B$34,$B24)*$D$9</f>
        <v>918.803846153846</v>
      </c>
      <c r="I24" s="36" t="n">
        <f aca="false">SUM(C24:H24)</f>
        <v>10500.358974359</v>
      </c>
    </row>
    <row r="25" customFormat="false" ht="15" hidden="false" customHeight="false" outlineLevel="0" collapsed="false">
      <c r="B25" s="2" t="str">
        <f aca="false">Budget!B33</f>
        <v>Meta social (FB/IG lead ads, 75 km geo)</v>
      </c>
      <c r="C25" s="35" t="n">
        <f aca="false">(SUMIFS(Channels!$X$5:$X$34,Channels!$B$5:$B$34,$B25)-SUMIFS(Channels!$X$5:$X$34,Channels!$B$5:$B$34,$B25,Channels!$C$5:$C$34,"Supervisors"))*$D$4+SUMIFS(Channels!$X$5:$X$34,Channels!$B$5:$B$34,$B25,Channels!$C$5:$C$34,"Supervisors")*$E$4+SUMIFS(Channels!$Y$5:$Y$34,Channels!$B$5:$B$34,$B25)*$D$4+0.5*SUMIFS(Channels!$Z$5:$Z$34,Channels!$B$5:$B$34,$B25)</f>
        <v>279.566666666667</v>
      </c>
      <c r="D25" s="35" t="n">
        <f aca="false">(SUMIFS(Channels!$X$5:$X$34,Channels!$B$5:$B$34,$B25)-SUMIFS(Channels!$X$5:$X$34,Channels!$B$5:$B$34,$B25,Channels!$C$5:$C$34,"Supervisors"))*$D$5+SUMIFS(Channels!$X$5:$X$34,Channels!$B$5:$B$34,$B25,Channels!$C$5:$C$34,"Supervisors")*$E$5+SUMIFS(Channels!$Y$5:$Y$34,Channels!$B$5:$B$34,$B25)*$D$5+0.5*SUMIFS(Channels!$Z$5:$Z$34,Channels!$B$5:$B$34,$B25)</f>
        <v>329.4</v>
      </c>
      <c r="E25" s="35" t="n">
        <f aca="false">(SUMIFS(Channels!$X$5:$X$34,Channels!$B$5:$B$34,$B25)-SUMIFS(Channels!$X$5:$X$34,Channels!$B$5:$B$34,$B25,Channels!$C$5:$C$34,"Supervisors"))*$D$6+SUMIFS(Channels!$X$5:$X$34,Channels!$B$5:$B$34,$B25,Channels!$C$5:$C$34,"Supervisors")*$E$6+SUMIFS(Channels!$Y$5:$Y$34,Channels!$B$5:$B$34,$B25)*$D$6</f>
        <v>179.4</v>
      </c>
      <c r="F25" s="35" t="n">
        <f aca="false">(SUMIFS(Channels!$X$5:$X$34,Channels!$B$5:$B$34,$B25)-SUMIFS(Channels!$X$5:$X$34,Channels!$B$5:$B$34,$B25,Channels!$C$5:$C$34,"Supervisors"))*$D$7+SUMIFS(Channels!$X$5:$X$34,Channels!$B$5:$B$34,$B25,Channels!$C$5:$C$34,"Supervisors")*$E$7+SUMIFS(Channels!$Y$5:$Y$34,Channels!$B$5:$B$34,$B25)*$D$7</f>
        <v>179.4</v>
      </c>
      <c r="G25" s="35" t="n">
        <f aca="false">(SUMIFS(Channels!$X$5:$X$34,Channels!$B$5:$B$34,$B25)-SUMIFS(Channels!$X$5:$X$34,Channels!$B$5:$B$34,$B25,Channels!$C$5:$C$34,"Supervisors"))*$D$8+SUMIFS(Channels!$X$5:$X$34,Channels!$B$5:$B$34,$B25,Channels!$C$5:$C$34,"Supervisors")*$E$8+SUMIFS(Channels!$Y$5:$Y$34,Channels!$B$5:$B$34,$B25)*$D$8</f>
        <v>179.4</v>
      </c>
      <c r="H25" s="35" t="n">
        <f aca="false">(SUMIFS(Channels!$X$5:$X$34,Channels!$B$5:$B$34,$B25)-SUMIFS(Channels!$X$5:$X$34,Channels!$B$5:$B$34,$B25,Channels!$C$5:$C$34,"Supervisors"))*$D$9+SUMIFS(Channels!$X$5:$X$34,Channels!$B$5:$B$34,$B25,Channels!$C$5:$C$34,"Supervisors")*$E$9+SUMIFS(Channels!$Y$5:$Y$34,Channels!$B$5:$B$34,$B25)*$D$9</f>
        <v>149.5</v>
      </c>
      <c r="I25" s="36" t="n">
        <f aca="false">SUM(C25:H25)</f>
        <v>1296.66666666667</v>
      </c>
    </row>
    <row r="26" customFormat="false" ht="15" hidden="false" customHeight="false" outlineLevel="0" collapsed="false">
      <c r="B26" s="2" t="str">
        <f aca="false">Budget!B34</f>
        <v>Google Search ads (job-intent keywords)</v>
      </c>
      <c r="C26" s="35" t="n">
        <f aca="false">(SUMIFS(Channels!$X$5:$X$34,Channels!$B$5:$B$34,$B26)-SUMIFS(Channels!$X$5:$X$34,Channels!$B$5:$B$34,$B26,Channels!$C$5:$C$34,"Supervisors"))*$D$4+SUMIFS(Channels!$X$5:$X$34,Channels!$B$5:$B$34,$B26,Channels!$C$5:$C$34,"Supervisors")*$E$4+SUMIFS(Channels!$Y$5:$Y$34,Channels!$B$5:$B$34,$B26)*$D$4+0.5*SUMIFS(Channels!$Z$5:$Z$34,Channels!$B$5:$B$34,$B26)</f>
        <v>774.915966386555</v>
      </c>
      <c r="D26" s="35" t="n">
        <f aca="false">(SUMIFS(Channels!$X$5:$X$34,Channels!$B$5:$B$34,$B26)-SUMIFS(Channels!$X$5:$X$34,Channels!$B$5:$B$34,$B26,Channels!$C$5:$C$34,"Supervisors"))*$D$5+SUMIFS(Channels!$X$5:$X$34,Channels!$B$5:$B$34,$B26,Channels!$C$5:$C$34,"Supervisors")*$E$5+SUMIFS(Channels!$Y$5:$Y$34,Channels!$B$5:$B$34,$B26)*$D$5+0.5*SUMIFS(Channels!$Z$5:$Z$34,Channels!$B$5:$B$34,$B26)</f>
        <v>956.09243697479</v>
      </c>
      <c r="E26" s="35" t="n">
        <f aca="false">(SUMIFS(Channels!$X$5:$X$34,Channels!$B$5:$B$34,$B26)-SUMIFS(Channels!$X$5:$X$34,Channels!$B$5:$B$34,$B26,Channels!$C$5:$C$34,"Supervisors"))*$D$6+SUMIFS(Channels!$X$5:$X$34,Channels!$B$5:$B$34,$B26,Channels!$C$5:$C$34,"Supervisors")*$E$6+SUMIFS(Channels!$Y$5:$Y$34,Channels!$B$5:$B$34,$B26)*$D$6</f>
        <v>652.235294117647</v>
      </c>
      <c r="F26" s="35" t="n">
        <f aca="false">(SUMIFS(Channels!$X$5:$X$34,Channels!$B$5:$B$34,$B26)-SUMIFS(Channels!$X$5:$X$34,Channels!$B$5:$B$34,$B26,Channels!$C$5:$C$34,"Supervisors"))*$D$7+SUMIFS(Channels!$X$5:$X$34,Channels!$B$5:$B$34,$B26,Channels!$C$5:$C$34,"Supervisors")*$E$7+SUMIFS(Channels!$Y$5:$Y$34,Channels!$B$5:$B$34,$B26)*$D$7</f>
        <v>652.235294117647</v>
      </c>
      <c r="G26" s="35" t="n">
        <f aca="false">(SUMIFS(Channels!$X$5:$X$34,Channels!$B$5:$B$34,$B26)-SUMIFS(Channels!$X$5:$X$34,Channels!$B$5:$B$34,$B26,Channels!$C$5:$C$34,"Supervisors"))*$D$8+SUMIFS(Channels!$X$5:$X$34,Channels!$B$5:$B$34,$B26,Channels!$C$5:$C$34,"Supervisors")*$E$8+SUMIFS(Channels!$Y$5:$Y$34,Channels!$B$5:$B$34,$B26)*$D$8</f>
        <v>652.235294117647</v>
      </c>
      <c r="H26" s="35" t="n">
        <f aca="false">(SUMIFS(Channels!$X$5:$X$34,Channels!$B$5:$B$34,$B26)-SUMIFS(Channels!$X$5:$X$34,Channels!$B$5:$B$34,$B26,Channels!$C$5:$C$34,"Supervisors"))*$D$9+SUMIFS(Channels!$X$5:$X$34,Channels!$B$5:$B$34,$B26,Channels!$C$5:$C$34,"Supervisors")*$E$9+SUMIFS(Channels!$Y$5:$Y$34,Channels!$B$5:$B$34,$B26)*$D$9</f>
        <v>377.142857142857</v>
      </c>
      <c r="I26" s="36" t="n">
        <f aca="false">SUM(C26:H26)</f>
        <v>4064.85714285714</v>
      </c>
    </row>
    <row r="27" customFormat="false" ht="15" hidden="false" customHeight="false" outlineLevel="0" collapsed="false">
      <c r="B27" s="2" t="str">
        <f aca="false">Budget!B35</f>
        <v>I1a Talent rediscovery (past applicants in ATS)</v>
      </c>
      <c r="C27" s="35" t="n">
        <f aca="false">(SUMIFS(Channels!$X$5:$X$34,Channels!$B$5:$B$34,$B27)-SUMIFS(Channels!$X$5:$X$34,Channels!$B$5:$B$34,$B27,Channels!$C$5:$C$34,"Supervisors"))*$D$4+SUMIFS(Channels!$X$5:$X$34,Channels!$B$5:$B$34,$B27,Channels!$C$5:$C$34,"Supervisors")*$E$4+SUMIFS(Channels!$Y$5:$Y$34,Channels!$B$5:$B$34,$B27)*$D$4+0.5*SUMIFS(Channels!$Z$5:$Z$34,Channels!$B$5:$B$34,$B27)</f>
        <v>46.4176470588235</v>
      </c>
      <c r="D27" s="35" t="n">
        <f aca="false">(SUMIFS(Channels!$X$5:$X$34,Channels!$B$5:$B$34,$B27)-SUMIFS(Channels!$X$5:$X$34,Channels!$B$5:$B$34,$B27,Channels!$C$5:$C$34,"Supervisors"))*$D$5+SUMIFS(Channels!$X$5:$X$34,Channels!$B$5:$B$34,$B27,Channels!$C$5:$C$34,"Supervisors")*$E$5+SUMIFS(Channels!$Y$5:$Y$34,Channels!$B$5:$B$34,$B27)*$D$5+0.5*SUMIFS(Channels!$Z$5:$Z$34,Channels!$B$5:$B$34,$B27)</f>
        <v>64.2705882352941</v>
      </c>
      <c r="E27" s="35" t="n">
        <f aca="false">(SUMIFS(Channels!$X$5:$X$34,Channels!$B$5:$B$34,$B27)-SUMIFS(Channels!$X$5:$X$34,Channels!$B$5:$B$34,$B27,Channels!$C$5:$C$34,"Supervisors"))*$D$6+SUMIFS(Channels!$X$5:$X$34,Channels!$B$5:$B$34,$B27,Channels!$C$5:$C$34,"Supervisors")*$E$6+SUMIFS(Channels!$Y$5:$Y$34,Channels!$B$5:$B$34,$B27)*$D$6</f>
        <v>64.2705882352941</v>
      </c>
      <c r="F27" s="35" t="n">
        <f aca="false">(SUMIFS(Channels!$X$5:$X$34,Channels!$B$5:$B$34,$B27)-SUMIFS(Channels!$X$5:$X$34,Channels!$B$5:$B$34,$B27,Channels!$C$5:$C$34,"Supervisors"))*$D$7+SUMIFS(Channels!$X$5:$X$34,Channels!$B$5:$B$34,$B27,Channels!$C$5:$C$34,"Supervisors")*$E$7+SUMIFS(Channels!$Y$5:$Y$34,Channels!$B$5:$B$34,$B27)*$D$7</f>
        <v>64.2705882352941</v>
      </c>
      <c r="G27" s="35" t="n">
        <f aca="false">(SUMIFS(Channels!$X$5:$X$34,Channels!$B$5:$B$34,$B27)-SUMIFS(Channels!$X$5:$X$34,Channels!$B$5:$B$34,$B27,Channels!$C$5:$C$34,"Supervisors"))*$D$8+SUMIFS(Channels!$X$5:$X$34,Channels!$B$5:$B$34,$B27,Channels!$C$5:$C$34,"Supervisors")*$E$8+SUMIFS(Channels!$Y$5:$Y$34,Channels!$B$5:$B$34,$B27)*$D$8</f>
        <v>64.2705882352941</v>
      </c>
      <c r="H27" s="35" t="n">
        <f aca="false">(SUMIFS(Channels!$X$5:$X$34,Channels!$B$5:$B$34,$B27)-SUMIFS(Channels!$X$5:$X$34,Channels!$B$5:$B$34,$B27,Channels!$C$5:$C$34,"Supervisors"))*$D$9+SUMIFS(Channels!$X$5:$X$34,Channels!$B$5:$B$34,$B27,Channels!$C$5:$C$34,"Supervisors")*$E$9+SUMIFS(Channels!$Y$5:$Y$34,Channels!$B$5:$B$34,$B27)*$D$9</f>
        <v>46.5</v>
      </c>
      <c r="I27" s="36" t="n">
        <f aca="false">SUM(C27:H27)</f>
        <v>350</v>
      </c>
    </row>
    <row r="28" customFormat="false" ht="15" hidden="false" customHeight="false" outlineLevel="0" collapsed="false">
      <c r="B28" s="2" t="str">
        <f aca="false">Budget!B36</f>
        <v>I1b Employee referral sprint (bonus on hire)</v>
      </c>
      <c r="C28" s="35" t="n">
        <f aca="false">(SUMIFS(Channels!$X$5:$X$34,Channels!$B$5:$B$34,$B28)-SUMIFS(Channels!$X$5:$X$34,Channels!$B$5:$B$34,$B28,Channels!$C$5:$C$34,"Supervisors"))*$D$4+SUMIFS(Channels!$X$5:$X$34,Channels!$B$5:$B$34,$B28,Channels!$C$5:$C$34,"Supervisors")*$E$4+SUMIFS(Channels!$Y$5:$Y$34,Channels!$B$5:$B$34,$B28)*$D$4+0.5*SUMIFS(Channels!$Z$5:$Z$34,Channels!$B$5:$B$34,$B28)</f>
        <v>681.531045955882</v>
      </c>
      <c r="D28" s="35" t="n">
        <f aca="false">(SUMIFS(Channels!$X$5:$X$34,Channels!$B$5:$B$34,$B28)-SUMIFS(Channels!$X$5:$X$34,Channels!$B$5:$B$34,$B28,Channels!$C$5:$C$34,"Supervisors"))*$D$5+SUMIFS(Channels!$X$5:$X$34,Channels!$B$5:$B$34,$B28,Channels!$C$5:$C$34,"Supervisors")*$E$5+SUMIFS(Channels!$Y$5:$Y$34,Channels!$B$5:$B$34,$B28)*$D$5+0.5*SUMIFS(Channels!$Z$5:$Z$34,Channels!$B$5:$B$34,$B28)</f>
        <v>943.658371323529</v>
      </c>
      <c r="E28" s="35" t="n">
        <f aca="false">(SUMIFS(Channels!$X$5:$X$34,Channels!$B$5:$B$34,$B28)-SUMIFS(Channels!$X$5:$X$34,Channels!$B$5:$B$34,$B28,Channels!$C$5:$C$34,"Supervisors"))*$D$6+SUMIFS(Channels!$X$5:$X$34,Channels!$B$5:$B$34,$B28,Channels!$C$5:$C$34,"Supervisors")*$E$6+SUMIFS(Channels!$Y$5:$Y$34,Channels!$B$5:$B$34,$B28)*$D$6</f>
        <v>943.658371323529</v>
      </c>
      <c r="F28" s="35" t="n">
        <f aca="false">(SUMIFS(Channels!$X$5:$X$34,Channels!$B$5:$B$34,$B28)-SUMIFS(Channels!$X$5:$X$34,Channels!$B$5:$B$34,$B28,Channels!$C$5:$C$34,"Supervisors"))*$D$7+SUMIFS(Channels!$X$5:$X$34,Channels!$B$5:$B$34,$B28,Channels!$C$5:$C$34,"Supervisors")*$E$7+SUMIFS(Channels!$Y$5:$Y$34,Channels!$B$5:$B$34,$B28)*$D$7</f>
        <v>943.658371323529</v>
      </c>
      <c r="G28" s="35" t="n">
        <f aca="false">(SUMIFS(Channels!$X$5:$X$34,Channels!$B$5:$B$34,$B28)-SUMIFS(Channels!$X$5:$X$34,Channels!$B$5:$B$34,$B28,Channels!$C$5:$C$34,"Supervisors"))*$D$8+SUMIFS(Channels!$X$5:$X$34,Channels!$B$5:$B$34,$B28,Channels!$C$5:$C$34,"Supervisors")*$E$8+SUMIFS(Channels!$Y$5:$Y$34,Channels!$B$5:$B$34,$B28)*$D$8</f>
        <v>943.658371323529</v>
      </c>
      <c r="H28" s="35" t="n">
        <f aca="false">(SUMIFS(Channels!$X$5:$X$34,Channels!$B$5:$B$34,$B28)-SUMIFS(Channels!$X$5:$X$34,Channels!$B$5:$B$34,$B28,Channels!$C$5:$C$34,"Supervisors"))*$D$9+SUMIFS(Channels!$X$5:$X$34,Channels!$B$5:$B$34,$B28,Channels!$C$5:$C$34,"Supervisors")*$E$9+SUMIFS(Channels!$Y$5:$Y$34,Channels!$B$5:$B$34,$B28)*$D$9</f>
        <v>624.39609375</v>
      </c>
      <c r="I28" s="36" t="n">
        <f aca="false">SUM(C28:H28)</f>
        <v>5080.560625</v>
      </c>
    </row>
    <row r="29" customFormat="false" ht="15" hidden="false" customHeight="false" outlineLevel="0" collapsed="false">
      <c r="B29" s="2" t="str">
        <f aca="false">Budget!B37</f>
        <v>I2 Handwerk → Industrie (construction electricians)</v>
      </c>
      <c r="C29" s="35" t="n">
        <f aca="false">(SUMIFS(Channels!$X$5:$X$34,Channels!$B$5:$B$34,$B29)-SUMIFS(Channels!$X$5:$X$34,Channels!$B$5:$B$34,$B29,Channels!$C$5:$C$34,"Supervisors"))*$D$4+SUMIFS(Channels!$X$5:$X$34,Channels!$B$5:$B$34,$B29,Channels!$C$5:$C$34,"Supervisors")*$E$4+SUMIFS(Channels!$Y$5:$Y$34,Channels!$B$5:$B$34,$B29)*$D$4+0.5*SUMIFS(Channels!$Z$5:$Z$34,Channels!$B$5:$B$34,$B29)</f>
        <v>1326</v>
      </c>
      <c r="D29" s="35" t="n">
        <f aca="false">(SUMIFS(Channels!$X$5:$X$34,Channels!$B$5:$B$34,$B29)-SUMIFS(Channels!$X$5:$X$34,Channels!$B$5:$B$34,$B29,Channels!$C$5:$C$34,"Supervisors"))*$D$5+SUMIFS(Channels!$X$5:$X$34,Channels!$B$5:$B$34,$B29,Channels!$C$5:$C$34,"Supervisors")*$E$5+SUMIFS(Channels!$Y$5:$Y$34,Channels!$B$5:$B$34,$B29)*$D$5+0.5*SUMIFS(Channels!$Z$5:$Z$34,Channels!$B$5:$B$34,$B29)</f>
        <v>1836</v>
      </c>
      <c r="E29" s="35" t="n">
        <f aca="false">(SUMIFS(Channels!$X$5:$X$34,Channels!$B$5:$B$34,$B29)-SUMIFS(Channels!$X$5:$X$34,Channels!$B$5:$B$34,$B29,Channels!$C$5:$C$34,"Supervisors"))*$D$6+SUMIFS(Channels!$X$5:$X$34,Channels!$B$5:$B$34,$B29,Channels!$C$5:$C$34,"Supervisors")*$E$6+SUMIFS(Channels!$Y$5:$Y$34,Channels!$B$5:$B$34,$B29)*$D$6</f>
        <v>1836</v>
      </c>
      <c r="F29" s="35" t="n">
        <f aca="false">(SUMIFS(Channels!$X$5:$X$34,Channels!$B$5:$B$34,$B29)-SUMIFS(Channels!$X$5:$X$34,Channels!$B$5:$B$34,$B29,Channels!$C$5:$C$34,"Supervisors"))*$D$7+SUMIFS(Channels!$X$5:$X$34,Channels!$B$5:$B$34,$B29,Channels!$C$5:$C$34,"Supervisors")*$E$7+SUMIFS(Channels!$Y$5:$Y$34,Channels!$B$5:$B$34,$B29)*$D$7</f>
        <v>1836</v>
      </c>
      <c r="G29" s="35" t="n">
        <f aca="false">(SUMIFS(Channels!$X$5:$X$34,Channels!$B$5:$B$34,$B29)-SUMIFS(Channels!$X$5:$X$34,Channels!$B$5:$B$34,$B29,Channels!$C$5:$C$34,"Supervisors"))*$D$8+SUMIFS(Channels!$X$5:$X$34,Channels!$B$5:$B$34,$B29,Channels!$C$5:$C$34,"Supervisors")*$E$8+SUMIFS(Channels!$Y$5:$Y$34,Channels!$B$5:$B$34,$B29)*$D$8</f>
        <v>1836</v>
      </c>
      <c r="H29" s="35" t="n">
        <f aca="false">(SUMIFS(Channels!$X$5:$X$34,Channels!$B$5:$B$34,$B29)-SUMIFS(Channels!$X$5:$X$34,Channels!$B$5:$B$34,$B29,Channels!$C$5:$C$34,"Supervisors"))*$D$9+SUMIFS(Channels!$X$5:$X$34,Channels!$B$5:$B$34,$B29,Channels!$C$5:$C$34,"Supervisors")*$E$9+SUMIFS(Channels!$Y$5:$Y$34,Channels!$B$5:$B$34,$B29)*$D$9</f>
        <v>1530</v>
      </c>
      <c r="I29" s="36" t="n">
        <f aca="false">SUM(C29:H29)</f>
        <v>10200</v>
      </c>
    </row>
    <row r="30" customFormat="false" ht="15" hidden="false" customHeight="false" outlineLevel="0" collapsed="false">
      <c r="B30" s="2" t="str">
        <f aca="false">Budget!B38</f>
        <v>I3 Polish border corridor + PL pre-screener</v>
      </c>
      <c r="C30" s="35" t="n">
        <f aca="false">(SUMIFS(Channels!$X$5:$X$34,Channels!$B$5:$B$34,$B30)-SUMIFS(Channels!$X$5:$X$34,Channels!$B$5:$B$34,$B30,Channels!$C$5:$C$34,"Supervisors"))*$D$4+SUMIFS(Channels!$X$5:$X$34,Channels!$B$5:$B$34,$B30,Channels!$C$5:$C$34,"Supervisors")*$E$4+SUMIFS(Channels!$Y$5:$Y$34,Channels!$B$5:$B$34,$B30)*$D$4+0.5*SUMIFS(Channels!$Z$5:$Z$34,Channels!$B$5:$B$34,$B30)</f>
        <v>806.501377410468</v>
      </c>
      <c r="D30" s="35" t="n">
        <f aca="false">(SUMIFS(Channels!$X$5:$X$34,Channels!$B$5:$B$34,$B30)-SUMIFS(Channels!$X$5:$X$34,Channels!$B$5:$B$34,$B30,Channels!$C$5:$C$34,"Supervisors"))*$D$5+SUMIFS(Channels!$X$5:$X$34,Channels!$B$5:$B$34,$B30,Channels!$C$5:$C$34,"Supervisors")*$E$5+SUMIFS(Channels!$Y$5:$Y$34,Channels!$B$5:$B$34,$B30)*$D$5+0.5*SUMIFS(Channels!$Z$5:$Z$34,Channels!$B$5:$B$34,$B30)</f>
        <v>1116.69421487603</v>
      </c>
      <c r="E30" s="35" t="n">
        <f aca="false">(SUMIFS(Channels!$X$5:$X$34,Channels!$B$5:$B$34,$B30)-SUMIFS(Channels!$X$5:$X$34,Channels!$B$5:$B$34,$B30,Channels!$C$5:$C$34,"Supervisors"))*$D$6+SUMIFS(Channels!$X$5:$X$34,Channels!$B$5:$B$34,$B30,Channels!$C$5:$C$34,"Supervisors")*$E$6+SUMIFS(Channels!$Y$5:$Y$34,Channels!$B$5:$B$34,$B30)*$D$6</f>
        <v>1116.69421487603</v>
      </c>
      <c r="F30" s="35" t="n">
        <f aca="false">(SUMIFS(Channels!$X$5:$X$34,Channels!$B$5:$B$34,$B30)-SUMIFS(Channels!$X$5:$X$34,Channels!$B$5:$B$34,$B30,Channels!$C$5:$C$34,"Supervisors"))*$D$7+SUMIFS(Channels!$X$5:$X$34,Channels!$B$5:$B$34,$B30,Channels!$C$5:$C$34,"Supervisors")*$E$7+SUMIFS(Channels!$Y$5:$Y$34,Channels!$B$5:$B$34,$B30)*$D$7</f>
        <v>1116.69421487603</v>
      </c>
      <c r="G30" s="35" t="n">
        <f aca="false">(SUMIFS(Channels!$X$5:$X$34,Channels!$B$5:$B$34,$B30)-SUMIFS(Channels!$X$5:$X$34,Channels!$B$5:$B$34,$B30,Channels!$C$5:$C$34,"Supervisors"))*$D$8+SUMIFS(Channels!$X$5:$X$34,Channels!$B$5:$B$34,$B30,Channels!$C$5:$C$34,"Supervisors")*$E$8+SUMIFS(Channels!$Y$5:$Y$34,Channels!$B$5:$B$34,$B30)*$D$8</f>
        <v>1116.69421487603</v>
      </c>
      <c r="H30" s="35" t="n">
        <f aca="false">(SUMIFS(Channels!$X$5:$X$34,Channels!$B$5:$B$34,$B30)-SUMIFS(Channels!$X$5:$X$34,Channels!$B$5:$B$34,$B30,Channels!$C$5:$C$34,"Supervisors"))*$D$9+SUMIFS(Channels!$X$5:$X$34,Channels!$B$5:$B$34,$B30,Channels!$C$5:$C$34,"Supervisors")*$E$9+SUMIFS(Channels!$Y$5:$Y$34,Channels!$B$5:$B$34,$B30)*$D$9</f>
        <v>930.578512396694</v>
      </c>
      <c r="I30" s="36" t="n">
        <f aca="false">SUM(C30:H30)</f>
        <v>6203.8567493113</v>
      </c>
    </row>
    <row r="31" customFormat="false" ht="15" hidden="false" customHeight="false" outlineLevel="0" collapsed="false">
      <c r="B31" s="22" t="s">
        <v>366</v>
      </c>
      <c r="C31" s="36" t="n">
        <f aca="false">SUM(C21:C30)</f>
        <v>6357.08701720389</v>
      </c>
      <c r="D31" s="36" t="n">
        <f aca="false">SUM(D21:D30)</f>
        <v>8396.79081502956</v>
      </c>
      <c r="E31" s="36" t="n">
        <f aca="false">SUM(E21:E30)</f>
        <v>7342.93367217241</v>
      </c>
      <c r="F31" s="36" t="n">
        <f aca="false">SUM(F21:F30)</f>
        <v>7342.93367217241</v>
      </c>
      <c r="G31" s="36" t="n">
        <f aca="false">SUM(G21:G30)</f>
        <v>7342.93367217241</v>
      </c>
      <c r="H31" s="36" t="n">
        <f aca="false">SUM(H21:H30)</f>
        <v>5011.6213094434</v>
      </c>
      <c r="I31" s="36" t="n">
        <f aca="false">SUM(I21:I30)</f>
        <v>41794.3001581941</v>
      </c>
    </row>
  </sheetData>
  <mergeCells count="1">
    <mergeCell ref="A16:S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594</v>
      </c>
    </row>
    <row r="2" customFormat="false" ht="15" hidden="false" customHeight="false" outlineLevel="0" collapsed="false">
      <c r="A2" s="2" t="s">
        <v>595</v>
      </c>
    </row>
    <row r="4" customFormat="false" ht="45" hidden="false" customHeight="true" outlineLevel="0" collapsed="false">
      <c r="A4" s="12" t="s">
        <v>22</v>
      </c>
      <c r="B4" s="12" t="s">
        <v>216</v>
      </c>
      <c r="C4" s="12" t="s">
        <v>217</v>
      </c>
      <c r="D4" s="12" t="s">
        <v>596</v>
      </c>
      <c r="E4" s="12" t="s">
        <v>597</v>
      </c>
      <c r="F4" s="12" t="s">
        <v>598</v>
      </c>
      <c r="G4" s="12" t="s">
        <v>599</v>
      </c>
      <c r="H4" s="12" t="s">
        <v>600</v>
      </c>
      <c r="I4" s="12" t="s">
        <v>601</v>
      </c>
      <c r="J4" s="12" t="s">
        <v>602</v>
      </c>
      <c r="K4" s="12" t="s">
        <v>603</v>
      </c>
      <c r="L4" s="12" t="s">
        <v>604</v>
      </c>
      <c r="M4" s="12" t="s">
        <v>605</v>
      </c>
      <c r="N4" s="12" t="s">
        <v>606</v>
      </c>
      <c r="O4" s="12" t="s">
        <v>607</v>
      </c>
      <c r="P4" s="12" t="s">
        <v>608</v>
      </c>
      <c r="Q4" s="12" t="s">
        <v>609</v>
      </c>
      <c r="R4" s="12" t="s">
        <v>610</v>
      </c>
      <c r="S4" s="12" t="s">
        <v>611</v>
      </c>
      <c r="T4" s="12" t="s">
        <v>612</v>
      </c>
      <c r="U4" s="12" t="s">
        <v>613</v>
      </c>
      <c r="V4" s="12" t="s">
        <v>614</v>
      </c>
      <c r="W4" s="12" t="s">
        <v>615</v>
      </c>
      <c r="X4" s="12" t="s">
        <v>616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7" t="n">
        <f aca="false">Channels!H5</f>
        <v>0</v>
      </c>
      <c r="E5" s="24" t="n">
        <f aca="false">Channels!I5</f>
        <v>0.08</v>
      </c>
      <c r="F5" s="35" t="n">
        <f aca="false">Channels!O5</f>
        <v>0</v>
      </c>
      <c r="G5" s="17"/>
      <c r="H5" s="15"/>
      <c r="I5" s="15"/>
      <c r="J5" s="17"/>
      <c r="K5" s="15"/>
      <c r="L5" s="15"/>
      <c r="M5" s="17"/>
      <c r="N5" s="15"/>
      <c r="O5" s="15"/>
      <c r="P5" s="35" t="n">
        <f aca="false">G5+J5+M5</f>
        <v>0</v>
      </c>
      <c r="Q5" s="23" t="n">
        <f aca="false">H5+K5+N5</f>
        <v>0</v>
      </c>
      <c r="R5" s="23" t="n">
        <f aca="false">I5+L5+O5</f>
        <v>0</v>
      </c>
      <c r="S5" s="37" t="str">
        <f aca="false">IF(Q5&gt;0,P5/Q5,"")</f>
        <v/>
      </c>
      <c r="T5" s="24" t="str">
        <f aca="false">IF(Q5&gt;0,R5/Q5,"")</f>
        <v/>
      </c>
      <c r="U5" s="24" t="n">
        <f aca="false">(R5+Assumptions!$D$88*E5)/(Q5+Assumptions!$D$88)</f>
        <v>0.08</v>
      </c>
      <c r="V5" s="35" t="n">
        <f aca="false">IF(Q5&gt;=Assumptions!$D$82,S5,D5)/U5</f>
        <v>0</v>
      </c>
      <c r="W5" s="45" t="str">
        <f aca="false">IF(F5&gt;0,V5/F5,"")</f>
        <v/>
      </c>
      <c r="X5" s="2" t="str">
        <f aca="false">IF(F5=0,"Free – monitor quality",IF(AND(P5&lt;Assumptions!$D$81,Q5&lt;Assumptions!$D$82),"Wait – too little data",IF(OR(W5&gt;=Assumptions!$D$85,AND(R5=0,P5&gt;=Assumptions!$D$86)),"SWITCH OFF",IF(W5&gt;=Assumptions!$D$84,"CUT 50%",IF(W5&lt;=Assumptions!$D$83,"ADD +"&amp;TEXT(Assumptions!$D$87,"0%")&amp;" (if slots free)","HOLD")))))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7" t="n">
        <f aca="false">Channels!H6</f>
        <v>0</v>
      </c>
      <c r="E6" s="24" t="n">
        <f aca="false">Channels!I6</f>
        <v>0.18</v>
      </c>
      <c r="F6" s="35" t="n">
        <f aca="false">Channels!O6</f>
        <v>0</v>
      </c>
      <c r="G6" s="17"/>
      <c r="H6" s="15"/>
      <c r="I6" s="15"/>
      <c r="J6" s="17"/>
      <c r="K6" s="15"/>
      <c r="L6" s="15"/>
      <c r="M6" s="17"/>
      <c r="N6" s="15"/>
      <c r="O6" s="15"/>
      <c r="P6" s="35" t="n">
        <f aca="false">G6+J6+M6</f>
        <v>0</v>
      </c>
      <c r="Q6" s="23" t="n">
        <f aca="false">H6+K6+N6</f>
        <v>0</v>
      </c>
      <c r="R6" s="23" t="n">
        <f aca="false">I6+L6+O6</f>
        <v>0</v>
      </c>
      <c r="S6" s="37" t="str">
        <f aca="false">IF(Q6&gt;0,P6/Q6,"")</f>
        <v/>
      </c>
      <c r="T6" s="24" t="str">
        <f aca="false">IF(Q6&gt;0,R6/Q6,"")</f>
        <v/>
      </c>
      <c r="U6" s="24" t="n">
        <f aca="false">(R6+Assumptions!$D$88*E6)/(Q6+Assumptions!$D$88)</f>
        <v>0.18</v>
      </c>
      <c r="V6" s="35" t="n">
        <f aca="false">IF(Q6&gt;=Assumptions!$D$82,S6,D6)/U6</f>
        <v>0</v>
      </c>
      <c r="W6" s="45" t="str">
        <f aca="false">IF(F6&gt;0,V6/F6,"")</f>
        <v/>
      </c>
      <c r="X6" s="2" t="str">
        <f aca="false">IF(F6=0,"Free – monitor quality",IF(AND(P6&lt;Assumptions!$D$81,Q6&lt;Assumptions!$D$82),"Wait – too little data",IF(OR(W6&gt;=Assumptions!$D$85,AND(R6=0,P6&gt;=Assumptions!$D$86)),"SWITCH OFF",IF(W6&gt;=Assumptions!$D$84,"CUT 50%",IF(W6&lt;=Assumptions!$D$83,"ADD +"&amp;TEXT(Assumptions!$D$87,"0%")&amp;" (if slots free)","HOLD")))))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7" t="n">
        <f aca="false">Channels!H7</f>
        <v>0</v>
      </c>
      <c r="E7" s="24" t="n">
        <f aca="false">Channels!I7</f>
        <v>0.1</v>
      </c>
      <c r="F7" s="35" t="n">
        <f aca="false">Channels!O7</f>
        <v>0</v>
      </c>
      <c r="G7" s="17"/>
      <c r="H7" s="15"/>
      <c r="I7" s="15"/>
      <c r="J7" s="17"/>
      <c r="K7" s="15"/>
      <c r="L7" s="15"/>
      <c r="M7" s="17"/>
      <c r="N7" s="15"/>
      <c r="O7" s="15"/>
      <c r="P7" s="35" t="n">
        <f aca="false">G7+J7+M7</f>
        <v>0</v>
      </c>
      <c r="Q7" s="23" t="n">
        <f aca="false">H7+K7+N7</f>
        <v>0</v>
      </c>
      <c r="R7" s="23" t="n">
        <f aca="false">I7+L7+O7</f>
        <v>0</v>
      </c>
      <c r="S7" s="37" t="str">
        <f aca="false">IF(Q7&gt;0,P7/Q7,"")</f>
        <v/>
      </c>
      <c r="T7" s="24" t="str">
        <f aca="false">IF(Q7&gt;0,R7/Q7,"")</f>
        <v/>
      </c>
      <c r="U7" s="24" t="n">
        <f aca="false">(R7+Assumptions!$D$88*E7)/(Q7+Assumptions!$D$88)</f>
        <v>0.1</v>
      </c>
      <c r="V7" s="35" t="n">
        <f aca="false">IF(Q7&gt;=Assumptions!$D$82,S7,D7)/U7</f>
        <v>0</v>
      </c>
      <c r="W7" s="45" t="str">
        <f aca="false">IF(F7&gt;0,V7/F7,"")</f>
        <v/>
      </c>
      <c r="X7" s="2" t="str">
        <f aca="false">IF(F7=0,"Free – monitor quality",IF(AND(P7&lt;Assumptions!$D$81,Q7&lt;Assumptions!$D$82),"Wait – too little data",IF(OR(W7&gt;=Assumptions!$D$85,AND(R7=0,P7&gt;=Assumptions!$D$86)),"SWITCH OFF",IF(W7&gt;=Assumptions!$D$84,"CUT 50%",IF(W7&lt;=Assumptions!$D$83,"ADD +"&amp;TEXT(Assumptions!$D$87,"0%")&amp;" (if slots free)","HOLD")))))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7" t="n">
        <f aca="false">Channels!H8</f>
        <v>0</v>
      </c>
      <c r="E8" s="24" t="n">
        <f aca="false">Channels!I8</f>
        <v>0.08</v>
      </c>
      <c r="F8" s="35" t="n">
        <f aca="false">Channels!O8</f>
        <v>0</v>
      </c>
      <c r="G8" s="17"/>
      <c r="H8" s="15"/>
      <c r="I8" s="15"/>
      <c r="J8" s="17"/>
      <c r="K8" s="15"/>
      <c r="L8" s="15"/>
      <c r="M8" s="17"/>
      <c r="N8" s="15"/>
      <c r="O8" s="15"/>
      <c r="P8" s="35" t="n">
        <f aca="false">G8+J8+M8</f>
        <v>0</v>
      </c>
      <c r="Q8" s="23" t="n">
        <f aca="false">H8+K8+N8</f>
        <v>0</v>
      </c>
      <c r="R8" s="23" t="n">
        <f aca="false">I8+L8+O8</f>
        <v>0</v>
      </c>
      <c r="S8" s="37" t="str">
        <f aca="false">IF(Q8&gt;0,P8/Q8,"")</f>
        <v/>
      </c>
      <c r="T8" s="24" t="str">
        <f aca="false">IF(Q8&gt;0,R8/Q8,"")</f>
        <v/>
      </c>
      <c r="U8" s="24" t="n">
        <f aca="false">(R8+Assumptions!$D$88*E8)/(Q8+Assumptions!$D$88)</f>
        <v>0.08</v>
      </c>
      <c r="V8" s="35" t="n">
        <f aca="false">IF(Q8&gt;=Assumptions!$D$82,S8,D8)/U8</f>
        <v>0</v>
      </c>
      <c r="W8" s="45" t="str">
        <f aca="false">IF(F8&gt;0,V8/F8,"")</f>
        <v/>
      </c>
      <c r="X8" s="2" t="str">
        <f aca="false">IF(F8=0,"Free – monitor quality",IF(AND(P8&lt;Assumptions!$D$81,Q8&lt;Assumptions!$D$82),"Wait – too little data",IF(OR(W8&gt;=Assumptions!$D$85,AND(R8=0,P8&gt;=Assumptions!$D$86)),"SWITCH OFF",IF(W8&gt;=Assumptions!$D$84,"CUT 50%",IF(W8&lt;=Assumptions!$D$83,"ADD +"&amp;TEXT(Assumptions!$D$87,"0%")&amp;" (if slots free)","HOLD")))))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7" t="n">
        <f aca="false">Channels!H9</f>
        <v>57.1428571428571</v>
      </c>
      <c r="E9" s="24" t="n">
        <f aca="false">Channels!I9</f>
        <v>0.12</v>
      </c>
      <c r="F9" s="35" t="n">
        <f aca="false">Channels!O9</f>
        <v>476.190476190476</v>
      </c>
      <c r="G9" s="17"/>
      <c r="H9" s="15"/>
      <c r="I9" s="15"/>
      <c r="J9" s="17"/>
      <c r="K9" s="15"/>
      <c r="L9" s="15"/>
      <c r="M9" s="17"/>
      <c r="N9" s="15"/>
      <c r="O9" s="15"/>
      <c r="P9" s="35" t="n">
        <f aca="false">G9+J9+M9</f>
        <v>0</v>
      </c>
      <c r="Q9" s="23" t="n">
        <f aca="false">H9+K9+N9</f>
        <v>0</v>
      </c>
      <c r="R9" s="23" t="n">
        <f aca="false">I9+L9+O9</f>
        <v>0</v>
      </c>
      <c r="S9" s="37" t="str">
        <f aca="false">IF(Q9&gt;0,P9/Q9,"")</f>
        <v/>
      </c>
      <c r="T9" s="24" t="str">
        <f aca="false">IF(Q9&gt;0,R9/Q9,"")</f>
        <v/>
      </c>
      <c r="U9" s="24" t="n">
        <f aca="false">(R9+Assumptions!$D$88*E9)/(Q9+Assumptions!$D$88)</f>
        <v>0.12</v>
      </c>
      <c r="V9" s="35" t="n">
        <f aca="false">IF(Q9&gt;=Assumptions!$D$82,S9,D9)/U9</f>
        <v>476.190476190476</v>
      </c>
      <c r="W9" s="45" t="n">
        <f aca="false">IF(F9&gt;0,V9/F9,"")</f>
        <v>1</v>
      </c>
      <c r="X9" s="2" t="str">
        <f aca="false">IF(F9=0,"Free – monitor quality",IF(AND(P9&lt;Assumptions!$D$81,Q9&lt;Assumptions!$D$82),"Wait – too little data",IF(OR(W9&gt;=Assumptions!$D$85,AND(R9=0,P9&gt;=Assumptions!$D$86)),"SWITCH OFF",IF(W9&gt;=Assumptions!$D$84,"CUT 50%",IF(W9&lt;=Assumptions!$D$83,"ADD +"&amp;TEXT(Assumptions!$D$87,"0%")&amp;" (if slots free)","HOLD")))))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7" t="n">
        <f aca="false">Channels!H10</f>
        <v>24</v>
      </c>
      <c r="E10" s="24" t="n">
        <f aca="false">Channels!I10</f>
        <v>0.22</v>
      </c>
      <c r="F10" s="35" t="n">
        <f aca="false">Channels!O10</f>
        <v>109.090909090909</v>
      </c>
      <c r="G10" s="17"/>
      <c r="H10" s="15"/>
      <c r="I10" s="15"/>
      <c r="J10" s="17"/>
      <c r="K10" s="15"/>
      <c r="L10" s="15"/>
      <c r="M10" s="17"/>
      <c r="N10" s="15"/>
      <c r="O10" s="15"/>
      <c r="P10" s="35" t="n">
        <f aca="false">G10+J10+M10</f>
        <v>0</v>
      </c>
      <c r="Q10" s="23" t="n">
        <f aca="false">H10+K10+N10</f>
        <v>0</v>
      </c>
      <c r="R10" s="23" t="n">
        <f aca="false">I10+L10+O10</f>
        <v>0</v>
      </c>
      <c r="S10" s="37" t="str">
        <f aca="false">IF(Q10&gt;0,P10/Q10,"")</f>
        <v/>
      </c>
      <c r="T10" s="24" t="str">
        <f aca="false">IF(Q10&gt;0,R10/Q10,"")</f>
        <v/>
      </c>
      <c r="U10" s="24" t="n">
        <f aca="false">(R10+Assumptions!$D$88*E10)/(Q10+Assumptions!$D$88)</f>
        <v>0.22</v>
      </c>
      <c r="V10" s="35" t="n">
        <f aca="false">IF(Q10&gt;=Assumptions!$D$82,S10,D10)/U10</f>
        <v>109.090909090909</v>
      </c>
      <c r="W10" s="45" t="n">
        <f aca="false">IF(F10&gt;0,V10/F10,"")</f>
        <v>1</v>
      </c>
      <c r="X10" s="2" t="str">
        <f aca="false">IF(F10=0,"Free – monitor quality",IF(AND(P10&lt;Assumptions!$D$81,Q10&lt;Assumptions!$D$82),"Wait – too little data",IF(OR(W10&gt;=Assumptions!$D$85,AND(R10=0,P10&gt;=Assumptions!$D$86)),"SWITCH OFF",IF(W10&gt;=Assumptions!$D$84,"CUT 50%",IF(W10&lt;=Assumptions!$D$83,"ADD +"&amp;TEXT(Assumptions!$D$87,"0%")&amp;" (if slots free)","HOLD")))))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7" t="n">
        <f aca="false">Channels!H11</f>
        <v>45</v>
      </c>
      <c r="E11" s="24" t="n">
        <f aca="false">Channels!I11</f>
        <v>0.12</v>
      </c>
      <c r="F11" s="35" t="n">
        <f aca="false">Channels!O11</f>
        <v>375</v>
      </c>
      <c r="G11" s="17"/>
      <c r="H11" s="15"/>
      <c r="I11" s="15"/>
      <c r="J11" s="17"/>
      <c r="K11" s="15"/>
      <c r="L11" s="15"/>
      <c r="M11" s="17"/>
      <c r="N11" s="15"/>
      <c r="O11" s="15"/>
      <c r="P11" s="35" t="n">
        <f aca="false">G11+J11+M11</f>
        <v>0</v>
      </c>
      <c r="Q11" s="23" t="n">
        <f aca="false">H11+K11+N11</f>
        <v>0</v>
      </c>
      <c r="R11" s="23" t="n">
        <f aca="false">I11+L11+O11</f>
        <v>0</v>
      </c>
      <c r="S11" s="37" t="str">
        <f aca="false">IF(Q11&gt;0,P11/Q11,"")</f>
        <v/>
      </c>
      <c r="T11" s="24" t="str">
        <f aca="false">IF(Q11&gt;0,R11/Q11,"")</f>
        <v/>
      </c>
      <c r="U11" s="24" t="n">
        <f aca="false">(R11+Assumptions!$D$88*E11)/(Q11+Assumptions!$D$88)</f>
        <v>0.12</v>
      </c>
      <c r="V11" s="35" t="n">
        <f aca="false">IF(Q11&gt;=Assumptions!$D$82,S11,D11)/U11</f>
        <v>375</v>
      </c>
      <c r="W11" s="45" t="n">
        <f aca="false">IF(F11&gt;0,V11/F11,"")</f>
        <v>1</v>
      </c>
      <c r="X11" s="2" t="str">
        <f aca="false">IF(F11=0,"Free – monitor quality",IF(AND(P11&lt;Assumptions!$D$81,Q11&lt;Assumptions!$D$82),"Wait – too little data",IF(OR(W11&gt;=Assumptions!$D$85,AND(R11=0,P11&gt;=Assumptions!$D$86)),"SWITCH OFF",IF(W11&gt;=Assumptions!$D$84,"CUT 50%",IF(W11&lt;=Assumptions!$D$83,"ADD +"&amp;TEXT(Assumptions!$D$87,"0%")&amp;" (if slots free)","HOLD")))))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7" t="n">
        <f aca="false">Channels!H12</f>
        <v>42.5</v>
      </c>
      <c r="E12" s="24" t="n">
        <f aca="false">Channels!I12</f>
        <v>0.1</v>
      </c>
      <c r="F12" s="35" t="n">
        <f aca="false">Channels!O12</f>
        <v>425</v>
      </c>
      <c r="G12" s="17"/>
      <c r="H12" s="15"/>
      <c r="I12" s="15"/>
      <c r="J12" s="17"/>
      <c r="K12" s="15"/>
      <c r="L12" s="15"/>
      <c r="M12" s="17"/>
      <c r="N12" s="15"/>
      <c r="O12" s="15"/>
      <c r="P12" s="35" t="n">
        <f aca="false">G12+J12+M12</f>
        <v>0</v>
      </c>
      <c r="Q12" s="23" t="n">
        <f aca="false">H12+K12+N12</f>
        <v>0</v>
      </c>
      <c r="R12" s="23" t="n">
        <f aca="false">I12+L12+O12</f>
        <v>0</v>
      </c>
      <c r="S12" s="37" t="str">
        <f aca="false">IF(Q12&gt;0,P12/Q12,"")</f>
        <v/>
      </c>
      <c r="T12" s="24" t="str">
        <f aca="false">IF(Q12&gt;0,R12/Q12,"")</f>
        <v/>
      </c>
      <c r="U12" s="24" t="n">
        <f aca="false">(R12+Assumptions!$D$88*E12)/(Q12+Assumptions!$D$88)</f>
        <v>0.1</v>
      </c>
      <c r="V12" s="35" t="n">
        <f aca="false">IF(Q12&gt;=Assumptions!$D$82,S12,D12)/U12</f>
        <v>425</v>
      </c>
      <c r="W12" s="45" t="n">
        <f aca="false">IF(F12&gt;0,V12/F12,"")</f>
        <v>1</v>
      </c>
      <c r="X12" s="2" t="str">
        <f aca="false">IF(F12=0,"Free – monitor quality",IF(AND(P12&lt;Assumptions!$D$81,Q12&lt;Assumptions!$D$82),"Wait – too little data",IF(OR(W12&gt;=Assumptions!$D$85,AND(R12=0,P12&gt;=Assumptions!$D$86)),"SWITCH OFF",IF(W12&gt;=Assumptions!$D$84,"CUT 50%",IF(W12&lt;=Assumptions!$D$83,"ADD +"&amp;TEXT(Assumptions!$D$87,"0%")&amp;" (if slots free)","HOLD")))))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7" t="n">
        <f aca="false">Channels!H13</f>
        <v>96.6</v>
      </c>
      <c r="E13" s="24" t="n">
        <f aca="false">Channels!I13</f>
        <v>0.3</v>
      </c>
      <c r="F13" s="35" t="n">
        <f aca="false">Channels!O13</f>
        <v>322</v>
      </c>
      <c r="G13" s="17"/>
      <c r="H13" s="15"/>
      <c r="I13" s="15"/>
      <c r="J13" s="17"/>
      <c r="K13" s="15"/>
      <c r="L13" s="15"/>
      <c r="M13" s="17"/>
      <c r="N13" s="15"/>
      <c r="O13" s="15"/>
      <c r="P13" s="35" t="n">
        <f aca="false">G13+J13+M13</f>
        <v>0</v>
      </c>
      <c r="Q13" s="23" t="n">
        <f aca="false">H13+K13+N13</f>
        <v>0</v>
      </c>
      <c r="R13" s="23" t="n">
        <f aca="false">I13+L13+O13</f>
        <v>0</v>
      </c>
      <c r="S13" s="37" t="str">
        <f aca="false">IF(Q13&gt;0,P13/Q13,"")</f>
        <v/>
      </c>
      <c r="T13" s="24" t="str">
        <f aca="false">IF(Q13&gt;0,R13/Q13,"")</f>
        <v/>
      </c>
      <c r="U13" s="24" t="n">
        <f aca="false">(R13+Assumptions!$D$88*E13)/(Q13+Assumptions!$D$88)</f>
        <v>0.3</v>
      </c>
      <c r="V13" s="35" t="n">
        <f aca="false">IF(Q13&gt;=Assumptions!$D$82,S13,D13)/U13</f>
        <v>322</v>
      </c>
      <c r="W13" s="45" t="n">
        <f aca="false">IF(F13&gt;0,V13/F13,"")</f>
        <v>1</v>
      </c>
      <c r="X13" s="2" t="str">
        <f aca="false">IF(F13=0,"Free – monitor quality",IF(AND(P13&lt;Assumptions!$D$81,Q13&lt;Assumptions!$D$82),"Wait – too little data",IF(OR(W13&gt;=Assumptions!$D$85,AND(R13=0,P13&gt;=Assumptions!$D$86)),"SWITCH OFF",IF(W13&gt;=Assumptions!$D$84,"CUT 50%",IF(W13&lt;=Assumptions!$D$83,"ADD +"&amp;TEXT(Assumptions!$D$87,"0%")&amp;" (if slots free)","HOLD")))))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7" t="n">
        <f aca="false">Channels!H14</f>
        <v>57.96</v>
      </c>
      <c r="E14" s="24" t="n">
        <f aca="false">Channels!I14</f>
        <v>0.35</v>
      </c>
      <c r="F14" s="35" t="n">
        <f aca="false">Channels!O14</f>
        <v>165.6</v>
      </c>
      <c r="G14" s="17"/>
      <c r="H14" s="15"/>
      <c r="I14" s="15"/>
      <c r="J14" s="17"/>
      <c r="K14" s="15"/>
      <c r="L14" s="15"/>
      <c r="M14" s="17"/>
      <c r="N14" s="15"/>
      <c r="O14" s="15"/>
      <c r="P14" s="35" t="n">
        <f aca="false">G14+J14+M14</f>
        <v>0</v>
      </c>
      <c r="Q14" s="23" t="n">
        <f aca="false">H14+K14+N14</f>
        <v>0</v>
      </c>
      <c r="R14" s="23" t="n">
        <f aca="false">I14+L14+O14</f>
        <v>0</v>
      </c>
      <c r="S14" s="37" t="str">
        <f aca="false">IF(Q14&gt;0,P14/Q14,"")</f>
        <v/>
      </c>
      <c r="T14" s="24" t="str">
        <f aca="false">IF(Q14&gt;0,R14/Q14,"")</f>
        <v/>
      </c>
      <c r="U14" s="24" t="n">
        <f aca="false">(R14+Assumptions!$D$88*E14)/(Q14+Assumptions!$D$88)</f>
        <v>0.35</v>
      </c>
      <c r="V14" s="35" t="n">
        <f aca="false">IF(Q14&gt;=Assumptions!$D$82,S14,D14)/U14</f>
        <v>165.6</v>
      </c>
      <c r="W14" s="45" t="n">
        <f aca="false">IF(F14&gt;0,V14/F14,"")</f>
        <v>1</v>
      </c>
      <c r="X14" s="2" t="str">
        <f aca="false">IF(F14=0,"Free – monitor quality",IF(AND(P14&lt;Assumptions!$D$81,Q14&lt;Assumptions!$D$82),"Wait – too little data",IF(OR(W14&gt;=Assumptions!$D$85,AND(R14=0,P14&gt;=Assumptions!$D$86)),"SWITCH OFF",IF(W14&gt;=Assumptions!$D$84,"CUT 50%",IF(W14&lt;=Assumptions!$D$83,"ADD +"&amp;TEXT(Assumptions!$D$87,"0%")&amp;" (if slots free)","HOLD")))))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7" t="n">
        <f aca="false">Channels!H15</f>
        <v>96.6</v>
      </c>
      <c r="E15" s="24" t="n">
        <f aca="false">Channels!I15</f>
        <v>0.25</v>
      </c>
      <c r="F15" s="35" t="n">
        <f aca="false">Channels!O15</f>
        <v>386.4</v>
      </c>
      <c r="G15" s="17"/>
      <c r="H15" s="15"/>
      <c r="I15" s="15"/>
      <c r="J15" s="17"/>
      <c r="K15" s="15"/>
      <c r="L15" s="15"/>
      <c r="M15" s="17"/>
      <c r="N15" s="15"/>
      <c r="O15" s="15"/>
      <c r="P15" s="35" t="n">
        <f aca="false">G15+J15+M15</f>
        <v>0</v>
      </c>
      <c r="Q15" s="23" t="n">
        <f aca="false">H15+K15+N15</f>
        <v>0</v>
      </c>
      <c r="R15" s="23" t="n">
        <f aca="false">I15+L15+O15</f>
        <v>0</v>
      </c>
      <c r="S15" s="37" t="str">
        <f aca="false">IF(Q15&gt;0,P15/Q15,"")</f>
        <v/>
      </c>
      <c r="T15" s="24" t="str">
        <f aca="false">IF(Q15&gt;0,R15/Q15,"")</f>
        <v/>
      </c>
      <c r="U15" s="24" t="n">
        <f aca="false">(R15+Assumptions!$D$88*E15)/(Q15+Assumptions!$D$88)</f>
        <v>0.25</v>
      </c>
      <c r="V15" s="35" t="n">
        <f aca="false">IF(Q15&gt;=Assumptions!$D$82,S15,D15)/U15</f>
        <v>386.4</v>
      </c>
      <c r="W15" s="45" t="n">
        <f aca="false">IF(F15&gt;0,V15/F15,"")</f>
        <v>1</v>
      </c>
      <c r="X15" s="2" t="str">
        <f aca="false">IF(F15=0,"Free – monitor quality",IF(AND(P15&lt;Assumptions!$D$81,Q15&lt;Assumptions!$D$82),"Wait – too little data",IF(OR(W15&gt;=Assumptions!$D$85,AND(R15=0,P15&gt;=Assumptions!$D$86)),"SWITCH OFF",IF(W15&gt;=Assumptions!$D$84,"CUT 50%",IF(W15&lt;=Assumptions!$D$83,"ADD +"&amp;TEXT(Assumptions!$D$87,"0%")&amp;" (if slots free)","HOLD")))))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7" t="n">
        <f aca="false">Channels!H16</f>
        <v>96.6</v>
      </c>
      <c r="E16" s="24" t="n">
        <f aca="false">Channels!I16</f>
        <v>0.25</v>
      </c>
      <c r="F16" s="35" t="n">
        <f aca="false">Channels!O16</f>
        <v>386.4</v>
      </c>
      <c r="G16" s="17"/>
      <c r="H16" s="15"/>
      <c r="I16" s="15"/>
      <c r="J16" s="17"/>
      <c r="K16" s="15"/>
      <c r="L16" s="15"/>
      <c r="M16" s="17"/>
      <c r="N16" s="15"/>
      <c r="O16" s="15"/>
      <c r="P16" s="35" t="n">
        <f aca="false">G16+J16+M16</f>
        <v>0</v>
      </c>
      <c r="Q16" s="23" t="n">
        <f aca="false">H16+K16+N16</f>
        <v>0</v>
      </c>
      <c r="R16" s="23" t="n">
        <f aca="false">I16+L16+O16</f>
        <v>0</v>
      </c>
      <c r="S16" s="37" t="str">
        <f aca="false">IF(Q16&gt;0,P16/Q16,"")</f>
        <v/>
      </c>
      <c r="T16" s="24" t="str">
        <f aca="false">IF(Q16&gt;0,R16/Q16,"")</f>
        <v/>
      </c>
      <c r="U16" s="24" t="n">
        <f aca="false">(R16+Assumptions!$D$88*E16)/(Q16+Assumptions!$D$88)</f>
        <v>0.25</v>
      </c>
      <c r="V16" s="35" t="n">
        <f aca="false">IF(Q16&gt;=Assumptions!$D$82,S16,D16)/U16</f>
        <v>386.4</v>
      </c>
      <c r="W16" s="45" t="n">
        <f aca="false">IF(F16&gt;0,V16/F16,"")</f>
        <v>1</v>
      </c>
      <c r="X16" s="2" t="str">
        <f aca="false">IF(F16=0,"Free – monitor quality",IF(AND(P16&lt;Assumptions!$D$81,Q16&lt;Assumptions!$D$82),"Wait – too little data",IF(OR(W16&gt;=Assumptions!$D$85,AND(R16=0,P16&gt;=Assumptions!$D$86)),"SWITCH OFF",IF(W16&gt;=Assumptions!$D$84,"CUT 50%",IF(W16&lt;=Assumptions!$D$83,"ADD +"&amp;TEXT(Assumptions!$D$87,"0%")&amp;" (if slots free)","HOLD")))))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7" t="n">
        <f aca="false">Channels!H17</f>
        <v>43.75</v>
      </c>
      <c r="E17" s="24" t="n">
        <f aca="false">Channels!I17</f>
        <v>0.25</v>
      </c>
      <c r="F17" s="35" t="n">
        <f aca="false">Channels!O17</f>
        <v>175</v>
      </c>
      <c r="G17" s="17"/>
      <c r="H17" s="15"/>
      <c r="I17" s="15"/>
      <c r="J17" s="17"/>
      <c r="K17" s="15"/>
      <c r="L17" s="15"/>
      <c r="M17" s="17"/>
      <c r="N17" s="15"/>
      <c r="O17" s="15"/>
      <c r="P17" s="35" t="n">
        <f aca="false">G17+J17+M17</f>
        <v>0</v>
      </c>
      <c r="Q17" s="23" t="n">
        <f aca="false">H17+K17+N17</f>
        <v>0</v>
      </c>
      <c r="R17" s="23" t="n">
        <f aca="false">I17+L17+O17</f>
        <v>0</v>
      </c>
      <c r="S17" s="37" t="str">
        <f aca="false">IF(Q17&gt;0,P17/Q17,"")</f>
        <v/>
      </c>
      <c r="T17" s="24" t="str">
        <f aca="false">IF(Q17&gt;0,R17/Q17,"")</f>
        <v/>
      </c>
      <c r="U17" s="24" t="n">
        <f aca="false">(R17+Assumptions!$D$88*E17)/(Q17+Assumptions!$D$88)</f>
        <v>0.25</v>
      </c>
      <c r="V17" s="35" t="n">
        <f aca="false">IF(Q17&gt;=Assumptions!$D$82,S17,D17)/U17</f>
        <v>175</v>
      </c>
      <c r="W17" s="45" t="n">
        <f aca="false">IF(F17&gt;0,V17/F17,"")</f>
        <v>1</v>
      </c>
      <c r="X17" s="2" t="str">
        <f aca="false">IF(F17=0,"Free – monitor quality",IF(AND(P17&lt;Assumptions!$D$81,Q17&lt;Assumptions!$D$82),"Wait – too little data",IF(OR(W17&gt;=Assumptions!$D$85,AND(R17=0,P17&gt;=Assumptions!$D$86)),"SWITCH OFF",IF(W17&gt;=Assumptions!$D$84,"CUT 50%",IF(W17&lt;=Assumptions!$D$83,"ADD +"&amp;TEXT(Assumptions!$D$87,"0%")&amp;" (if slots free)","HOLD")))))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7" t="n">
        <f aca="false">Channels!H18</f>
        <v>43.75</v>
      </c>
      <c r="E18" s="24" t="n">
        <f aca="false">Channels!I18</f>
        <v>0.2</v>
      </c>
      <c r="F18" s="35" t="n">
        <f aca="false">Channels!O18</f>
        <v>218.75</v>
      </c>
      <c r="G18" s="17"/>
      <c r="H18" s="15"/>
      <c r="I18" s="15"/>
      <c r="J18" s="17"/>
      <c r="K18" s="15"/>
      <c r="L18" s="15"/>
      <c r="M18" s="17"/>
      <c r="N18" s="15"/>
      <c r="O18" s="15"/>
      <c r="P18" s="35" t="n">
        <f aca="false">G18+J18+M18</f>
        <v>0</v>
      </c>
      <c r="Q18" s="23" t="n">
        <f aca="false">H18+K18+N18</f>
        <v>0</v>
      </c>
      <c r="R18" s="23" t="n">
        <f aca="false">I18+L18+O18</f>
        <v>0</v>
      </c>
      <c r="S18" s="37" t="str">
        <f aca="false">IF(Q18&gt;0,P18/Q18,"")</f>
        <v/>
      </c>
      <c r="T18" s="24" t="str">
        <f aca="false">IF(Q18&gt;0,R18/Q18,"")</f>
        <v/>
      </c>
      <c r="U18" s="24" t="n">
        <f aca="false">(R18+Assumptions!$D$88*E18)/(Q18+Assumptions!$D$88)</f>
        <v>0.2</v>
      </c>
      <c r="V18" s="35" t="n">
        <f aca="false">IF(Q18&gt;=Assumptions!$D$82,S18,D18)/U18</f>
        <v>218.75</v>
      </c>
      <c r="W18" s="45" t="n">
        <f aca="false">IF(F18&gt;0,V18/F18,"")</f>
        <v>1</v>
      </c>
      <c r="X18" s="2" t="str">
        <f aca="false">IF(F18=0,"Free – monitor quality",IF(AND(P18&lt;Assumptions!$D$81,Q18&lt;Assumptions!$D$82),"Wait – too little data",IF(OR(W18&gt;=Assumptions!$D$85,AND(R18=0,P18&gt;=Assumptions!$D$86)),"SWITCH OFF",IF(W18&gt;=Assumptions!$D$84,"CUT 50%",IF(W18&lt;=Assumptions!$D$83,"ADD +"&amp;TEXT(Assumptions!$D$87,"0%")&amp;" (if slots free)","HOLD")))))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7" t="n">
        <f aca="false">Channels!H19</f>
        <v>18</v>
      </c>
      <c r="E19" s="24" t="n">
        <f aca="false">Channels!I19</f>
        <v>0.05</v>
      </c>
      <c r="F19" s="35" t="n">
        <f aca="false">Channels!O19</f>
        <v>360</v>
      </c>
      <c r="G19" s="17"/>
      <c r="H19" s="15"/>
      <c r="I19" s="15"/>
      <c r="J19" s="17"/>
      <c r="K19" s="15"/>
      <c r="L19" s="15"/>
      <c r="M19" s="17"/>
      <c r="N19" s="15"/>
      <c r="O19" s="15"/>
      <c r="P19" s="35" t="n">
        <f aca="false">G19+J19+M19</f>
        <v>0</v>
      </c>
      <c r="Q19" s="23" t="n">
        <f aca="false">H19+K19+N19</f>
        <v>0</v>
      </c>
      <c r="R19" s="23" t="n">
        <f aca="false">I19+L19+O19</f>
        <v>0</v>
      </c>
      <c r="S19" s="37" t="str">
        <f aca="false">IF(Q19&gt;0,P19/Q19,"")</f>
        <v/>
      </c>
      <c r="T19" s="24" t="str">
        <f aca="false">IF(Q19&gt;0,R19/Q19,"")</f>
        <v/>
      </c>
      <c r="U19" s="24" t="n">
        <f aca="false">(R19+Assumptions!$D$88*E19)/(Q19+Assumptions!$D$88)</f>
        <v>0.05</v>
      </c>
      <c r="V19" s="35" t="n">
        <f aca="false">IF(Q19&gt;=Assumptions!$D$82,S19,D19)/U19</f>
        <v>360</v>
      </c>
      <c r="W19" s="45" t="n">
        <f aca="false">IF(F19&gt;0,V19/F19,"")</f>
        <v>1</v>
      </c>
      <c r="X19" s="2" t="str">
        <f aca="false">IF(F19=0,"Free – monitor quality",IF(AND(P19&lt;Assumptions!$D$81,Q19&lt;Assumptions!$D$82),"Wait – too little data",IF(OR(W19&gt;=Assumptions!$D$85,AND(R19=0,P19&gt;=Assumptions!$D$86)),"SWITCH OFF",IF(W19&gt;=Assumptions!$D$84,"CUT 50%",IF(W19&lt;=Assumptions!$D$83,"ADD +"&amp;TEXT(Assumptions!$D$87,"0%")&amp;" (if slots free)","HOLD")))))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7" t="n">
        <f aca="false">Channels!H20</f>
        <v>12</v>
      </c>
      <c r="E20" s="24" t="n">
        <f aca="false">Channels!I20</f>
        <v>0.12</v>
      </c>
      <c r="F20" s="35" t="n">
        <f aca="false">Channels!O20</f>
        <v>100</v>
      </c>
      <c r="G20" s="17"/>
      <c r="H20" s="15"/>
      <c r="I20" s="15"/>
      <c r="J20" s="17"/>
      <c r="K20" s="15"/>
      <c r="L20" s="15"/>
      <c r="M20" s="17"/>
      <c r="N20" s="15"/>
      <c r="O20" s="15"/>
      <c r="P20" s="35" t="n">
        <f aca="false">G20+J20+M20</f>
        <v>0</v>
      </c>
      <c r="Q20" s="23" t="n">
        <f aca="false">H20+K20+N20</f>
        <v>0</v>
      </c>
      <c r="R20" s="23" t="n">
        <f aca="false">I20+L20+O20</f>
        <v>0</v>
      </c>
      <c r="S20" s="37" t="str">
        <f aca="false">IF(Q20&gt;0,P20/Q20,"")</f>
        <v/>
      </c>
      <c r="T20" s="24" t="str">
        <f aca="false">IF(Q20&gt;0,R20/Q20,"")</f>
        <v/>
      </c>
      <c r="U20" s="24" t="n">
        <f aca="false">(R20+Assumptions!$D$88*E20)/(Q20+Assumptions!$D$88)</f>
        <v>0.12</v>
      </c>
      <c r="V20" s="35" t="n">
        <f aca="false">IF(Q20&gt;=Assumptions!$D$82,S20,D20)/U20</f>
        <v>100</v>
      </c>
      <c r="W20" s="45" t="n">
        <f aca="false">IF(F20&gt;0,V20/F20,"")</f>
        <v>1</v>
      </c>
      <c r="X20" s="2" t="str">
        <f aca="false">IF(F20=0,"Free – monitor quality",IF(AND(P20&lt;Assumptions!$D$81,Q20&lt;Assumptions!$D$82),"Wait – too little data",IF(OR(W20&gt;=Assumptions!$D$85,AND(R20=0,P20&gt;=Assumptions!$D$86)),"SWITCH OFF",IF(W20&gt;=Assumptions!$D$84,"CUT 50%",IF(W20&lt;=Assumptions!$D$83,"ADD +"&amp;TEXT(Assumptions!$D$87,"0%")&amp;" (if slots free)","HOLD")))))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7" t="n">
        <f aca="false">Channels!H21</f>
        <v>31.4285714285714</v>
      </c>
      <c r="E21" s="24" t="n">
        <f aca="false">Channels!I21</f>
        <v>0.15</v>
      </c>
      <c r="F21" s="35" t="n">
        <f aca="false">Channels!O21</f>
        <v>209.52380952381</v>
      </c>
      <c r="G21" s="17"/>
      <c r="H21" s="15"/>
      <c r="I21" s="15"/>
      <c r="J21" s="17"/>
      <c r="K21" s="15"/>
      <c r="L21" s="15"/>
      <c r="M21" s="17"/>
      <c r="N21" s="15"/>
      <c r="O21" s="15"/>
      <c r="P21" s="35" t="n">
        <f aca="false">G21+J21+M21</f>
        <v>0</v>
      </c>
      <c r="Q21" s="23" t="n">
        <f aca="false">H21+K21+N21</f>
        <v>0</v>
      </c>
      <c r="R21" s="23" t="n">
        <f aca="false">I21+L21+O21</f>
        <v>0</v>
      </c>
      <c r="S21" s="37" t="str">
        <f aca="false">IF(Q21&gt;0,P21/Q21,"")</f>
        <v/>
      </c>
      <c r="T21" s="24" t="str">
        <f aca="false">IF(Q21&gt;0,R21/Q21,"")</f>
        <v/>
      </c>
      <c r="U21" s="24" t="n">
        <f aca="false">(R21+Assumptions!$D$88*E21)/(Q21+Assumptions!$D$88)</f>
        <v>0.15</v>
      </c>
      <c r="V21" s="35" t="n">
        <f aca="false">IF(Q21&gt;=Assumptions!$D$82,S21,D21)/U21</f>
        <v>209.52380952381</v>
      </c>
      <c r="W21" s="45" t="n">
        <f aca="false">IF(F21&gt;0,V21/F21,"")</f>
        <v>1</v>
      </c>
      <c r="X21" s="2" t="str">
        <f aca="false">IF(F21=0,"Free – monitor quality",IF(AND(P21&lt;Assumptions!$D$81,Q21&lt;Assumptions!$D$82),"Wait – too little data",IF(OR(W21&gt;=Assumptions!$D$85,AND(R21=0,P21&gt;=Assumptions!$D$86)),"SWITCH OFF",IF(W21&gt;=Assumptions!$D$84,"CUT 50%",IF(W21&lt;=Assumptions!$D$83,"ADD +"&amp;TEXT(Assumptions!$D$87,"0%")&amp;" (if slots free)","HOLD")))))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7" t="n">
        <f aca="false">Channels!H22</f>
        <v>31.4285714285714</v>
      </c>
      <c r="E22" s="24" t="n">
        <f aca="false">Channels!I22</f>
        <v>0.25</v>
      </c>
      <c r="F22" s="35" t="n">
        <f aca="false">Channels!O22</f>
        <v>125.714285714286</v>
      </c>
      <c r="G22" s="17"/>
      <c r="H22" s="15"/>
      <c r="I22" s="15"/>
      <c r="J22" s="17"/>
      <c r="K22" s="15"/>
      <c r="L22" s="15"/>
      <c r="M22" s="17"/>
      <c r="N22" s="15"/>
      <c r="O22" s="15"/>
      <c r="P22" s="35" t="n">
        <f aca="false">G22+J22+M22</f>
        <v>0</v>
      </c>
      <c r="Q22" s="23" t="n">
        <f aca="false">H22+K22+N22</f>
        <v>0</v>
      </c>
      <c r="R22" s="23" t="n">
        <f aca="false">I22+L22+O22</f>
        <v>0</v>
      </c>
      <c r="S22" s="37" t="str">
        <f aca="false">IF(Q22&gt;0,P22/Q22,"")</f>
        <v/>
      </c>
      <c r="T22" s="24" t="str">
        <f aca="false">IF(Q22&gt;0,R22/Q22,"")</f>
        <v/>
      </c>
      <c r="U22" s="24" t="n">
        <f aca="false">(R22+Assumptions!$D$88*E22)/(Q22+Assumptions!$D$88)</f>
        <v>0.25</v>
      </c>
      <c r="V22" s="35" t="n">
        <f aca="false">IF(Q22&gt;=Assumptions!$D$82,S22,D22)/U22</f>
        <v>125.714285714286</v>
      </c>
      <c r="W22" s="45" t="n">
        <f aca="false">IF(F22&gt;0,V22/F22,"")</f>
        <v>1</v>
      </c>
      <c r="X22" s="2" t="str">
        <f aca="false">IF(F22=0,"Free – monitor quality",IF(AND(P22&lt;Assumptions!$D$81,Q22&lt;Assumptions!$D$82),"Wait – too little data",IF(OR(W22&gt;=Assumptions!$D$85,AND(R22=0,P22&gt;=Assumptions!$D$86)),"SWITCH OFF",IF(W22&gt;=Assumptions!$D$84,"CUT 50%",IF(W22&lt;=Assumptions!$D$83,"ADD +"&amp;TEXT(Assumptions!$D$87,"0%")&amp;" (if slots free)","HOLD")))))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7" t="n">
        <f aca="false">Channels!H23</f>
        <v>31.4285714285714</v>
      </c>
      <c r="E23" s="24" t="n">
        <f aca="false">Channels!I23</f>
        <v>0.15</v>
      </c>
      <c r="F23" s="35" t="n">
        <f aca="false">Channels!O23</f>
        <v>209.52380952381</v>
      </c>
      <c r="G23" s="17"/>
      <c r="H23" s="15"/>
      <c r="I23" s="15"/>
      <c r="J23" s="17"/>
      <c r="K23" s="15"/>
      <c r="L23" s="15"/>
      <c r="M23" s="17"/>
      <c r="N23" s="15"/>
      <c r="O23" s="15"/>
      <c r="P23" s="35" t="n">
        <f aca="false">G23+J23+M23</f>
        <v>0</v>
      </c>
      <c r="Q23" s="23" t="n">
        <f aca="false">H23+K23+N23</f>
        <v>0</v>
      </c>
      <c r="R23" s="23" t="n">
        <f aca="false">I23+L23+O23</f>
        <v>0</v>
      </c>
      <c r="S23" s="37" t="str">
        <f aca="false">IF(Q23&gt;0,P23/Q23,"")</f>
        <v/>
      </c>
      <c r="T23" s="24" t="str">
        <f aca="false">IF(Q23&gt;0,R23/Q23,"")</f>
        <v/>
      </c>
      <c r="U23" s="24" t="n">
        <f aca="false">(R23+Assumptions!$D$88*E23)/(Q23+Assumptions!$D$88)</f>
        <v>0.15</v>
      </c>
      <c r="V23" s="35" t="n">
        <f aca="false">IF(Q23&gt;=Assumptions!$D$82,S23,D23)/U23</f>
        <v>209.52380952381</v>
      </c>
      <c r="W23" s="45" t="n">
        <f aca="false">IF(F23&gt;0,V23/F23,"")</f>
        <v>1</v>
      </c>
      <c r="X23" s="2" t="str">
        <f aca="false">IF(F23=0,"Free – monitor quality",IF(AND(P23&lt;Assumptions!$D$81,Q23&lt;Assumptions!$D$82),"Wait – too little data",IF(OR(W23&gt;=Assumptions!$D$85,AND(R23=0,P23&gt;=Assumptions!$D$86)),"SWITCH OFF",IF(W23&gt;=Assumptions!$D$84,"CUT 50%",IF(W23&lt;=Assumptions!$D$83,"ADD +"&amp;TEXT(Assumptions!$D$87,"0%")&amp;" (if slots free)","HOLD")))))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7" t="n">
        <f aca="false">Channels!H24</f>
        <v>31.4285714285714</v>
      </c>
      <c r="E24" s="24" t="n">
        <f aca="false">Channels!I24</f>
        <v>0.12</v>
      </c>
      <c r="F24" s="35" t="n">
        <f aca="false">Channels!O24</f>
        <v>261.904761904762</v>
      </c>
      <c r="G24" s="17"/>
      <c r="H24" s="15"/>
      <c r="I24" s="15"/>
      <c r="J24" s="17"/>
      <c r="K24" s="15"/>
      <c r="L24" s="15"/>
      <c r="M24" s="17"/>
      <c r="N24" s="15"/>
      <c r="O24" s="15"/>
      <c r="P24" s="35" t="n">
        <f aca="false">G24+J24+M24</f>
        <v>0</v>
      </c>
      <c r="Q24" s="23" t="n">
        <f aca="false">H24+K24+N24</f>
        <v>0</v>
      </c>
      <c r="R24" s="23" t="n">
        <f aca="false">I24+L24+O24</f>
        <v>0</v>
      </c>
      <c r="S24" s="37" t="str">
        <f aca="false">IF(Q24&gt;0,P24/Q24,"")</f>
        <v/>
      </c>
      <c r="T24" s="24" t="str">
        <f aca="false">IF(Q24&gt;0,R24/Q24,"")</f>
        <v/>
      </c>
      <c r="U24" s="24" t="n">
        <f aca="false">(R24+Assumptions!$D$88*E24)/(Q24+Assumptions!$D$88)</f>
        <v>0.12</v>
      </c>
      <c r="V24" s="35" t="n">
        <f aca="false">IF(Q24&gt;=Assumptions!$D$82,S24,D24)/U24</f>
        <v>261.904761904762</v>
      </c>
      <c r="W24" s="45" t="n">
        <f aca="false">IF(F24&gt;0,V24/F24,"")</f>
        <v>1</v>
      </c>
      <c r="X24" s="2" t="str">
        <f aca="false">IF(F24=0,"Free – monitor quality",IF(AND(P24&lt;Assumptions!$D$81,Q24&lt;Assumptions!$D$82),"Wait – too little data",IF(OR(W24&gt;=Assumptions!$D$85,AND(R24=0,P24&gt;=Assumptions!$D$86)),"SWITCH OFF",IF(W24&gt;=Assumptions!$D$84,"CUT 50%",IF(W24&lt;=Assumptions!$D$83,"ADD +"&amp;TEXT(Assumptions!$D$87,"0%")&amp;" (if slots free)","HOLD")))))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7" t="n">
        <f aca="false">Channels!H25</f>
        <v>4.16666666666667</v>
      </c>
      <c r="E25" s="24" t="n">
        <f aca="false">Channels!I25</f>
        <v>0.5</v>
      </c>
      <c r="F25" s="35" t="n">
        <f aca="false">Channels!O25</f>
        <v>8.33333333333333</v>
      </c>
      <c r="G25" s="17"/>
      <c r="H25" s="15"/>
      <c r="I25" s="15"/>
      <c r="J25" s="17"/>
      <c r="K25" s="15"/>
      <c r="L25" s="15"/>
      <c r="M25" s="17"/>
      <c r="N25" s="15"/>
      <c r="O25" s="15"/>
      <c r="P25" s="35" t="n">
        <f aca="false">G25+J25+M25</f>
        <v>0</v>
      </c>
      <c r="Q25" s="23" t="n">
        <f aca="false">H25+K25+N25</f>
        <v>0</v>
      </c>
      <c r="R25" s="23" t="n">
        <f aca="false">I25+L25+O25</f>
        <v>0</v>
      </c>
      <c r="S25" s="37" t="str">
        <f aca="false">IF(Q25&gt;0,P25/Q25,"")</f>
        <v/>
      </c>
      <c r="T25" s="24" t="str">
        <f aca="false">IF(Q25&gt;0,R25/Q25,"")</f>
        <v/>
      </c>
      <c r="U25" s="24" t="n">
        <f aca="false">(R25+Assumptions!$D$88*E25)/(Q25+Assumptions!$D$88)</f>
        <v>0.5</v>
      </c>
      <c r="V25" s="35" t="n">
        <f aca="false">IF(Q25&gt;=Assumptions!$D$82,S25,D25)/U25</f>
        <v>8.33333333333333</v>
      </c>
      <c r="W25" s="45" t="n">
        <f aca="false">IF(F25&gt;0,V25/F25,"")</f>
        <v>1</v>
      </c>
      <c r="X25" s="2" t="str">
        <f aca="false">IF(F25=0,"Free – monitor quality",IF(AND(P25&lt;Assumptions!$D$81,Q25&lt;Assumptions!$D$82),"Wait – too little data",IF(OR(W25&gt;=Assumptions!$D$85,AND(R25=0,P25&gt;=Assumptions!$D$86)),"SWITCH OFF",IF(W25&gt;=Assumptions!$D$84,"CUT 50%",IF(W25&lt;=Assumptions!$D$83,"ADD +"&amp;TEXT(Assumptions!$D$87,"0%")&amp;" (if slots free)","HOLD")))))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7" t="n">
        <f aca="false">Channels!H26</f>
        <v>4.16666666666667</v>
      </c>
      <c r="E26" s="24" t="n">
        <f aca="false">Channels!I26</f>
        <v>0.5</v>
      </c>
      <c r="F26" s="35" t="n">
        <f aca="false">Channels!O26</f>
        <v>8.33333333333333</v>
      </c>
      <c r="G26" s="17"/>
      <c r="H26" s="15"/>
      <c r="I26" s="15"/>
      <c r="J26" s="17"/>
      <c r="K26" s="15"/>
      <c r="L26" s="15"/>
      <c r="M26" s="17"/>
      <c r="N26" s="15"/>
      <c r="O26" s="15"/>
      <c r="P26" s="35" t="n">
        <f aca="false">G26+J26+M26</f>
        <v>0</v>
      </c>
      <c r="Q26" s="23" t="n">
        <f aca="false">H26+K26+N26</f>
        <v>0</v>
      </c>
      <c r="R26" s="23" t="n">
        <f aca="false">I26+L26+O26</f>
        <v>0</v>
      </c>
      <c r="S26" s="37" t="str">
        <f aca="false">IF(Q26&gt;0,P26/Q26,"")</f>
        <v/>
      </c>
      <c r="T26" s="24" t="str">
        <f aca="false">IF(Q26&gt;0,R26/Q26,"")</f>
        <v/>
      </c>
      <c r="U26" s="24" t="n">
        <f aca="false">(R26+Assumptions!$D$88*E26)/(Q26+Assumptions!$D$88)</f>
        <v>0.5</v>
      </c>
      <c r="V26" s="35" t="n">
        <f aca="false">IF(Q26&gt;=Assumptions!$D$82,S26,D26)/U26</f>
        <v>8.33333333333333</v>
      </c>
      <c r="W26" s="45" t="n">
        <f aca="false">IF(F26&gt;0,V26/F26,"")</f>
        <v>1</v>
      </c>
      <c r="X26" s="2" t="str">
        <f aca="false">IF(F26=0,"Free – monitor quality",IF(AND(P26&lt;Assumptions!$D$81,Q26&lt;Assumptions!$D$82),"Wait – too little data",IF(OR(W26&gt;=Assumptions!$D$85,AND(R26=0,P26&gt;=Assumptions!$D$86)),"SWITCH OFF",IF(W26&gt;=Assumptions!$D$84,"CUT 50%",IF(W26&lt;=Assumptions!$D$83,"ADD +"&amp;TEXT(Assumptions!$D$87,"0%")&amp;" (if slots free)","HOLD")))))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7" t="n">
        <f aca="false">Channels!H27</f>
        <v>4.16666666666667</v>
      </c>
      <c r="E27" s="24" t="n">
        <f aca="false">Channels!I27</f>
        <v>0.5</v>
      </c>
      <c r="F27" s="35" t="n">
        <f aca="false">Channels!O27</f>
        <v>8.33333333333333</v>
      </c>
      <c r="G27" s="17"/>
      <c r="H27" s="15"/>
      <c r="I27" s="15"/>
      <c r="J27" s="17"/>
      <c r="K27" s="15"/>
      <c r="L27" s="15"/>
      <c r="M27" s="17"/>
      <c r="N27" s="15"/>
      <c r="O27" s="15"/>
      <c r="P27" s="35" t="n">
        <f aca="false">G27+J27+M27</f>
        <v>0</v>
      </c>
      <c r="Q27" s="23" t="n">
        <f aca="false">H27+K27+N27</f>
        <v>0</v>
      </c>
      <c r="R27" s="23" t="n">
        <f aca="false">I27+L27+O27</f>
        <v>0</v>
      </c>
      <c r="S27" s="37" t="str">
        <f aca="false">IF(Q27&gt;0,P27/Q27,"")</f>
        <v/>
      </c>
      <c r="T27" s="24" t="str">
        <f aca="false">IF(Q27&gt;0,R27/Q27,"")</f>
        <v/>
      </c>
      <c r="U27" s="24" t="n">
        <f aca="false">(R27+Assumptions!$D$88*E27)/(Q27+Assumptions!$D$88)</f>
        <v>0.5</v>
      </c>
      <c r="V27" s="35" t="n">
        <f aca="false">IF(Q27&gt;=Assumptions!$D$82,S27,D27)/U27</f>
        <v>8.33333333333333</v>
      </c>
      <c r="W27" s="45" t="n">
        <f aca="false">IF(F27&gt;0,V27/F27,"")</f>
        <v>1</v>
      </c>
      <c r="X27" s="2" t="str">
        <f aca="false">IF(F27=0,"Free – monitor quality",IF(AND(P27&lt;Assumptions!$D$81,Q27&lt;Assumptions!$D$82),"Wait – too little data",IF(OR(W27&gt;=Assumptions!$D$85,AND(R27=0,P27&gt;=Assumptions!$D$86)),"SWITCH OFF",IF(W27&gt;=Assumptions!$D$84,"CUT 50%",IF(W27&lt;=Assumptions!$D$83,"ADD +"&amp;TEXT(Assumptions!$D$87,"0%")&amp;" (if slots free)","HOLD")))))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7" t="n">
        <f aca="false">Channels!H28</f>
        <v>4.16666666666667</v>
      </c>
      <c r="E28" s="24" t="n">
        <f aca="false">Channels!I28</f>
        <v>0.5</v>
      </c>
      <c r="F28" s="35" t="n">
        <f aca="false">Channels!O28</f>
        <v>8.33333333333333</v>
      </c>
      <c r="G28" s="17"/>
      <c r="H28" s="15"/>
      <c r="I28" s="15"/>
      <c r="J28" s="17"/>
      <c r="K28" s="15"/>
      <c r="L28" s="15"/>
      <c r="M28" s="17"/>
      <c r="N28" s="15"/>
      <c r="O28" s="15"/>
      <c r="P28" s="35" t="n">
        <f aca="false">G28+J28+M28</f>
        <v>0</v>
      </c>
      <c r="Q28" s="23" t="n">
        <f aca="false">H28+K28+N28</f>
        <v>0</v>
      </c>
      <c r="R28" s="23" t="n">
        <f aca="false">I28+L28+O28</f>
        <v>0</v>
      </c>
      <c r="S28" s="37" t="str">
        <f aca="false">IF(Q28&gt;0,P28/Q28,"")</f>
        <v/>
      </c>
      <c r="T28" s="24" t="str">
        <f aca="false">IF(Q28&gt;0,R28/Q28,"")</f>
        <v/>
      </c>
      <c r="U28" s="24" t="n">
        <f aca="false">(R28+Assumptions!$D$88*E28)/(Q28+Assumptions!$D$88)</f>
        <v>0.5</v>
      </c>
      <c r="V28" s="35" t="n">
        <f aca="false">IF(Q28&gt;=Assumptions!$D$82,S28,D28)/U28</f>
        <v>8.33333333333333</v>
      </c>
      <c r="W28" s="45" t="n">
        <f aca="false">IF(F28&gt;0,V28/F28,"")</f>
        <v>1</v>
      </c>
      <c r="X28" s="2" t="str">
        <f aca="false">IF(F28=0,"Free – monitor quality",IF(AND(P28&lt;Assumptions!$D$81,Q28&lt;Assumptions!$D$82),"Wait – too little data",IF(OR(W28&gt;=Assumptions!$D$85,AND(R28=0,P28&gt;=Assumptions!$D$86)),"SWITCH OFF",IF(W28&gt;=Assumptions!$D$84,"CUT 50%",IF(W28&lt;=Assumptions!$D$83,"ADD +"&amp;TEXT(Assumptions!$D$87,"0%")&amp;" (if slots free)","HOLD")))))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7" t="n">
        <f aca="false">Channels!H29</f>
        <v>166.505625</v>
      </c>
      <c r="E29" s="24" t="n">
        <f aca="false">Channels!I29</f>
        <v>0.45</v>
      </c>
      <c r="F29" s="35" t="n">
        <f aca="false">Channels!O29</f>
        <v>370.0125</v>
      </c>
      <c r="G29" s="17"/>
      <c r="H29" s="15"/>
      <c r="I29" s="15"/>
      <c r="J29" s="17"/>
      <c r="K29" s="15"/>
      <c r="L29" s="15"/>
      <c r="M29" s="17"/>
      <c r="N29" s="15"/>
      <c r="O29" s="15"/>
      <c r="P29" s="35" t="n">
        <f aca="false">G29+J29+M29</f>
        <v>0</v>
      </c>
      <c r="Q29" s="23" t="n">
        <f aca="false">H29+K29+N29</f>
        <v>0</v>
      </c>
      <c r="R29" s="23" t="n">
        <f aca="false">I29+L29+O29</f>
        <v>0</v>
      </c>
      <c r="S29" s="37" t="str">
        <f aca="false">IF(Q29&gt;0,P29/Q29,"")</f>
        <v/>
      </c>
      <c r="T29" s="24" t="str">
        <f aca="false">IF(Q29&gt;0,R29/Q29,"")</f>
        <v/>
      </c>
      <c r="U29" s="24" t="n">
        <f aca="false">(R29+Assumptions!$D$88*E29)/(Q29+Assumptions!$D$88)</f>
        <v>0.45</v>
      </c>
      <c r="V29" s="35" t="n">
        <f aca="false">IF(Q29&gt;=Assumptions!$D$82,S29,D29)/U29</f>
        <v>370.0125</v>
      </c>
      <c r="W29" s="45" t="n">
        <f aca="false">IF(F29&gt;0,V29/F29,"")</f>
        <v>1</v>
      </c>
      <c r="X29" s="2" t="str">
        <f aca="false">IF(F29=0,"Free – monitor quality",IF(AND(P29&lt;Assumptions!$D$81,Q29&lt;Assumptions!$D$82),"Wait – too little data",IF(OR(W29&gt;=Assumptions!$D$85,AND(R29=0,P29&gt;=Assumptions!$D$86)),"SWITCH OFF",IF(W29&gt;=Assumptions!$D$84,"CUT 50%",IF(W29&lt;=Assumptions!$D$83,"ADD +"&amp;TEXT(Assumptions!$D$87,"0%")&amp;" (if slots free)","HOLD")))))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7" t="n">
        <f aca="false">Channels!H30</f>
        <v>209.5875</v>
      </c>
      <c r="E30" s="24" t="n">
        <f aca="false">Channels!I30</f>
        <v>0.45</v>
      </c>
      <c r="F30" s="35" t="n">
        <f aca="false">Channels!O30</f>
        <v>465.75</v>
      </c>
      <c r="G30" s="17"/>
      <c r="H30" s="15"/>
      <c r="I30" s="15"/>
      <c r="J30" s="17"/>
      <c r="K30" s="15"/>
      <c r="L30" s="15"/>
      <c r="M30" s="17"/>
      <c r="N30" s="15"/>
      <c r="O30" s="15"/>
      <c r="P30" s="35" t="n">
        <f aca="false">G30+J30+M30</f>
        <v>0</v>
      </c>
      <c r="Q30" s="23" t="n">
        <f aca="false">H30+K30+N30</f>
        <v>0</v>
      </c>
      <c r="R30" s="23" t="n">
        <f aca="false">I30+L30+O30</f>
        <v>0</v>
      </c>
      <c r="S30" s="37" t="str">
        <f aca="false">IF(Q30&gt;0,P30/Q30,"")</f>
        <v/>
      </c>
      <c r="T30" s="24" t="str">
        <f aca="false">IF(Q30&gt;0,R30/Q30,"")</f>
        <v/>
      </c>
      <c r="U30" s="24" t="n">
        <f aca="false">(R30+Assumptions!$D$88*E30)/(Q30+Assumptions!$D$88)</f>
        <v>0.45</v>
      </c>
      <c r="V30" s="35" t="n">
        <f aca="false">IF(Q30&gt;=Assumptions!$D$82,S30,D30)/U30</f>
        <v>465.75</v>
      </c>
      <c r="W30" s="45" t="n">
        <f aca="false">IF(F30&gt;0,V30/F30,"")</f>
        <v>1</v>
      </c>
      <c r="X30" s="2" t="str">
        <f aca="false">IF(F30=0,"Free – monitor quality",IF(AND(P30&lt;Assumptions!$D$81,Q30&lt;Assumptions!$D$82),"Wait – too little data",IF(OR(W30&gt;=Assumptions!$D$85,AND(R30=0,P30&gt;=Assumptions!$D$86)),"SWITCH OFF",IF(W30&gt;=Assumptions!$D$84,"CUT 50%",IF(W30&lt;=Assumptions!$D$83,"ADD +"&amp;TEXT(Assumptions!$D$87,"0%")&amp;" (if slots free)","HOLD")))))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7" t="n">
        <f aca="false">Channels!H31</f>
        <v>151.36875</v>
      </c>
      <c r="E31" s="24" t="n">
        <f aca="false">Channels!I31</f>
        <v>0.45</v>
      </c>
      <c r="F31" s="35" t="n">
        <f aca="false">Channels!O31</f>
        <v>336.375</v>
      </c>
      <c r="G31" s="17"/>
      <c r="H31" s="15"/>
      <c r="I31" s="15"/>
      <c r="J31" s="17"/>
      <c r="K31" s="15"/>
      <c r="L31" s="15"/>
      <c r="M31" s="17"/>
      <c r="N31" s="15"/>
      <c r="O31" s="15"/>
      <c r="P31" s="35" t="n">
        <f aca="false">G31+J31+M31</f>
        <v>0</v>
      </c>
      <c r="Q31" s="23" t="n">
        <f aca="false">H31+K31+N31</f>
        <v>0</v>
      </c>
      <c r="R31" s="23" t="n">
        <f aca="false">I31+L31+O31</f>
        <v>0</v>
      </c>
      <c r="S31" s="37" t="str">
        <f aca="false">IF(Q31&gt;0,P31/Q31,"")</f>
        <v/>
      </c>
      <c r="T31" s="24" t="str">
        <f aca="false">IF(Q31&gt;0,R31/Q31,"")</f>
        <v/>
      </c>
      <c r="U31" s="24" t="n">
        <f aca="false">(R31+Assumptions!$D$88*E31)/(Q31+Assumptions!$D$88)</f>
        <v>0.45</v>
      </c>
      <c r="V31" s="35" t="n">
        <f aca="false">IF(Q31&gt;=Assumptions!$D$82,S31,D31)/U31</f>
        <v>336.375</v>
      </c>
      <c r="W31" s="45" t="n">
        <f aca="false">IF(F31&gt;0,V31/F31,"")</f>
        <v>1</v>
      </c>
      <c r="X31" s="2" t="str">
        <f aca="false">IF(F31=0,"Free – monitor quality",IF(AND(P31&lt;Assumptions!$D$81,Q31&lt;Assumptions!$D$82),"Wait – too little data",IF(OR(W31&gt;=Assumptions!$D$85,AND(R31=0,P31&gt;=Assumptions!$D$86)),"SWITCH OFF",IF(W31&gt;=Assumptions!$D$84,"CUT 50%",IF(W31&lt;=Assumptions!$D$83,"ADD +"&amp;TEXT(Assumptions!$D$87,"0%")&amp;" (if slots free)","HOLD")))))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7" t="n">
        <f aca="false">Channels!H32</f>
        <v>138.560625</v>
      </c>
      <c r="E32" s="24" t="n">
        <f aca="false">Channels!I32</f>
        <v>0.45</v>
      </c>
      <c r="F32" s="35" t="n">
        <f aca="false">Channels!O32</f>
        <v>307.9125</v>
      </c>
      <c r="G32" s="17"/>
      <c r="H32" s="15"/>
      <c r="I32" s="15"/>
      <c r="J32" s="17"/>
      <c r="K32" s="15"/>
      <c r="L32" s="15"/>
      <c r="M32" s="17"/>
      <c r="N32" s="15"/>
      <c r="O32" s="15"/>
      <c r="P32" s="35" t="n">
        <f aca="false">G32+J32+M32</f>
        <v>0</v>
      </c>
      <c r="Q32" s="23" t="n">
        <f aca="false">H32+K32+N32</f>
        <v>0</v>
      </c>
      <c r="R32" s="23" t="n">
        <f aca="false">I32+L32+O32</f>
        <v>0</v>
      </c>
      <c r="S32" s="37" t="str">
        <f aca="false">IF(Q32&gt;0,P32/Q32,"")</f>
        <v/>
      </c>
      <c r="T32" s="24" t="str">
        <f aca="false">IF(Q32&gt;0,R32/Q32,"")</f>
        <v/>
      </c>
      <c r="U32" s="24" t="n">
        <f aca="false">(R32+Assumptions!$D$88*E32)/(Q32+Assumptions!$D$88)</f>
        <v>0.45</v>
      </c>
      <c r="V32" s="35" t="n">
        <f aca="false">IF(Q32&gt;=Assumptions!$D$82,S32,D32)/U32</f>
        <v>307.9125</v>
      </c>
      <c r="W32" s="45" t="n">
        <f aca="false">IF(F32&gt;0,V32/F32,"")</f>
        <v>1</v>
      </c>
      <c r="X32" s="2" t="str">
        <f aca="false">IF(F32=0,"Free – monitor quality",IF(AND(P32&lt;Assumptions!$D$81,Q32&lt;Assumptions!$D$82),"Wait – too little data",IF(OR(W32&gt;=Assumptions!$D$85,AND(R32=0,P32&gt;=Assumptions!$D$86)),"SWITCH OFF",IF(W32&gt;=Assumptions!$D$84,"CUT 50%",IF(W32&lt;=Assumptions!$D$83,"ADD +"&amp;TEXT(Assumptions!$D$87,"0%")&amp;" (if slots free)","HOLD")))))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7" t="n">
        <f aca="false">Channels!H33</f>
        <v>30</v>
      </c>
      <c r="E33" s="24" t="n">
        <f aca="false">Channels!I33</f>
        <v>0.15</v>
      </c>
      <c r="F33" s="35" t="n">
        <f aca="false">Channels!O33</f>
        <v>200</v>
      </c>
      <c r="G33" s="17"/>
      <c r="H33" s="15"/>
      <c r="I33" s="15"/>
      <c r="J33" s="17"/>
      <c r="K33" s="15"/>
      <c r="L33" s="15"/>
      <c r="M33" s="17"/>
      <c r="N33" s="15"/>
      <c r="O33" s="15"/>
      <c r="P33" s="35" t="n">
        <f aca="false">G33+J33+M33</f>
        <v>0</v>
      </c>
      <c r="Q33" s="23" t="n">
        <f aca="false">H33+K33+N33</f>
        <v>0</v>
      </c>
      <c r="R33" s="23" t="n">
        <f aca="false">I33+L33+O33</f>
        <v>0</v>
      </c>
      <c r="S33" s="37" t="str">
        <f aca="false">IF(Q33&gt;0,P33/Q33,"")</f>
        <v/>
      </c>
      <c r="T33" s="24" t="str">
        <f aca="false">IF(Q33&gt;0,R33/Q33,"")</f>
        <v/>
      </c>
      <c r="U33" s="24" t="n">
        <f aca="false">(R33+Assumptions!$D$88*E33)/(Q33+Assumptions!$D$88)</f>
        <v>0.15</v>
      </c>
      <c r="V33" s="35" t="n">
        <f aca="false">IF(Q33&gt;=Assumptions!$D$82,S33,D33)/U33</f>
        <v>200</v>
      </c>
      <c r="W33" s="45" t="n">
        <f aca="false">IF(F33&gt;0,V33/F33,"")</f>
        <v>1</v>
      </c>
      <c r="X33" s="2" t="str">
        <f aca="false">IF(F33=0,"Free – monitor quality",IF(AND(P33&lt;Assumptions!$D$81,Q33&lt;Assumptions!$D$82),"Wait – too little data",IF(OR(W33&gt;=Assumptions!$D$85,AND(R33=0,P33&gt;=Assumptions!$D$86)),"SWITCH OFF",IF(W33&gt;=Assumptions!$D$84,"CUT 50%",IF(W33&lt;=Assumptions!$D$83,"ADD +"&amp;TEXT(Assumptions!$D$87,"0%")&amp;" (if slots free)","HOLD")))))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7" t="n">
        <f aca="false">Channels!H34</f>
        <v>12</v>
      </c>
      <c r="E34" s="24" t="n">
        <f aca="false">Channels!I34</f>
        <v>0.22</v>
      </c>
      <c r="F34" s="35" t="n">
        <f aca="false">Channels!O34</f>
        <v>54.5454545454546</v>
      </c>
      <c r="G34" s="17"/>
      <c r="H34" s="15"/>
      <c r="I34" s="15"/>
      <c r="J34" s="17"/>
      <c r="K34" s="15"/>
      <c r="L34" s="15"/>
      <c r="M34" s="17"/>
      <c r="N34" s="15"/>
      <c r="O34" s="15"/>
      <c r="P34" s="35" t="n">
        <f aca="false">G34+J34+M34</f>
        <v>0</v>
      </c>
      <c r="Q34" s="23" t="n">
        <f aca="false">H34+K34+N34</f>
        <v>0</v>
      </c>
      <c r="R34" s="23" t="n">
        <f aca="false">I34+L34+O34</f>
        <v>0</v>
      </c>
      <c r="S34" s="37" t="str">
        <f aca="false">IF(Q34&gt;0,P34/Q34,"")</f>
        <v/>
      </c>
      <c r="T34" s="24" t="str">
        <f aca="false">IF(Q34&gt;0,R34/Q34,"")</f>
        <v/>
      </c>
      <c r="U34" s="24" t="n">
        <f aca="false">(R34+Assumptions!$D$88*E34)/(Q34+Assumptions!$D$88)</f>
        <v>0.22</v>
      </c>
      <c r="V34" s="35" t="n">
        <f aca="false">IF(Q34&gt;=Assumptions!$D$82,S34,D34)/U34</f>
        <v>54.5454545454546</v>
      </c>
      <c r="W34" s="45" t="n">
        <f aca="false">IF(F34&gt;0,V34/F34,"")</f>
        <v>1</v>
      </c>
      <c r="X34" s="2" t="str">
        <f aca="false">IF(F34=0,"Free – monitor quality",IF(AND(P34&lt;Assumptions!$D$81,Q34&lt;Assumptions!$D$82),"Wait – too little data",IF(OR(W34&gt;=Assumptions!$D$85,AND(R34=0,P34&gt;=Assumptions!$D$86)),"SWITCH OFF",IF(W34&gt;=Assumptions!$D$84,"CUT 50%",IF(W34&lt;=Assumptions!$D$83,"ADD +"&amp;TEXT(Assumptions!$D$87,"0%")&amp;" (if slots free)","HOLD")))))</f>
        <v>Wait – too little data</v>
      </c>
    </row>
    <row r="35" customFormat="false" ht="15" hidden="false" customHeight="false" outlineLevel="0" collapsed="false">
      <c r="B35" s="22" t="s">
        <v>366</v>
      </c>
      <c r="G35" s="36" t="n">
        <f aca="false">SUM(G5:G34)</f>
        <v>0</v>
      </c>
      <c r="H35" s="27" t="n">
        <f aca="false">SUM(H5:H34)</f>
        <v>0</v>
      </c>
      <c r="I35" s="27" t="n">
        <f aca="false">SUM(I5:I34)</f>
        <v>0</v>
      </c>
      <c r="J35" s="36" t="n">
        <f aca="false">SUM(J5:J34)</f>
        <v>0</v>
      </c>
      <c r="K35" s="27" t="n">
        <f aca="false">SUM(K5:K34)</f>
        <v>0</v>
      </c>
      <c r="L35" s="27" t="n">
        <f aca="false">SUM(L5:L34)</f>
        <v>0</v>
      </c>
      <c r="M35" s="36" t="n">
        <f aca="false">SUM(M5:M34)</f>
        <v>0</v>
      </c>
      <c r="N35" s="27" t="n">
        <f aca="false">SUM(N5:N34)</f>
        <v>0</v>
      </c>
      <c r="O35" s="27" t="n">
        <f aca="false">SUM(O5:O34)</f>
        <v>0</v>
      </c>
      <c r="P35" s="36" t="n">
        <f aca="false">SUM(P5:P34)</f>
        <v>0</v>
      </c>
      <c r="Q35" s="27" t="n">
        <f aca="false">SUM(Q5:Q34)</f>
        <v>0</v>
      </c>
      <c r="R35" s="27" t="n">
        <f aca="false">SUM(R5:R34)</f>
        <v>0</v>
      </c>
    </row>
    <row r="38" customFormat="false" ht="15" hidden="false" customHeight="false" outlineLevel="0" collapsed="false">
      <c r="A38" s="22" t="s">
        <v>617</v>
      </c>
    </row>
    <row r="39" customFormat="false" ht="45" hidden="false" customHeight="true" outlineLevel="0" collapsed="false">
      <c r="A39" s="12"/>
      <c r="B39" s="12" t="s">
        <v>217</v>
      </c>
      <c r="C39" s="12" t="s">
        <v>618</v>
      </c>
      <c r="D39" s="12" t="s">
        <v>619</v>
      </c>
      <c r="E39" s="12" t="s">
        <v>620</v>
      </c>
      <c r="F39" s="12" t="s">
        <v>621</v>
      </c>
      <c r="G39" s="12" t="s">
        <v>622</v>
      </c>
      <c r="H39" s="12" t="s">
        <v>623</v>
      </c>
      <c r="I39" s="12" t="s">
        <v>624</v>
      </c>
      <c r="J39" s="12" t="s">
        <v>625</v>
      </c>
      <c r="K39" s="12" t="s">
        <v>626</v>
      </c>
      <c r="L39" s="12" t="s">
        <v>627</v>
      </c>
      <c r="M39" s="12" t="s">
        <v>628</v>
      </c>
      <c r="N39" s="12" t="s">
        <v>49</v>
      </c>
      <c r="O39" s="12" t="s">
        <v>629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24" t="n">
        <f aca="false">Assumptions!$D$33</f>
        <v>0.55</v>
      </c>
      <c r="H40" s="24" t="n">
        <f aca="false">IF(C40&gt;=10,D40/C40,G40)</f>
        <v>0.55</v>
      </c>
      <c r="I40" s="24" t="n">
        <f aca="false">Assumptions!$D$41</f>
        <v>0.65</v>
      </c>
      <c r="J40" s="24" t="n">
        <f aca="false">IF(E40&gt;=5,F40/E40,I40)</f>
        <v>0.65</v>
      </c>
      <c r="K40" s="25" t="n">
        <f aca="false">H40*Assumptions!$D$37*J40</f>
        <v>0.32175</v>
      </c>
      <c r="L40" s="26" t="n">
        <f aca="false">MAX(0,Funnel!O5-C40)</f>
        <v>98.7525932400932</v>
      </c>
      <c r="M40" s="40" t="n">
        <f aca="false">MIN(N40,F40+(E40-F40)*J40+(D40-E40)*Assumptions!$D$37*J40+L40*K40)</f>
        <v>30</v>
      </c>
      <c r="N40" s="23" t="n">
        <f aca="false">Funnel!B5</f>
        <v>30</v>
      </c>
      <c r="O40" s="26" t="n">
        <f aca="false">N40-M40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24" t="n">
        <f aca="false">Assumptions!$D$34</f>
        <v>0.6</v>
      </c>
      <c r="H41" s="24" t="n">
        <f aca="false">IF(C41&gt;=10,D41/C41,G41)</f>
        <v>0.6</v>
      </c>
      <c r="I41" s="24" t="n">
        <f aca="false">Assumptions!$D$42</f>
        <v>0.75</v>
      </c>
      <c r="J41" s="24" t="n">
        <f aca="false">IF(E41&gt;=5,F41/E41,I41)</f>
        <v>0.75</v>
      </c>
      <c r="K41" s="25" t="n">
        <f aca="false">H41*Assumptions!$D$38*J41</f>
        <v>0.405</v>
      </c>
      <c r="L41" s="26" t="n">
        <f aca="false">MAX(0,Funnel!O6-C41)</f>
        <v>104.370707070707</v>
      </c>
      <c r="M41" s="40" t="n">
        <f aca="false">MIN(N41,F41+(E41-F41)*J41+(D41-E41)*Assumptions!$D$38*J41+L41*K41)</f>
        <v>42.2701363636364</v>
      </c>
      <c r="N41" s="23" t="n">
        <f aca="false">Funnel!B6</f>
        <v>45</v>
      </c>
      <c r="O41" s="26" t="n">
        <f aca="false">N41-M41</f>
        <v>2.72986363636364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24" t="n">
        <f aca="false">Assumptions!$D$35</f>
        <v>0.5</v>
      </c>
      <c r="H42" s="24" t="n">
        <f aca="false">IF(C42&gt;=10,D42/C42,G42)</f>
        <v>0.5</v>
      </c>
      <c r="I42" s="24" t="n">
        <f aca="false">Assumptions!$D$43</f>
        <v>0.65</v>
      </c>
      <c r="J42" s="24" t="n">
        <f aca="false">IF(E42&gt;=5,F42/E42,I42)</f>
        <v>0.65</v>
      </c>
      <c r="K42" s="25" t="n">
        <f aca="false">H42*Assumptions!$D$39*J42</f>
        <v>0.2925</v>
      </c>
      <c r="L42" s="26" t="n">
        <f aca="false">MAX(0,Funnel!O7-C42)</f>
        <v>50.2020512820513</v>
      </c>
      <c r="M42" s="40" t="n">
        <f aca="false">MIN(N42,F42+(E42-F42)*J42+(D42-E42)*Assumptions!$D$39*J42+L42*K42)</f>
        <v>14.6841</v>
      </c>
      <c r="N42" s="23" t="n">
        <f aca="false">Funnel!B7</f>
        <v>15</v>
      </c>
      <c r="O42" s="26" t="n">
        <f aca="false">N42-M42</f>
        <v>0.315900000000001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24" t="n">
        <f aca="false">Assumptions!$D$36</f>
        <v>0.45</v>
      </c>
      <c r="H43" s="24" t="n">
        <f aca="false">IF(C43&gt;=10,D43/C43,G43)</f>
        <v>0.45</v>
      </c>
      <c r="I43" s="24" t="n">
        <f aca="false">Assumptions!$D$44</f>
        <v>0.7</v>
      </c>
      <c r="J43" s="24" t="n">
        <f aca="false">IF(E43&gt;=5,F43/E43,I43)</f>
        <v>0.7</v>
      </c>
      <c r="K43" s="25" t="n">
        <f aca="false">H43*Assumptions!$D$40*J43</f>
        <v>0.26775</v>
      </c>
      <c r="L43" s="26" t="n">
        <f aca="false">MAX(0,Funnel!O8-C43)</f>
        <v>36.1811066455568</v>
      </c>
      <c r="M43" s="40" t="n">
        <f aca="false">MIN(N43,F43+(E43-F43)*J43+(D43-E43)*Assumptions!$D$40*J43+L43*K43)</f>
        <v>9.68749130434783</v>
      </c>
      <c r="N43" s="23" t="n">
        <f aca="false">Funnel!B8</f>
        <v>10</v>
      </c>
      <c r="O43" s="26" t="n">
        <f aca="false">N43-M43</f>
        <v>0.312508695652173</v>
      </c>
    </row>
    <row r="44" customFormat="false" ht="15" hidden="false" customHeight="false" outlineLevel="0" collapsed="false">
      <c r="B44" s="22" t="s">
        <v>366</v>
      </c>
      <c r="C44" s="29" t="n">
        <f aca="false">SUM(C40:C43)</f>
        <v>0</v>
      </c>
      <c r="D44" s="29" t="n">
        <f aca="false">SUM(D40:D43)</f>
        <v>0</v>
      </c>
      <c r="E44" s="29" t="n">
        <f aca="false">SUM(E40:E43)</f>
        <v>0</v>
      </c>
      <c r="F44" s="29" t="n">
        <f aca="false">SUM(F40:F43)</f>
        <v>0</v>
      </c>
      <c r="L44" s="29" t="n">
        <f aca="false">SUM(L40:L43)</f>
        <v>289.506458238408</v>
      </c>
      <c r="M44" s="29" t="n">
        <f aca="false">SUM(M40:M43)</f>
        <v>96.6417276679842</v>
      </c>
      <c r="N44" s="29" t="n">
        <f aca="false">SUM(N40:N43)</f>
        <v>100</v>
      </c>
      <c r="O44" s="29" t="n">
        <f aca="false">SUM(O40:O43)</f>
        <v>3.35827233201581</v>
      </c>
    </row>
    <row r="46" customFormat="false" ht="15" hidden="false" customHeight="true" outlineLevel="0" collapsed="false">
      <c r="A46" s="9" t="s">
        <v>630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</sheetData>
  <mergeCells count="1">
    <mergeCell ref="A46:O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2026-10-08T17:41:40Z</dcterms:created>
  <dc:creator>openpyxl</dc:creator>
  <dc:description/>
  <dc:language>en-US</dc:language>
  <cp:lastModifiedBy/>
  <dcterms:modified xsi:type="dcterms:W3CDTF">2026-10-08T17:41:41Z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