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<sst xmlns="http://schemas.openxmlformats.org/spreadsheetml/2006/main" count="1389" uniqueCount="753">
  <si>
    <t xml:space="preserve">Operation Uptime — model summary (hypothetical Tesla Giga Berlin maintenance hiring)</t>
  </si>
  <si>
    <t xml:space="preserve">Everything on this tab is a live link.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</si>
  <si>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</si>
  <si>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</si>
  <si>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</si>
  <si>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</si>
  <si>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</si>
  <si>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Hires actually possible (≤ 55 assessments/week)</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</si>
  <si>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</si>
  <si>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</si>
  <si>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</si>
  <si>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</si>
  <si>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</si>
  <si>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</si>
  <si>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t>
  </si>
  <si>
    <t xml:space="preserve">Electricians (see Funnel row 35)</t>
  </si>
  <si>
    <t xml:space="preserve">Most sensitive assumption</t>
  </si>
  <si>
    <t xml:space="preserve">Hires with 30% less budget</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</si>
  <si>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</si>
  <si>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</si>
  <si>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</si>
  <si>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</si>
  <si>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</si>
  <si>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</si>
  <si>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</si>
  <si>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</si>
  <si>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</si>
  <si>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</si>
  <si>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</si>
  <si>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</si>
  <si>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</si>
  <si>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</si>
  <si>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</si>
  <si>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</si>
  <si>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</si>
  <si>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</si>
  <si>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</si>
  <si>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</si>
  <si>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</si>
  <si>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</si>
  <si>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</si>
  <si>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</si>
  <si>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</si>
  <si>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</si>
  <si>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</si>
  <si>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</si>
  <si>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</si>
  <si>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</si>
  <si>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</si>
  <si>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</si>
  <si>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</si>
  <si>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</si>
  <si>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</si>
  <si>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</si>
  <si>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</si>
  <si>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</si>
  <si>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</si>
  <si>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</si>
  <si>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</si>
  <si>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</si>
  <si>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</si>
  <si>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</si>
  <si>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</si>
  <si>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</si>
  <si>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</si>
  <si>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</si>
  <si>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</si>
  <si>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</si>
  <si>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</si>
  <si>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</si>
  <si>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</si>
  <si>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</si>
  <si>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</si>
  <si>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</si>
  <si>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</si>
  <si>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</si>
  <si>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</si>
  <si>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</si>
  <si>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</si>
  <si>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</si>
  <si>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</si>
  <si>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</si>
  <si>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</si>
  <si>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</si>
  <si>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</si>
  <si>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</si>
  <si>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</si>
  <si>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</si>
  <si>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</si>
  <si>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</si>
  <si>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</si>
  <si>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</si>
  <si>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</si>
  <si>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</si>
  <si>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</si>
  <si>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</si>
  <si>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</si>
  <si>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</si>
  <si>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</si>
  <si>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</si>
  <si>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</si>
  <si>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</si>
  <si>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</si>
  <si>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</si>
  <si>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</si>
  <si>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</si>
  <si>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</si>
  <si>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</si>
  <si>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</si>
  <si>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</si>
  <si>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</si>
  <si>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</si>
  <si>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</si>
  <si>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</si>
  <si>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</si>
  <si>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</si>
  <si>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</si>
  <si>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</si>
  <si>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</si>
  <si>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</si>
  <si>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</si>
  <si>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</si>
  <si>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</si>
  <si>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</si>
  <si>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</si>
  <si>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</si>
  <si>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</si>
  <si>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</si>
  <si>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</si>
  <si>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</si>
  <si>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</si>
  <si>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</si>
  <si>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</si>
  <si>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</si>
  <si>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</si>
  <si>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</si>
  <si>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</si>
  <si>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</si>
  <si>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</si>
  <si>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</si>
  <si>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</si>
  <si>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</si>
  <si>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</si>
  <si>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</si>
  <si>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</si>
  <si>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</si>
  <si>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</si>
  <si>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</si>
  <si>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</si>
  <si>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</si>
  <si>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</si>
  <si>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</si>
  <si>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</si>
  <si>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</si>
  <si>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</si>
  <si>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</si>
  <si>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</si>
  <si>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</si>
  <si>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</si>
  <si>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</si>
  <si>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</si>
  <si>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</si>
  <si>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</si>
  <si>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</si>
  <si>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</si>
  <si>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</si>
  <si>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</si>
  <si>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</si>
  <si>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</si>
  <si>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</si>
  <si>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</si>
  <si>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</si>
  <si>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</si>
  <si>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</si>
  <si>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</si>
  <si>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</si>
  <si>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</si>
  <si>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</si>
  <si>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</si>
  <si>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</si>
  <si>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</si>
  <si>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</si>
  <si>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</si>
  <si>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</si>
  <si>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</si>
  <si>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</si>
  <si>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</si>
  <si>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</si>
  <si>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</si>
  <si>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</si>
  <si>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</si>
  <si>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</si>
  <si>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</si>
  <si>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</si>
  <si>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</si>
  <si>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</si>
  <si>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</si>
  <si>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</si>
  <si>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</si>
  <si>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</si>
  <si>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</si>
  <si>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</si>
  <si>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</si>
  <si>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</si>
  <si>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</si>
  <si>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</si>
  <si>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</si>
  <si>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</si>
  <si>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</si>
  <si>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</si>
  <si>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</si>
  <si>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</si>
  <si>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</si>
  <si>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</si>
  <si>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</si>
  <si>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</si>
  <si>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</si>
  <si>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</si>
  <si>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</si>
  <si>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</si>
  <si>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</si>
  <si>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</si>
  <si>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</si>
  <si>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</si>
  <si>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</si>
  <si>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</si>
  <si>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</si>
  <si>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</si>
  <si>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</si>
  <si>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</si>
  <si>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</si>
  <si>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</si>
  <si>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</si>
  <si>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</si>
  <si>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</si>
  <si>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</si>
  <si>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</si>
  <si>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</si>
  <si>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</si>
  <si>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</si>
  <si>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</si>
  <si>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</si>
  <si>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</si>
  <si>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</si>
  <si>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</si>
  <si>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</si>
  <si>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</si>
  <si>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</si>
  <si>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</si>
  <si>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</si>
  <si>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</si>
  <si>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</si>
  <si>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</si>
  <si>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</si>
  <si>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</si>
  <si>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</si>
  <si>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</si>
  <si>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</si>
  <si>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</si>
  <si>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</si>
  <si>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</si>
  <si>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</si>
  <si>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</si>
  <si>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</si>
  <si>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</si>
  <si>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</si>
  <si>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</si>
  <si>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</si>
  <si>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</si>
  <si>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</si>
  <si>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</si>
  <si>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</si>
  <si>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</si>
  <si>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</si>
  <si>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</si>
  <si>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</si>
  <si>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</si>
  <si>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</si>
  <si>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</si>
  <si>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</si>
  <si>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</si>
  <si>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</si>
  <si>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</si>
  <si>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</si>
  <si>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</si>
  <si>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</si>
  <si>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</si>
  <si>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</si>
  <si>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</si>
  <si>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</si>
  <si>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</si>
  <si>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</si>
  <si>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</si>
  <si>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</si>
  <si>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</si>
  <si>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</si>
  <si>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</si>
  <si>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</si>
  <si>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</si>
  <si>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</si>
  <si>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</si>
  <si>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</si>
  <si>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</si>
  <si>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</si>
  <si>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</si>
  <si>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</si>
  <si>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</si>
  <si>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</si>
  <si>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</si>
  <si>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</si>
  <si>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</si>
  <si>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</si>
  <si>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</si>
  <si>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</si>
  <si>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</si>
  <si>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</si>
  <si>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</si>
  <si>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</si>
  <si>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</si>
  <si>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</si>
  <si>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</si>
  <si>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</si>
  <si>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</si>
  <si>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</si>
  <si>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</si>
  <si>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</si>
  <si>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</si>
  <si>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</si>
  <si>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</si>
  <si>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</si>
  <si>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</si>
  <si>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</si>
  <si>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</si>
  <si>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</si>
  <si>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</si>
  <si>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</si>
  <si>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</si>
  <si>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</si>
  <si>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</si>
  <si>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</si>
  <si>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</si>
  <si>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</si>
  <si>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</si>
  <si>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</si>
  <si>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</si>
  <si>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</si>
  <si>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</si>
  <si>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</si>
  <si>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</si>
  <si>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</si>
  <si>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</si>
  <si>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</si>
  <si>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</si>
  <si>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</si>
  <si>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</si>
  <si>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</si>
  <si>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</si>
  <si>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</si>
  <si>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</si>
  <si>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</si>
  <si>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</si>
  <si>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</si>
  <si>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</si>
  <si>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</si>
  <si>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</si>
  <si>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</si>
  <si>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</si>
  <si>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</si>
  <si>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</si>
  <si>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</si>
  <si>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</si>
  <si>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</si>
  <si>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</si>
  <si>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</si>
  <si>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</si>
  <si>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</si>
  <si>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</si>
  <si>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</si>
  <si>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</si>
  <si>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</si>
  <si>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</si>
  <si>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</si>
  <si>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</si>
  <si>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</si>
  <si>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</si>
  <si>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</si>
  <si>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</si>
  <si>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</si>
  <si>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</si>
  <si>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</si>
  <si>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</si>
  <si>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</si>
  <si>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</si>
  <si>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</si>
  <si>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</si>
  <si>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</si>
  <si>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</si>
  <si>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</si>
  <si>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</si>
  <si>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</si>
  <si>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</si>
  <si>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</si>
  <si>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</si>
  <si>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</si>
  <si>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</si>
  <si>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</si>
  <si>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</si>
  <si>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</si>
  <si>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</si>
  <si>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</si>
  <si>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</si>
  <si>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</si>
  <si>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</si>
  <si>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</si>
  <si>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</si>
  <si>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</si>
  <si>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</si>
  <si>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</si>
  <si>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</si>
  <si>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</si>
  <si>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</si>
  <si>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</si>
  <si>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</si>
  <si>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</si>
  <si>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</si>
  <si>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</si>
  <si>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</si>
  <si>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</si>
  <si>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</si>
  <si>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</si>
  <si>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</si>
  <si>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</si>
  <si>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</si>
  <si>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</si>
  <si>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</si>
  <si>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</si>
  <si>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</si>
  <si>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</si>
  <si>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</si>
  <si>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</si>
  <si>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</si>
  <si>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</si>
  <si>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</si>
  <si>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</si>
  <si>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</si>
  <si>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</si>
  <si>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</si>
  <si>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</si>
  <si>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</si>
  <si>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</si>
  <si>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</si>
  <si>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</si>
  <si>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</si>
  <si>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</si>
  <si>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</si>
  <si>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</si>
  <si>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No</t>
  </si>
  <si>
    <t xml:space="preserve">No – recognition takes 2–4 months</t>
  </si>
  <si>
    <t xml:space="preserve">Yes (≤40%)</t>
  </si>
  <si>
    <t xml:space="preserve">Yes (no recognition gate in brief)</t>
  </si>
  <si>
    <t xml:space="preserve">Verdict: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</si>
  <si>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</si>
  <si>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</si>
  <si>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</si>
  <si>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</si>
  <si>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</si>
  <si>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</si>
  <si>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</si>
  <si>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</si>
  <si>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</si>
  <si>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</si>
  <si>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</si>
  <si>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</si>
  <si>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</si>
  <si>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</si>
  <si>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</si>
  <si>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</si>
  <si>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</si>
  <si>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</si>
  <si>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</si>
  <si>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</si>
  <si>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</si>
  <si>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</si>
  <si>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</si>
  <si>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</si>
  <si>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</si>
  <si>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</si>
  <si>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</si>
  <si>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</si>
  <si>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</si>
  <si>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</si>
  <si>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</si>
  <si>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</si>
  <si>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</si>
  <si>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</si>
  <si>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</si>
  <si>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</si>
  <si>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</si>
  <si>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</si>
  <si>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</si>
  <si>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</si>
  <si>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</si>
  <si>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</si>
  <si>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</si>
  <si>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</si>
  <si>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</si>
  <si>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</si>
  <si>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</si>
  <si>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</si>
  <si>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</si>
  <si>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</si>
  <si>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</si>
  <si>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</si>
  <si>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</si>
  <si>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</si>
  <si>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</si>
  <si>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</si>
  <si>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</si>
  <si>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</si>
  <si>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</si>
  <si>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</si>
  <si>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</si>
  <si>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</si>
  <si>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</si>
  <si>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</si>
  <si>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</si>
  <si>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</si>
  <si>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</si>
  <si>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</si>
  <si>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</si>
  <si>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</si>
  <si>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</si>
  <si>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</si>
  <si>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</si>
  <si>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</si>
  <si>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</si>
  <si>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</si>
  <si>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</si>
  <si>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</si>
  <si>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</si>
  <si>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</si>
  <si>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</si>
  <si>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</si>
  <si>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</si>
  <si>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</si>
  <si>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</si>
  <si>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</si>
  <si>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</si>
  <si>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</si>
  <si>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</si>
  <si>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</si>
  <si>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</si>
  <si>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</si>
  <si>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</si>
  <si>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</si>
  <si>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</si>
  <si>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</si>
  <si>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</si>
  <si>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</si>
  <si>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</si>
  <si>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</si>
  <si>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</si>
  <si>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</si>
  <si>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</si>
  <si>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</si>
  <si>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</si>
  <si>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</si>
  <si>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</si>
  <si>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</si>
  <si>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</si>
  <si>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</si>
  <si>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</si>
  <si>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</si>
  <si>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</si>
  <si>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</si>
  <si>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</si>
  <si>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</si>
  <si>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</si>
  <si>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</si>
  <si>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</si>
  <si>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</si>
  <si>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</si>
  <si>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</si>
  <si>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</si>
  <si>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</si>
  <si>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</si>
  <si>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</si>
  <si>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</si>
  <si>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</si>
  <si>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</si>
  <si>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</si>
  <si>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</si>
  <si>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</si>
  <si>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</si>
  <si>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</si>
  <si>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</si>
  <si>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</si>
  <si>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</si>
  <si>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</si>
  <si>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</si>
  <si>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</si>
  <si>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</si>
  <si>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</si>
  <si>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</si>
  <si>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</si>
  <si>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</si>
  <si>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</si>
  <si>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</si>
  <si>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</si>
  <si>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</si>
  <si>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</si>
  <si>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</si>
  <si>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</si>
  <si>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</si>
  <si>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</si>
  <si>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</si>
  <si>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</si>
  <si>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</si>
  <si>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</si>
  <si>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</si>
  <si>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</si>
  <si>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</si>
  <si>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</si>
  <si>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</si>
  <si>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</si>
  <si>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</si>
  <si>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</si>
  <si>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</si>
  <si>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</si>
  <si>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</si>
  <si>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</si>
  <si>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</si>
  <si>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</si>
  <si>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</si>
  <si>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</si>
  <si>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</si>
  <si>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</si>
  <si>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</si>
  <si>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</si>
  <si>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</si>
  <si>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</si>
  <si>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</si>
  <si>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</si>
  <si>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</si>
  <si>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</si>
  <si>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</si>
  <si>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</si>
  <si>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</si>
  <si>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</si>
  <si>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</si>
  <si>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</si>
  <si>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</si>
  <si>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</si>
  <si>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Hires by role</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</si>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</sst>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
        <v>7</v>
      </c>
      <c r="C9" s="5" t="n">
        <f aca="false">MIN(Budget!C13,Funnel!B26)</f>
        <v>100</v>
      </c>
    </row>
    <row r="10" customFormat="false" ht="15" hidden="false" customHeight="false" outlineLevel="0" collapsed="false">
      <c r="B10" s="2" t="s">
        <v>8</v>
      </c>
      <c r="C10" s="4" t="n">
        <f aca="false">Budget!C14</f>
        <v>387.334681977991</v>
      </c>
    </row>
    <row r="11" customFormat="false" ht="15" hidden="false" customHeight="false" outlineLevel="0" collapsed="false">
      <c r="B11" s="2" t="s">
        <v>9</v>
      </c>
      <c r="C11" s="3" t="n">
        <f aca="false">Funnel!B23</f>
        <v>290.6797502142</v>
      </c>
    </row>
    <row r="12" customFormat="false" ht="15" hidden="false" customHeight="false" outlineLevel="0" collapsed="false">
      <c r="B12" s="2" t="s">
        <v>10</v>
      </c>
      <c r="C12" s="3" t="n">
        <f aca="false">Funnel!B22</f>
        <v>322.142857142857</v>
      </c>
    </row>
    <row r="13" customFormat="false" ht="15" hidden="false" customHeight="false" outlineLevel="0" collapsed="false">
      <c r="B13" s="2" t="s">
        <v>11</v>
      </c>
      <c r="C13" s="6" t="n">
        <f aca="false">Funnel!B24</f>
        <v>0.90233181884674</v>
      </c>
    </row>
    <row r="14" customFormat="false" ht="15" hidden="false" customHeight="false" outlineLevel="0" collapsed="false">
      <c r="B14" s="2" t="s">
        <v>12</v>
      </c>
      <c r="C14" s="7" t="n">
        <f aca="false">Funnel!B19</f>
        <v>46353</v>
      </c>
    </row>
    <row r="15" customFormat="false" ht="15" hidden="false" customHeight="false" outlineLevel="0" collapsed="false">
      <c r="B15" s="2" t="s">
        <v>13</v>
      </c>
      <c r="C15" s="7" t="n">
        <f aca="false">Funnel!B20</f>
        <v>46346</v>
      </c>
    </row>
    <row r="16" customFormat="false" ht="15" hidden="false" customHeight="false" outlineLevel="0" collapsed="false">
      <c r="B16" s="2" t="s">
        <v>14</v>
      </c>
      <c r="C16" s="8" t="s">
        <v>15</v>
      </c>
    </row>
    <row r="17" customFormat="false" ht="15" hidden="false" customHeight="false" outlineLevel="0" collapsed="false">
      <c r="B17" s="2" t="s">
        <v>16</v>
      </c>
      <c r="C17" s="8" t="str">
        <f aca="false">Funnel!D49</f>
        <v>Qualified → signed (assessment pass rate) ×0.7</v>
      </c>
    </row>
    <row r="18" customFormat="false" ht="15" hidden="false" customHeight="false" outlineLevel="0" collapsed="false">
      <c r="B18" s="2" t="s">
        <v>17</v>
      </c>
      <c r="C18" s="5" t="n">
        <f aca="false">Budget!H47</f>
        <v>90.6720880966647</v>
      </c>
    </row>
    <row r="20" customFormat="false" ht="15" hidden="false" customHeight="true" outlineLevel="0" collapsed="false">
      <c r="B20" s="9" t="s">
        <v>18</v>
      </c>
      <c r="C20" s="9"/>
      <c r="D20" s="9"/>
      <c r="E20" s="9"/>
      <c r="F20" s="9"/>
      <c r="G20" s="9"/>
    </row>
    <row r="21" customFormat="false" ht="15" hidden="false" customHeight="false" outlineLevel="0" collapsed="false">
      <c r="B21" s="9"/>
      <c r="C21" s="9"/>
      <c r="D21" s="9"/>
      <c r="E21" s="9"/>
      <c r="F21" s="9"/>
      <c r="G21" s="9"/>
    </row>
  </sheetData>
  <mergeCells count="1">
    <mergeCell ref="B20: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52.2" hidden="false" customHeight="false" outlineLevel="0" collapsed="false">
      <c r="A78" s="2" t="s">
        <v>193</v>
      </c>
      <c r="B78" s="13" t="s">
        <v>194</v>
      </c>
      <c r="C78" s="2" t="s">
        <v>50</v>
      </c>
      <c r="D78" s="15" t="n">
        <v>150</v>
      </c>
      <c r="E78" s="2" t="s">
        <v>179</v>
      </c>
      <c r="F78" s="2" t="s">
        <v>195</v>
      </c>
      <c r="G78" s="13" t="s">
        <v>196</v>
      </c>
    </row>
    <row r="79" customFormat="false" ht="52.2" hidden="false" customHeight="false" outlineLevel="0" collapsed="false">
      <c r="A79" s="2" t="s">
        <v>197</v>
      </c>
      <c r="B79" s="13" t="s">
        <v>194</v>
      </c>
      <c r="C79" s="2" t="s">
        <v>45</v>
      </c>
      <c r="D79" s="15" t="n">
        <v>300</v>
      </c>
      <c r="E79" s="2" t="s">
        <v>179</v>
      </c>
      <c r="F79" s="2" t="s">
        <v>195</v>
      </c>
      <c r="G79" s="13" t="s">
        <v>196</v>
      </c>
    </row>
    <row r="80" customFormat="false" ht="52.2" hidden="false" customHeight="false" outlineLevel="0" collapsed="false">
      <c r="A80" s="2" t="s">
        <v>198</v>
      </c>
      <c r="B80" s="13" t="s">
        <v>194</v>
      </c>
      <c r="C80" s="2" t="s">
        <v>55</v>
      </c>
      <c r="D80" s="15" t="n">
        <v>400</v>
      </c>
      <c r="E80" s="2" t="s">
        <v>179</v>
      </c>
      <c r="F80" s="2" t="s">
        <v>195</v>
      </c>
      <c r="G80" s="13" t="s">
        <v>196</v>
      </c>
    </row>
    <row r="81" customFormat="false" ht="52.2" hidden="false" customHeight="false" outlineLevel="0" collapsed="false">
      <c r="A81" s="2" t="s">
        <v>199</v>
      </c>
      <c r="B81" s="13" t="s">
        <v>194</v>
      </c>
      <c r="C81" s="2" t="s">
        <v>57</v>
      </c>
      <c r="D81" s="15" t="n">
        <v>100</v>
      </c>
      <c r="E81" s="2" t="s">
        <v>179</v>
      </c>
      <c r="F81" s="2" t="s">
        <v>195</v>
      </c>
      <c r="G81" s="13" t="s">
        <v>196</v>
      </c>
    </row>
    <row r="83" customFormat="false" ht="15" hidden="false" customHeight="false" outlineLevel="0" collapsed="false">
      <c r="A83" s="10" t="s">
        <v>200</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201</v>
      </c>
      <c r="B85" s="13" t="s">
        <v>202</v>
      </c>
      <c r="C85" s="2" t="s">
        <v>203</v>
      </c>
      <c r="D85" s="17" t="n">
        <v>500</v>
      </c>
      <c r="E85" s="2" t="s">
        <v>127</v>
      </c>
      <c r="F85" s="2" t="s">
        <v>66</v>
      </c>
      <c r="G85" s="13" t="s">
        <v>204</v>
      </c>
    </row>
    <row r="86" customFormat="false" ht="15" hidden="false" customHeight="false" outlineLevel="0" collapsed="false">
      <c r="A86" s="2" t="s">
        <v>205</v>
      </c>
      <c r="B86" s="13" t="s">
        <v>206</v>
      </c>
      <c r="C86" s="2" t="s">
        <v>203</v>
      </c>
      <c r="D86" s="15" t="n">
        <v>30</v>
      </c>
      <c r="E86" s="2" t="s">
        <v>207</v>
      </c>
      <c r="F86" s="2" t="s">
        <v>66</v>
      </c>
      <c r="G86" s="13" t="s">
        <v>208</v>
      </c>
    </row>
    <row r="87" customFormat="false" ht="26.85" hidden="false" customHeight="false" outlineLevel="0" collapsed="false">
      <c r="A87" s="2" t="s">
        <v>209</v>
      </c>
      <c r="B87" s="13" t="s">
        <v>210</v>
      </c>
      <c r="C87" s="2" t="s">
        <v>203</v>
      </c>
      <c r="D87" s="18" t="n">
        <v>0.8</v>
      </c>
      <c r="E87" s="2" t="s">
        <v>211</v>
      </c>
      <c r="F87" s="2" t="s">
        <v>66</v>
      </c>
      <c r="G87" s="13" t="s">
        <v>212</v>
      </c>
    </row>
    <row r="88" customFormat="false" ht="26.85" hidden="false" customHeight="false" outlineLevel="0" collapsed="false">
      <c r="A88" s="2" t="s">
        <v>213</v>
      </c>
      <c r="B88" s="13" t="s">
        <v>214</v>
      </c>
      <c r="C88" s="2" t="s">
        <v>203</v>
      </c>
      <c r="D88" s="18" t="n">
        <v>1.5</v>
      </c>
      <c r="E88" s="2" t="s">
        <v>211</v>
      </c>
      <c r="F88" s="2" t="s">
        <v>66</v>
      </c>
      <c r="G88" s="13" t="s">
        <v>215</v>
      </c>
    </row>
    <row r="89" customFormat="false" ht="15" hidden="false" customHeight="false" outlineLevel="0" collapsed="false">
      <c r="A89" s="2" t="s">
        <v>216</v>
      </c>
      <c r="B89" s="13" t="s">
        <v>217</v>
      </c>
      <c r="C89" s="2" t="s">
        <v>203</v>
      </c>
      <c r="D89" s="18" t="n">
        <v>2</v>
      </c>
      <c r="E89" s="2" t="s">
        <v>211</v>
      </c>
      <c r="F89" s="2" t="s">
        <v>66</v>
      </c>
      <c r="G89" s="13" t="s">
        <v>218</v>
      </c>
    </row>
    <row r="90" customFormat="false" ht="39.55" hidden="false" customHeight="false" outlineLevel="0" collapsed="false">
      <c r="A90" s="2" t="s">
        <v>219</v>
      </c>
      <c r="B90" s="13" t="s">
        <v>220</v>
      </c>
      <c r="C90" s="2" t="s">
        <v>203</v>
      </c>
      <c r="D90" s="17" t="n">
        <v>750</v>
      </c>
      <c r="E90" s="2" t="s">
        <v>127</v>
      </c>
      <c r="F90" s="2" t="s">
        <v>66</v>
      </c>
      <c r="G90" s="13" t="s">
        <v>221</v>
      </c>
    </row>
    <row r="91" customFormat="false" ht="26.85" hidden="false" customHeight="false" outlineLevel="0" collapsed="false">
      <c r="A91" s="2" t="s">
        <v>222</v>
      </c>
      <c r="B91" s="13" t="s">
        <v>223</v>
      </c>
      <c r="C91" s="2" t="s">
        <v>203</v>
      </c>
      <c r="D91" s="15" t="n">
        <v>2</v>
      </c>
      <c r="E91" s="2" t="s">
        <v>224</v>
      </c>
      <c r="F91" s="2" t="s">
        <v>66</v>
      </c>
      <c r="G91" s="13" t="s">
        <v>225</v>
      </c>
    </row>
    <row r="92" customFormat="false" ht="26.85" hidden="false" customHeight="false" outlineLevel="0" collapsed="false">
      <c r="A92" s="2" t="s">
        <v>226</v>
      </c>
      <c r="B92" s="13" t="s">
        <v>227</v>
      </c>
      <c r="C92" s="2" t="s">
        <v>203</v>
      </c>
      <c r="D92" s="16" t="n">
        <v>0.5</v>
      </c>
      <c r="E92" s="2" t="s">
        <v>46</v>
      </c>
      <c r="F92" s="2" t="s">
        <v>66</v>
      </c>
      <c r="G92" s="13" t="s">
        <v>228</v>
      </c>
    </row>
    <row r="93" customFormat="false" ht="26.85" hidden="false" customHeight="false" outlineLevel="0" collapsed="false">
      <c r="A93" s="2" t="s">
        <v>229</v>
      </c>
      <c r="B93" s="13" t="s">
        <v>230</v>
      </c>
      <c r="C93" s="2" t="s">
        <v>231</v>
      </c>
      <c r="D93" s="16" t="n">
        <v>0.6</v>
      </c>
      <c r="E93" s="2" t="s">
        <v>46</v>
      </c>
      <c r="F93" s="2" t="s">
        <v>66</v>
      </c>
      <c r="G93" s="13" t="s">
        <v>232</v>
      </c>
    </row>
    <row r="94" customFormat="false" ht="26.85" hidden="false" customHeight="false" outlineLevel="0" collapsed="false">
      <c r="A94" s="2" t="s">
        <v>233</v>
      </c>
      <c r="B94" s="13" t="s">
        <v>234</v>
      </c>
      <c r="C94" s="2" t="s">
        <v>231</v>
      </c>
      <c r="D94" s="18" t="n">
        <v>1.25</v>
      </c>
      <c r="E94" s="2" t="s">
        <v>211</v>
      </c>
      <c r="F94" s="2" t="s">
        <v>66</v>
      </c>
      <c r="G94" s="13" t="s">
        <v>235</v>
      </c>
    </row>
    <row r="95" customFormat="false" ht="26.85" hidden="false" customHeight="false" outlineLevel="0" collapsed="false">
      <c r="A95" s="2" t="s">
        <v>236</v>
      </c>
      <c r="B95" s="13" t="s">
        <v>237</v>
      </c>
      <c r="C95" s="2" t="s">
        <v>231</v>
      </c>
      <c r="D95" s="16" t="n">
        <v>0.3</v>
      </c>
      <c r="E95" s="2" t="s">
        <v>46</v>
      </c>
      <c r="F95" s="2" t="s">
        <v>66</v>
      </c>
      <c r="G95" s="13" t="s">
        <v>238</v>
      </c>
    </row>
    <row r="96" customFormat="false" ht="26.85" hidden="false" customHeight="false" outlineLevel="0" collapsed="false">
      <c r="A96" s="2" t="s">
        <v>239</v>
      </c>
      <c r="B96" s="13" t="s">
        <v>240</v>
      </c>
      <c r="C96" s="2" t="s">
        <v>231</v>
      </c>
      <c r="D96" s="18" t="n">
        <v>1.5</v>
      </c>
      <c r="E96" s="2" t="s">
        <v>211</v>
      </c>
      <c r="F96" s="2" t="s">
        <v>66</v>
      </c>
      <c r="G96" s="13" t="s">
        <v>241</v>
      </c>
    </row>
    <row r="97" customFormat="false" ht="26.85" hidden="false" customHeight="false" outlineLevel="0" collapsed="false">
      <c r="A97" s="2" t="s">
        <v>242</v>
      </c>
      <c r="B97" s="13" t="s">
        <v>243</v>
      </c>
      <c r="C97" s="2" t="s">
        <v>244</v>
      </c>
      <c r="D97" s="16" t="n">
        <v>0.35</v>
      </c>
      <c r="E97" s="2" t="s">
        <v>46</v>
      </c>
      <c r="F97" s="2" t="s">
        <v>66</v>
      </c>
      <c r="G97" s="13" t="s">
        <v>245</v>
      </c>
    </row>
    <row r="98" customFormat="false" ht="15" hidden="false" customHeight="false" outlineLevel="0" collapsed="false">
      <c r="A98" s="2" t="s">
        <v>246</v>
      </c>
      <c r="B98" s="13" t="s">
        <v>247</v>
      </c>
      <c r="C98" s="2" t="s">
        <v>244</v>
      </c>
      <c r="D98" s="16" t="n">
        <v>0.4</v>
      </c>
      <c r="E98" s="2" t="s">
        <v>46</v>
      </c>
      <c r="F98" s="2" t="s">
        <v>66</v>
      </c>
      <c r="G98" s="13" t="s">
        <v>248</v>
      </c>
    </row>
    <row r="99" customFormat="false" ht="15" hidden="false" customHeight="false" outlineLevel="0" collapsed="false">
      <c r="A99" s="2" t="s">
        <v>249</v>
      </c>
      <c r="B99" s="13" t="s">
        <v>250</v>
      </c>
      <c r="C99" s="2" t="s">
        <v>244</v>
      </c>
      <c r="D99" s="16" t="n">
        <v>0.25</v>
      </c>
      <c r="E99" s="2" t="s">
        <v>46</v>
      </c>
      <c r="F99" s="2" t="s">
        <v>66</v>
      </c>
      <c r="G99" s="13" t="s">
        <v>251</v>
      </c>
    </row>
    <row r="100" customFormat="false" ht="15" hidden="false" customHeight="false" outlineLevel="0" collapsed="false">
      <c r="A100" s="2" t="s">
        <v>252</v>
      </c>
      <c r="B100" s="13" t="s">
        <v>253</v>
      </c>
      <c r="C100" s="2" t="s">
        <v>203</v>
      </c>
      <c r="D100" s="16" t="n">
        <v>0.25</v>
      </c>
      <c r="E100" s="2" t="s">
        <v>46</v>
      </c>
      <c r="F100" s="2" t="s">
        <v>66</v>
      </c>
      <c r="G100" s="13" t="s">
        <v>254</v>
      </c>
    </row>
    <row r="101" customFormat="false" ht="26.85" hidden="false" customHeight="false" outlineLevel="0" collapsed="false">
      <c r="A101" s="2" t="s">
        <v>255</v>
      </c>
      <c r="B101" s="13" t="s">
        <v>256</v>
      </c>
      <c r="C101" s="2" t="s">
        <v>257</v>
      </c>
      <c r="D101" s="15" t="n">
        <v>10</v>
      </c>
      <c r="E101" s="2" t="s">
        <v>258</v>
      </c>
      <c r="F101" s="2" t="s">
        <v>66</v>
      </c>
      <c r="G101" s="13" t="s">
        <v>259</v>
      </c>
    </row>
    <row r="102" customFormat="false" ht="26.85" hidden="false" customHeight="false" outlineLevel="0" collapsed="false">
      <c r="A102" s="2" t="s">
        <v>260</v>
      </c>
      <c r="B102" s="13" t="s">
        <v>261</v>
      </c>
      <c r="C102" s="2" t="s">
        <v>257</v>
      </c>
      <c r="D102" s="15" t="n">
        <v>5</v>
      </c>
      <c r="E102" s="2" t="s">
        <v>262</v>
      </c>
      <c r="F102" s="2" t="s">
        <v>66</v>
      </c>
      <c r="G102" s="13" t="s">
        <v>263</v>
      </c>
    </row>
    <row r="103" customFormat="false" ht="26.85" hidden="false" customHeight="false" outlineLevel="0" collapsed="false">
      <c r="A103" s="2" t="s">
        <v>264</v>
      </c>
      <c r="B103" s="13" t="s">
        <v>265</v>
      </c>
      <c r="C103" s="2" t="s">
        <v>266</v>
      </c>
      <c r="D103" s="16" t="n">
        <v>0.25</v>
      </c>
      <c r="E103" s="2" t="s">
        <v>46</v>
      </c>
      <c r="F103" s="2" t="s">
        <v>66</v>
      </c>
      <c r="G103" s="13" t="s">
        <v>267</v>
      </c>
    </row>
    <row r="104" customFormat="false" ht="15" hidden="false" customHeight="false" outlineLevel="0" collapsed="false">
      <c r="A104" s="2" t="s">
        <v>268</v>
      </c>
      <c r="B104" s="13" t="s">
        <v>269</v>
      </c>
      <c r="C104" s="2" t="s">
        <v>266</v>
      </c>
      <c r="D104" s="16" t="n">
        <v>0.12</v>
      </c>
      <c r="E104" s="2" t="s">
        <v>46</v>
      </c>
      <c r="F104" s="2" t="s">
        <v>66</v>
      </c>
      <c r="G104" s="13" t="s">
        <v>270</v>
      </c>
    </row>
    <row r="105" customFormat="false" ht="15" hidden="false" customHeight="false" outlineLevel="0" collapsed="false">
      <c r="A105" s="2" t="s">
        <v>271</v>
      </c>
      <c r="B105" s="13" t="s">
        <v>272</v>
      </c>
      <c r="C105" s="2" t="s">
        <v>273</v>
      </c>
      <c r="D105" s="16" t="n">
        <v>0.85</v>
      </c>
      <c r="E105" s="2" t="s">
        <v>46</v>
      </c>
      <c r="F105" s="2" t="s">
        <v>66</v>
      </c>
      <c r="G105" s="13" t="s">
        <v>274</v>
      </c>
    </row>
    <row r="106" customFormat="false" ht="26.85" hidden="false" customHeight="false" outlineLevel="0" collapsed="false">
      <c r="A106" s="2" t="s">
        <v>275</v>
      </c>
      <c r="B106" s="13" t="s">
        <v>276</v>
      </c>
      <c r="C106" s="2" t="s">
        <v>277</v>
      </c>
      <c r="D106" s="16" t="n">
        <v>0.9</v>
      </c>
      <c r="E106" s="2" t="s">
        <v>46</v>
      </c>
      <c r="F106" s="2" t="s">
        <v>66</v>
      </c>
      <c r="G106" s="13" t="s">
        <v>278</v>
      </c>
    </row>
    <row r="107" customFormat="false" ht="39.55" hidden="false" customHeight="false" outlineLevel="0" collapsed="false">
      <c r="A107" s="2" t="s">
        <v>279</v>
      </c>
      <c r="B107" s="13" t="s">
        <v>280</v>
      </c>
      <c r="C107" s="2" t="s">
        <v>40</v>
      </c>
      <c r="D107" s="15" t="n">
        <v>45</v>
      </c>
      <c r="E107" s="2" t="s">
        <v>281</v>
      </c>
      <c r="F107" s="2" t="s">
        <v>66</v>
      </c>
      <c r="G107" s="13" t="s">
        <v>282</v>
      </c>
    </row>
    <row r="108" customFormat="false" ht="26.85" hidden="false" customHeight="false" outlineLevel="0" collapsed="false">
      <c r="A108" s="2" t="s">
        <v>283</v>
      </c>
      <c r="B108" s="13" t="s">
        <v>284</v>
      </c>
      <c r="C108" s="2" t="s">
        <v>203</v>
      </c>
      <c r="D108" s="15" t="n">
        <v>30</v>
      </c>
      <c r="E108" s="2" t="s">
        <v>207</v>
      </c>
      <c r="F108" s="2" t="s">
        <v>66</v>
      </c>
      <c r="G108" s="13" t="s">
        <v>285</v>
      </c>
    </row>
    <row r="110" customFormat="false" ht="15" hidden="false" customHeight="false" outlineLevel="0" collapsed="false">
      <c r="A110" s="10" t="s">
        <v>286</v>
      </c>
      <c r="B110" s="11"/>
      <c r="C110" s="11"/>
      <c r="D110" s="11"/>
      <c r="E110" s="11"/>
      <c r="F110" s="11"/>
      <c r="G110" s="11"/>
      <c r="H110" s="11"/>
      <c r="I110" s="11"/>
      <c r="J110" s="11"/>
      <c r="K110" s="11"/>
      <c r="L110" s="11"/>
    </row>
    <row r="111" customFormat="false" ht="45" hidden="false" customHeight="true" outlineLevel="0" collapsed="false">
      <c r="A111" s="12" t="s">
        <v>22</v>
      </c>
      <c r="B111" s="12" t="s">
        <v>287</v>
      </c>
      <c r="C111" s="12" t="s">
        <v>288</v>
      </c>
      <c r="D111" s="12" t="s">
        <v>289</v>
      </c>
      <c r="E111" s="12" t="s">
        <v>290</v>
      </c>
      <c r="F111" s="12" t="s">
        <v>291</v>
      </c>
      <c r="G111" s="12" t="s">
        <v>292</v>
      </c>
      <c r="H111" s="12" t="s">
        <v>293</v>
      </c>
      <c r="I111" s="12" t="s">
        <v>294</v>
      </c>
      <c r="J111" s="12" t="s">
        <v>295</v>
      </c>
      <c r="K111" s="12" t="s">
        <v>27</v>
      </c>
      <c r="L111" s="12" t="s">
        <v>28</v>
      </c>
    </row>
    <row r="112" customFormat="false" ht="26.85" hidden="false" customHeight="false" outlineLevel="0" collapsed="false">
      <c r="A112" s="2" t="s">
        <v>296</v>
      </c>
      <c r="B112" s="13" t="s">
        <v>297</v>
      </c>
      <c r="C112" s="2" t="s">
        <v>50</v>
      </c>
      <c r="D112" s="2" t="s">
        <v>298</v>
      </c>
      <c r="E112" s="19" t="n">
        <v>0</v>
      </c>
      <c r="F112" s="15"/>
      <c r="G112" s="16" t="n">
        <v>0.08</v>
      </c>
      <c r="H112" s="15" t="n">
        <v>150</v>
      </c>
      <c r="I112" s="20" t="n">
        <v>1</v>
      </c>
      <c r="J112" s="17" t="n">
        <v>0</v>
      </c>
      <c r="K112" s="2" t="s">
        <v>66</v>
      </c>
      <c r="L112" s="13" t="s">
        <v>299</v>
      </c>
    </row>
    <row r="113" customFormat="false" ht="26.85" hidden="false" customHeight="false" outlineLevel="0" collapsed="false">
      <c r="A113" s="2" t="s">
        <v>300</v>
      </c>
      <c r="B113" s="13" t="s">
        <v>297</v>
      </c>
      <c r="C113" s="2" t="s">
        <v>45</v>
      </c>
      <c r="D113" s="2" t="s">
        <v>298</v>
      </c>
      <c r="E113" s="19" t="n">
        <v>0</v>
      </c>
      <c r="F113" s="15"/>
      <c r="G113" s="16" t="n">
        <v>0.18</v>
      </c>
      <c r="H113" s="15" t="n">
        <v>200</v>
      </c>
      <c r="I113" s="20" t="n">
        <v>1</v>
      </c>
      <c r="J113" s="17" t="n">
        <v>0</v>
      </c>
      <c r="K113" s="2" t="s">
        <v>66</v>
      </c>
      <c r="L113" s="13" t="s">
        <v>301</v>
      </c>
    </row>
    <row r="114" customFormat="false" ht="26.85" hidden="false" customHeight="false" outlineLevel="0" collapsed="false">
      <c r="A114" s="2" t="s">
        <v>302</v>
      </c>
      <c r="B114" s="13" t="s">
        <v>297</v>
      </c>
      <c r="C114" s="2" t="s">
        <v>55</v>
      </c>
      <c r="D114" s="2" t="s">
        <v>298</v>
      </c>
      <c r="E114" s="19" t="n">
        <v>0</v>
      </c>
      <c r="F114" s="15"/>
      <c r="G114" s="16" t="n">
        <v>0.1</v>
      </c>
      <c r="H114" s="15" t="n">
        <v>80</v>
      </c>
      <c r="I114" s="20" t="n">
        <v>1</v>
      </c>
      <c r="J114" s="17" t="n">
        <v>0</v>
      </c>
      <c r="K114" s="2" t="s">
        <v>66</v>
      </c>
      <c r="L114" s="13" t="s">
        <v>303</v>
      </c>
    </row>
    <row r="115" customFormat="false" ht="26.85" hidden="false" customHeight="false" outlineLevel="0" collapsed="false">
      <c r="A115" s="2" t="s">
        <v>304</v>
      </c>
      <c r="B115" s="13" t="s">
        <v>297</v>
      </c>
      <c r="C115" s="2" t="s">
        <v>57</v>
      </c>
      <c r="D115" s="2" t="s">
        <v>298</v>
      </c>
      <c r="E115" s="19" t="n">
        <v>0</v>
      </c>
      <c r="F115" s="15"/>
      <c r="G115" s="16" t="n">
        <v>0.08</v>
      </c>
      <c r="H115" s="15" t="n">
        <v>60</v>
      </c>
      <c r="I115" s="20" t="n">
        <v>1</v>
      </c>
      <c r="J115" s="17" t="n">
        <v>0</v>
      </c>
      <c r="K115" s="2" t="s">
        <v>66</v>
      </c>
      <c r="L115" s="13" t="s">
        <v>303</v>
      </c>
    </row>
    <row r="116" customFormat="false" ht="52.2" hidden="false" customHeight="false" outlineLevel="0" collapsed="false">
      <c r="A116" s="2" t="s">
        <v>305</v>
      </c>
      <c r="B116" s="13" t="s">
        <v>306</v>
      </c>
      <c r="C116" s="2" t="s">
        <v>50</v>
      </c>
      <c r="D116" s="2" t="s">
        <v>307</v>
      </c>
      <c r="E116" s="19" t="n">
        <v>2</v>
      </c>
      <c r="F116" s="21" t="n">
        <v>0.035</v>
      </c>
      <c r="G116" s="16" t="n">
        <v>0.12</v>
      </c>
      <c r="H116" s="15" t="n">
        <v>450</v>
      </c>
      <c r="I116" s="20" t="n">
        <v>1</v>
      </c>
      <c r="J116" s="17" t="n">
        <v>0</v>
      </c>
      <c r="K116" s="2" t="s">
        <v>195</v>
      </c>
      <c r="L116" s="13" t="s">
        <v>308</v>
      </c>
    </row>
    <row r="117" customFormat="false" ht="39.55" hidden="false" customHeight="false" outlineLevel="0" collapsed="false">
      <c r="A117" s="2" t="s">
        <v>309</v>
      </c>
      <c r="B117" s="13" t="s">
        <v>306</v>
      </c>
      <c r="C117" s="2" t="s">
        <v>45</v>
      </c>
      <c r="D117" s="2" t="s">
        <v>307</v>
      </c>
      <c r="E117" s="19" t="n">
        <v>1.2</v>
      </c>
      <c r="F117" s="21" t="n">
        <v>0.05</v>
      </c>
      <c r="G117" s="16" t="n">
        <v>0.22</v>
      </c>
      <c r="H117" s="15" t="n">
        <v>600</v>
      </c>
      <c r="I117" s="20" t="n">
        <v>1</v>
      </c>
      <c r="J117" s="17" t="n">
        <v>0</v>
      </c>
      <c r="K117" s="2" t="s">
        <v>195</v>
      </c>
      <c r="L117" s="13" t="s">
        <v>310</v>
      </c>
    </row>
    <row r="118" customFormat="false" ht="39.55" hidden="false" customHeight="false" outlineLevel="0" collapsed="false">
      <c r="A118" s="2" t="s">
        <v>311</v>
      </c>
      <c r="B118" s="13" t="s">
        <v>306</v>
      </c>
      <c r="C118" s="2" t="s">
        <v>55</v>
      </c>
      <c r="D118" s="2" t="s">
        <v>307</v>
      </c>
      <c r="E118" s="19" t="n">
        <v>1.8</v>
      </c>
      <c r="F118" s="21" t="n">
        <v>0.04</v>
      </c>
      <c r="G118" s="16" t="n">
        <v>0.12</v>
      </c>
      <c r="H118" s="15" t="n">
        <v>250</v>
      </c>
      <c r="I118" s="20" t="n">
        <v>1</v>
      </c>
      <c r="J118" s="17" t="n">
        <v>0</v>
      </c>
      <c r="K118" s="2" t="s">
        <v>195</v>
      </c>
      <c r="L118" s="13" t="s">
        <v>312</v>
      </c>
    </row>
    <row r="119" customFormat="false" ht="39.55" hidden="false" customHeight="false" outlineLevel="0" collapsed="false">
      <c r="A119" s="2" t="s">
        <v>313</v>
      </c>
      <c r="B119" s="13" t="s">
        <v>306</v>
      </c>
      <c r="C119" s="2" t="s">
        <v>57</v>
      </c>
      <c r="D119" s="2" t="s">
        <v>307</v>
      </c>
      <c r="E119" s="19" t="n">
        <v>1.7</v>
      </c>
      <c r="F119" s="21" t="n">
        <v>0.04</v>
      </c>
      <c r="G119" s="16" t="n">
        <v>0.1</v>
      </c>
      <c r="H119" s="15" t="n">
        <v>200</v>
      </c>
      <c r="I119" s="20" t="n">
        <v>1</v>
      </c>
      <c r="J119" s="17" t="n">
        <v>0</v>
      </c>
      <c r="K119" s="2" t="s">
        <v>195</v>
      </c>
      <c r="L119" s="13" t="s">
        <v>314</v>
      </c>
    </row>
    <row r="120" customFormat="false" ht="64.9" hidden="false" customHeight="false" outlineLevel="0" collapsed="false">
      <c r="A120" s="2" t="s">
        <v>315</v>
      </c>
      <c r="B120" s="13" t="s">
        <v>316</v>
      </c>
      <c r="C120" s="2" t="s">
        <v>50</v>
      </c>
      <c r="D120" s="2" t="s">
        <v>317</v>
      </c>
      <c r="E120" s="19" t="n">
        <v>1449</v>
      </c>
      <c r="F120" s="15" t="n">
        <v>15</v>
      </c>
      <c r="G120" s="16" t="n">
        <v>0.3</v>
      </c>
      <c r="H120" s="15" t="n">
        <v>3</v>
      </c>
      <c r="I120" s="20" t="n">
        <v>1</v>
      </c>
      <c r="J120" s="17" t="n">
        <v>0</v>
      </c>
      <c r="K120" s="2" t="s">
        <v>195</v>
      </c>
      <c r="L120" s="13" t="s">
        <v>318</v>
      </c>
    </row>
    <row r="121" customFormat="false" ht="26.85" hidden="false" customHeight="false" outlineLevel="0" collapsed="false">
      <c r="A121" s="2" t="s">
        <v>319</v>
      </c>
      <c r="B121" s="13" t="s">
        <v>316</v>
      </c>
      <c r="C121" s="2" t="s">
        <v>45</v>
      </c>
      <c r="D121" s="2" t="s">
        <v>317</v>
      </c>
      <c r="E121" s="19" t="n">
        <v>1449</v>
      </c>
      <c r="F121" s="15" t="n">
        <v>25</v>
      </c>
      <c r="G121" s="16" t="n">
        <v>0.35</v>
      </c>
      <c r="H121" s="15" t="n">
        <v>3</v>
      </c>
      <c r="I121" s="20" t="n">
        <v>1</v>
      </c>
      <c r="J121" s="17" t="n">
        <v>0</v>
      </c>
      <c r="K121" s="2" t="s">
        <v>195</v>
      </c>
      <c r="L121" s="13" t="s">
        <v>320</v>
      </c>
    </row>
    <row r="122" customFormat="false" ht="26.85" hidden="false" customHeight="false" outlineLevel="0" collapsed="false">
      <c r="A122" s="2" t="s">
        <v>321</v>
      </c>
      <c r="B122" s="13" t="s">
        <v>316</v>
      </c>
      <c r="C122" s="2" t="s">
        <v>55</v>
      </c>
      <c r="D122" s="2" t="s">
        <v>317</v>
      </c>
      <c r="E122" s="19" t="n">
        <v>1449</v>
      </c>
      <c r="F122" s="15" t="n">
        <v>15</v>
      </c>
      <c r="G122" s="16" t="n">
        <v>0.25</v>
      </c>
      <c r="H122" s="15" t="n">
        <v>2</v>
      </c>
      <c r="I122" s="20" t="n">
        <v>1</v>
      </c>
      <c r="J122" s="17" t="n">
        <v>0</v>
      </c>
      <c r="K122" s="2" t="s">
        <v>195</v>
      </c>
      <c r="L122" s="13" t="s">
        <v>322</v>
      </c>
    </row>
    <row r="123" customFormat="false" ht="26.85" hidden="false" customHeight="false" outlineLevel="0" collapsed="false">
      <c r="A123" s="2" t="s">
        <v>323</v>
      </c>
      <c r="B123" s="13" t="s">
        <v>316</v>
      </c>
      <c r="C123" s="2" t="s">
        <v>57</v>
      </c>
      <c r="D123" s="2" t="s">
        <v>317</v>
      </c>
      <c r="E123" s="19" t="n">
        <v>1449</v>
      </c>
      <c r="F123" s="15" t="n">
        <v>15</v>
      </c>
      <c r="G123" s="16" t="n">
        <v>0.25</v>
      </c>
      <c r="H123" s="15" t="n">
        <v>2</v>
      </c>
      <c r="I123" s="20" t="n">
        <v>1</v>
      </c>
      <c r="J123" s="17" t="n">
        <v>0</v>
      </c>
      <c r="K123" s="2" t="s">
        <v>195</v>
      </c>
      <c r="L123" s="13" t="s">
        <v>324</v>
      </c>
    </row>
    <row r="124" customFormat="false" ht="39.55" hidden="false" customHeight="false" outlineLevel="0" collapsed="false">
      <c r="A124" s="2" t="s">
        <v>325</v>
      </c>
      <c r="B124" s="13" t="s">
        <v>326</v>
      </c>
      <c r="C124" s="2" t="s">
        <v>55</v>
      </c>
      <c r="D124" s="2" t="s">
        <v>307</v>
      </c>
      <c r="E124" s="19" t="n">
        <v>3.5</v>
      </c>
      <c r="F124" s="21" t="n">
        <v>0.08</v>
      </c>
      <c r="G124" s="16" t="n">
        <v>0.25</v>
      </c>
      <c r="H124" s="15" t="n">
        <v>150</v>
      </c>
      <c r="I124" s="20" t="n">
        <v>1</v>
      </c>
      <c r="J124" s="17" t="n">
        <v>0</v>
      </c>
      <c r="K124" s="2" t="s">
        <v>195</v>
      </c>
      <c r="L124" s="13" t="s">
        <v>327</v>
      </c>
    </row>
    <row r="125" customFormat="false" ht="26.85" hidden="false" customHeight="false" outlineLevel="0" collapsed="false">
      <c r="A125" s="2" t="s">
        <v>328</v>
      </c>
      <c r="B125" s="13" t="s">
        <v>326</v>
      </c>
      <c r="C125" s="2" t="s">
        <v>57</v>
      </c>
      <c r="D125" s="2" t="s">
        <v>307</v>
      </c>
      <c r="E125" s="19" t="n">
        <v>3.5</v>
      </c>
      <c r="F125" s="21" t="n">
        <v>0.08</v>
      </c>
      <c r="G125" s="16" t="n">
        <v>0.2</v>
      </c>
      <c r="H125" s="15" t="n">
        <v>100</v>
      </c>
      <c r="I125" s="20" t="n">
        <v>1</v>
      </c>
      <c r="J125" s="17" t="n">
        <v>0</v>
      </c>
      <c r="K125" s="2" t="s">
        <v>195</v>
      </c>
      <c r="L125" s="13" t="s">
        <v>329</v>
      </c>
    </row>
    <row r="126" customFormat="false" ht="26.85" hidden="false" customHeight="false" outlineLevel="0" collapsed="false">
      <c r="A126" s="2" t="s">
        <v>330</v>
      </c>
      <c r="B126" s="13" t="s">
        <v>331</v>
      </c>
      <c r="C126" s="2" t="s">
        <v>50</v>
      </c>
      <c r="D126" s="2" t="s">
        <v>332</v>
      </c>
      <c r="E126" s="19" t="n">
        <v>18</v>
      </c>
      <c r="F126" s="15"/>
      <c r="G126" s="16" t="n">
        <v>0.05</v>
      </c>
      <c r="H126" s="15" t="n">
        <v>400</v>
      </c>
      <c r="I126" s="20" t="n">
        <v>1</v>
      </c>
      <c r="J126" s="17" t="n">
        <v>0</v>
      </c>
      <c r="K126" s="2" t="s">
        <v>66</v>
      </c>
      <c r="L126" s="13" t="s">
        <v>333</v>
      </c>
    </row>
    <row r="127" customFormat="false" ht="15" hidden="false" customHeight="false" outlineLevel="0" collapsed="false">
      <c r="A127" s="2" t="s">
        <v>334</v>
      </c>
      <c r="B127" s="13" t="s">
        <v>331</v>
      </c>
      <c r="C127" s="2" t="s">
        <v>45</v>
      </c>
      <c r="D127" s="2" t="s">
        <v>332</v>
      </c>
      <c r="E127" s="19" t="n">
        <v>12</v>
      </c>
      <c r="F127" s="15"/>
      <c r="G127" s="16" t="n">
        <v>0.12</v>
      </c>
      <c r="H127" s="15" t="n">
        <v>500</v>
      </c>
      <c r="I127" s="20" t="n">
        <v>1</v>
      </c>
      <c r="J127" s="17" t="n">
        <v>0</v>
      </c>
      <c r="K127" s="2" t="s">
        <v>66</v>
      </c>
      <c r="L127" s="13" t="s">
        <v>335</v>
      </c>
    </row>
    <row r="128" customFormat="false" ht="26.85" hidden="false" customHeight="false" outlineLevel="0" collapsed="false">
      <c r="A128" s="2" t="s">
        <v>336</v>
      </c>
      <c r="B128" s="13" t="s">
        <v>337</v>
      </c>
      <c r="C128" s="2" t="s">
        <v>50</v>
      </c>
      <c r="D128" s="2" t="s">
        <v>307</v>
      </c>
      <c r="E128" s="19" t="n">
        <v>2.2</v>
      </c>
      <c r="F128" s="21" t="n">
        <v>0.07</v>
      </c>
      <c r="G128" s="16" t="n">
        <v>0.15</v>
      </c>
      <c r="H128" s="15" t="n">
        <v>80</v>
      </c>
      <c r="I128" s="20" t="n">
        <v>1</v>
      </c>
      <c r="J128" s="17" t="n">
        <v>0</v>
      </c>
      <c r="K128" s="2" t="s">
        <v>66</v>
      </c>
      <c r="L128" s="13" t="s">
        <v>338</v>
      </c>
    </row>
    <row r="129" customFormat="false" ht="15" hidden="false" customHeight="false" outlineLevel="0" collapsed="false">
      <c r="A129" s="2" t="s">
        <v>339</v>
      </c>
      <c r="B129" s="13" t="s">
        <v>337</v>
      </c>
      <c r="C129" s="2" t="s">
        <v>45</v>
      </c>
      <c r="D129" s="2" t="s">
        <v>307</v>
      </c>
      <c r="E129" s="19" t="n">
        <v>2.2</v>
      </c>
      <c r="F129" s="21" t="n">
        <v>0.07</v>
      </c>
      <c r="G129" s="16" t="n">
        <v>0.25</v>
      </c>
      <c r="H129" s="15" t="n">
        <v>100</v>
      </c>
      <c r="I129" s="20" t="n">
        <v>1</v>
      </c>
      <c r="J129" s="17" t="n">
        <v>0</v>
      </c>
      <c r="K129" s="2" t="s">
        <v>66</v>
      </c>
      <c r="L129" s="13" t="s">
        <v>303</v>
      </c>
    </row>
    <row r="130" customFormat="false" ht="15" hidden="false" customHeight="false" outlineLevel="0" collapsed="false">
      <c r="A130" s="2" t="s">
        <v>340</v>
      </c>
      <c r="B130" s="13" t="s">
        <v>337</v>
      </c>
      <c r="C130" s="2" t="s">
        <v>55</v>
      </c>
      <c r="D130" s="2" t="s">
        <v>307</v>
      </c>
      <c r="E130" s="19" t="n">
        <v>2.2</v>
      </c>
      <c r="F130" s="21" t="n">
        <v>0.07</v>
      </c>
      <c r="G130" s="16" t="n">
        <v>0.15</v>
      </c>
      <c r="H130" s="15" t="n">
        <v>40</v>
      </c>
      <c r="I130" s="20" t="n">
        <v>1</v>
      </c>
      <c r="J130" s="17" t="n">
        <v>0</v>
      </c>
      <c r="K130" s="2" t="s">
        <v>66</v>
      </c>
      <c r="L130" s="13" t="s">
        <v>341</v>
      </c>
    </row>
    <row r="131" customFormat="false" ht="15" hidden="false" customHeight="false" outlineLevel="0" collapsed="false">
      <c r="A131" s="2" t="s">
        <v>342</v>
      </c>
      <c r="B131" s="13" t="s">
        <v>337</v>
      </c>
      <c r="C131" s="2" t="s">
        <v>57</v>
      </c>
      <c r="D131" s="2" t="s">
        <v>307</v>
      </c>
      <c r="E131" s="19" t="n">
        <v>2.2</v>
      </c>
      <c r="F131" s="21" t="n">
        <v>0.07</v>
      </c>
      <c r="G131" s="16" t="n">
        <v>0.12</v>
      </c>
      <c r="H131" s="15" t="n">
        <v>30</v>
      </c>
      <c r="I131" s="20" t="n">
        <v>1</v>
      </c>
      <c r="J131" s="17" t="n">
        <v>0</v>
      </c>
      <c r="K131" s="2" t="s">
        <v>66</v>
      </c>
      <c r="L131" s="13" t="s">
        <v>303</v>
      </c>
    </row>
    <row r="133" customFormat="false" ht="15" hidden="false" customHeight="false" outlineLevel="0" collapsed="false">
      <c r="A133" s="10" t="s">
        <v>343</v>
      </c>
      <c r="B133" s="11"/>
      <c r="C133" s="11"/>
      <c r="D133" s="11"/>
      <c r="E133" s="11"/>
      <c r="F133" s="11"/>
      <c r="G133" s="11"/>
    </row>
    <row r="134" customFormat="false" ht="15" hidden="false" customHeight="false" outlineLevel="0" collapsed="false">
      <c r="A134" s="12" t="s">
        <v>22</v>
      </c>
      <c r="B134" s="12" t="s">
        <v>23</v>
      </c>
      <c r="C134" s="12" t="s">
        <v>24</v>
      </c>
      <c r="D134" s="12" t="s">
        <v>25</v>
      </c>
      <c r="E134" s="12" t="s">
        <v>26</v>
      </c>
      <c r="F134" s="12" t="s">
        <v>27</v>
      </c>
      <c r="G134" s="12" t="s">
        <v>28</v>
      </c>
    </row>
    <row r="135" customFormat="false" ht="52.2" hidden="false" customHeight="false" outlineLevel="0" collapsed="false">
      <c r="A135" s="2" t="s">
        <v>344</v>
      </c>
      <c r="B135" s="13" t="s">
        <v>345</v>
      </c>
      <c r="C135" s="2" t="s">
        <v>50</v>
      </c>
      <c r="D135" s="15" t="n">
        <v>200</v>
      </c>
      <c r="E135" s="2" t="s">
        <v>346</v>
      </c>
      <c r="F135" s="2" t="s">
        <v>66</v>
      </c>
      <c r="G135" s="13" t="s">
        <v>347</v>
      </c>
    </row>
    <row r="136" customFormat="false" ht="52.2" hidden="false" customHeight="false" outlineLevel="0" collapsed="false">
      <c r="A136" s="2" t="s">
        <v>348</v>
      </c>
      <c r="B136" s="13" t="s">
        <v>345</v>
      </c>
      <c r="C136" s="2" t="s">
        <v>45</v>
      </c>
      <c r="D136" s="15" t="n">
        <v>300</v>
      </c>
      <c r="E136" s="2" t="s">
        <v>346</v>
      </c>
      <c r="F136" s="2" t="s">
        <v>66</v>
      </c>
      <c r="G136" s="13" t="s">
        <v>347</v>
      </c>
    </row>
    <row r="137" customFormat="false" ht="52.2" hidden="false" customHeight="false" outlineLevel="0" collapsed="false">
      <c r="A137" s="2" t="s">
        <v>349</v>
      </c>
      <c r="B137" s="13" t="s">
        <v>345</v>
      </c>
      <c r="C137" s="2" t="s">
        <v>55</v>
      </c>
      <c r="D137" s="15" t="n">
        <v>120</v>
      </c>
      <c r="E137" s="2" t="s">
        <v>346</v>
      </c>
      <c r="F137" s="2" t="s">
        <v>66</v>
      </c>
      <c r="G137" s="13" t="s">
        <v>347</v>
      </c>
    </row>
    <row r="138" customFormat="false" ht="52.2" hidden="false" customHeight="false" outlineLevel="0" collapsed="false">
      <c r="A138" s="2" t="s">
        <v>350</v>
      </c>
      <c r="B138" s="13" t="s">
        <v>345</v>
      </c>
      <c r="C138" s="2" t="s">
        <v>57</v>
      </c>
      <c r="D138" s="15" t="n">
        <v>80</v>
      </c>
      <c r="E138" s="2" t="s">
        <v>346</v>
      </c>
      <c r="F138" s="2" t="s">
        <v>66</v>
      </c>
      <c r="G138" s="13" t="s">
        <v>347</v>
      </c>
    </row>
    <row r="139" customFormat="false" ht="26.85" hidden="false" customHeight="false" outlineLevel="0" collapsed="false">
      <c r="A139" s="2" t="s">
        <v>351</v>
      </c>
      <c r="B139" s="13" t="s">
        <v>352</v>
      </c>
      <c r="C139" s="2" t="s">
        <v>31</v>
      </c>
      <c r="D139" s="16" t="n">
        <v>0.12</v>
      </c>
      <c r="E139" s="2" t="s">
        <v>46</v>
      </c>
      <c r="F139" s="2" t="s">
        <v>66</v>
      </c>
      <c r="G139" s="13" t="s">
        <v>353</v>
      </c>
    </row>
    <row r="140" customFormat="false" ht="15" hidden="false" customHeight="false" outlineLevel="0" collapsed="false">
      <c r="A140" s="2" t="s">
        <v>354</v>
      </c>
      <c r="B140" s="13" t="s">
        <v>355</v>
      </c>
      <c r="C140" s="2" t="s">
        <v>31</v>
      </c>
      <c r="D140" s="16" t="n">
        <v>0.5</v>
      </c>
      <c r="E140" s="2" t="s">
        <v>46</v>
      </c>
      <c r="F140" s="2" t="s">
        <v>66</v>
      </c>
      <c r="G140" s="13" t="s">
        <v>356</v>
      </c>
    </row>
    <row r="141" customFormat="false" ht="26.85" hidden="false" customHeight="false" outlineLevel="0" collapsed="false">
      <c r="A141" s="2" t="s">
        <v>357</v>
      </c>
      <c r="B141" s="13" t="s">
        <v>358</v>
      </c>
      <c r="C141" s="2" t="s">
        <v>50</v>
      </c>
      <c r="D141" s="15" t="n">
        <v>25</v>
      </c>
      <c r="E141" s="2" t="s">
        <v>207</v>
      </c>
      <c r="F141" s="2" t="s">
        <v>66</v>
      </c>
      <c r="G141" s="13" t="s">
        <v>359</v>
      </c>
    </row>
    <row r="142" customFormat="false" ht="26.85" hidden="false" customHeight="false" outlineLevel="0" collapsed="false">
      <c r="A142" s="2" t="s">
        <v>360</v>
      </c>
      <c r="B142" s="13" t="s">
        <v>358</v>
      </c>
      <c r="C142" s="2" t="s">
        <v>45</v>
      </c>
      <c r="D142" s="15" t="n">
        <v>30</v>
      </c>
      <c r="E142" s="2" t="s">
        <v>207</v>
      </c>
      <c r="F142" s="2" t="s">
        <v>66</v>
      </c>
      <c r="G142" s="13" t="s">
        <v>359</v>
      </c>
    </row>
    <row r="143" customFormat="false" ht="26.85" hidden="false" customHeight="false" outlineLevel="0" collapsed="false">
      <c r="A143" s="2" t="s">
        <v>361</v>
      </c>
      <c r="B143" s="13" t="s">
        <v>358</v>
      </c>
      <c r="C143" s="2" t="s">
        <v>55</v>
      </c>
      <c r="D143" s="15" t="n">
        <v>10</v>
      </c>
      <c r="E143" s="2" t="s">
        <v>207</v>
      </c>
      <c r="F143" s="2" t="s">
        <v>66</v>
      </c>
      <c r="G143" s="13" t="s">
        <v>359</v>
      </c>
    </row>
    <row r="144" customFormat="false" ht="26.85" hidden="false" customHeight="false" outlineLevel="0" collapsed="false">
      <c r="A144" s="2" t="s">
        <v>362</v>
      </c>
      <c r="B144" s="13" t="s">
        <v>358</v>
      </c>
      <c r="C144" s="2" t="s">
        <v>57</v>
      </c>
      <c r="D144" s="15" t="n">
        <v>8</v>
      </c>
      <c r="E144" s="2" t="s">
        <v>207</v>
      </c>
      <c r="F144" s="2" t="s">
        <v>66</v>
      </c>
      <c r="G144" s="13" t="s">
        <v>359</v>
      </c>
    </row>
    <row r="145" customFormat="false" ht="15" hidden="false" customHeight="false" outlineLevel="0" collapsed="false">
      <c r="A145" s="2" t="s">
        <v>363</v>
      </c>
      <c r="B145" s="13" t="s">
        <v>364</v>
      </c>
      <c r="C145" s="2" t="s">
        <v>31</v>
      </c>
      <c r="D145" s="16" t="n">
        <v>0.45</v>
      </c>
      <c r="E145" s="2" t="s">
        <v>46</v>
      </c>
      <c r="F145" s="2" t="s">
        <v>66</v>
      </c>
      <c r="G145" s="13" t="s">
        <v>365</v>
      </c>
    </row>
    <row r="146" customFormat="false" ht="26.85" hidden="false" customHeight="false" outlineLevel="0" collapsed="false">
      <c r="A146" s="2" t="s">
        <v>366</v>
      </c>
      <c r="B146" s="13" t="s">
        <v>367</v>
      </c>
      <c r="C146" s="2" t="s">
        <v>31</v>
      </c>
      <c r="D146" s="19" t="n">
        <v>0.5</v>
      </c>
      <c r="E146" s="2" t="s">
        <v>127</v>
      </c>
      <c r="F146" s="2" t="s">
        <v>66</v>
      </c>
      <c r="G146" s="13" t="s">
        <v>368</v>
      </c>
    </row>
    <row r="147" customFormat="false" ht="26.85" hidden="false" customHeight="false" outlineLevel="0" collapsed="false">
      <c r="A147" s="2" t="s">
        <v>369</v>
      </c>
      <c r="B147" s="13" t="s">
        <v>370</v>
      </c>
      <c r="C147" s="2" t="s">
        <v>31</v>
      </c>
      <c r="D147" s="17" t="n">
        <v>1000</v>
      </c>
      <c r="E147" s="2" t="s">
        <v>127</v>
      </c>
      <c r="F147" s="2" t="s">
        <v>66</v>
      </c>
      <c r="G147" s="13" t="s">
        <v>371</v>
      </c>
    </row>
    <row r="148" customFormat="false" ht="26.85" hidden="false" customHeight="false" outlineLevel="0" collapsed="false">
      <c r="A148" s="2" t="s">
        <v>372</v>
      </c>
      <c r="B148" s="13" t="s">
        <v>373</v>
      </c>
      <c r="C148" s="2" t="s">
        <v>31</v>
      </c>
      <c r="D148" s="20" t="n">
        <v>1.15</v>
      </c>
      <c r="E148" s="2" t="s">
        <v>374</v>
      </c>
      <c r="F148" s="2" t="s">
        <v>66</v>
      </c>
      <c r="G148" s="13" t="s">
        <v>375</v>
      </c>
    </row>
    <row r="149" customFormat="false" ht="52.2" hidden="false" customHeight="false" outlineLevel="0" collapsed="false">
      <c r="A149" s="2" t="s">
        <v>376</v>
      </c>
      <c r="B149" s="13" t="s">
        <v>377</v>
      </c>
      <c r="C149" s="2" t="s">
        <v>50</v>
      </c>
      <c r="D149" s="15" t="n">
        <v>12000</v>
      </c>
      <c r="E149" s="2" t="s">
        <v>179</v>
      </c>
      <c r="F149" s="2" t="s">
        <v>66</v>
      </c>
      <c r="G149" s="13" t="s">
        <v>378</v>
      </c>
    </row>
    <row r="150" customFormat="false" ht="26.85" hidden="false" customHeight="false" outlineLevel="0" collapsed="false">
      <c r="A150" s="2" t="s">
        <v>379</v>
      </c>
      <c r="B150" s="13" t="s">
        <v>380</v>
      </c>
      <c r="C150" s="2" t="s">
        <v>50</v>
      </c>
      <c r="D150" s="21" t="n">
        <v>0.025</v>
      </c>
      <c r="E150" s="2" t="s">
        <v>46</v>
      </c>
      <c r="F150" s="2" t="s">
        <v>66</v>
      </c>
      <c r="G150" s="13" t="s">
        <v>381</v>
      </c>
    </row>
    <row r="151" customFormat="false" ht="26.85" hidden="false" customHeight="false" outlineLevel="0" collapsed="false">
      <c r="A151" s="2" t="s">
        <v>382</v>
      </c>
      <c r="B151" s="13" t="s">
        <v>383</v>
      </c>
      <c r="C151" s="2" t="s">
        <v>50</v>
      </c>
      <c r="D151" s="17" t="n">
        <v>30</v>
      </c>
      <c r="E151" s="2" t="s">
        <v>127</v>
      </c>
      <c r="F151" s="2" t="s">
        <v>66</v>
      </c>
      <c r="G151" s="13" t="s">
        <v>384</v>
      </c>
    </row>
    <row r="152" customFormat="false" ht="26.85" hidden="false" customHeight="false" outlineLevel="0" collapsed="false">
      <c r="A152" s="2" t="s">
        <v>385</v>
      </c>
      <c r="B152" s="13" t="s">
        <v>386</v>
      </c>
      <c r="C152" s="2" t="s">
        <v>50</v>
      </c>
      <c r="D152" s="16" t="n">
        <v>0.15</v>
      </c>
      <c r="E152" s="2" t="s">
        <v>46</v>
      </c>
      <c r="F152" s="2" t="s">
        <v>66</v>
      </c>
      <c r="G152" s="13" t="s">
        <v>387</v>
      </c>
    </row>
    <row r="153" customFormat="false" ht="15" hidden="false" customHeight="false" outlineLevel="0" collapsed="false">
      <c r="A153" s="2" t="s">
        <v>388</v>
      </c>
      <c r="B153" s="13" t="s">
        <v>389</v>
      </c>
      <c r="C153" s="2" t="s">
        <v>50</v>
      </c>
      <c r="D153" s="20" t="n">
        <v>0.8</v>
      </c>
      <c r="E153" s="2" t="s">
        <v>374</v>
      </c>
      <c r="F153" s="2" t="s">
        <v>66</v>
      </c>
      <c r="G153" s="13" t="s">
        <v>390</v>
      </c>
    </row>
    <row r="154" customFormat="false" ht="26.85" hidden="false" customHeight="false" outlineLevel="0" collapsed="false">
      <c r="A154" s="2" t="s">
        <v>391</v>
      </c>
      <c r="B154" s="13" t="s">
        <v>392</v>
      </c>
      <c r="C154" s="2" t="s">
        <v>50</v>
      </c>
      <c r="D154" s="17" t="n">
        <v>1200</v>
      </c>
      <c r="E154" s="2" t="s">
        <v>127</v>
      </c>
      <c r="F154" s="2" t="s">
        <v>66</v>
      </c>
      <c r="G154" s="13" t="s">
        <v>393</v>
      </c>
    </row>
    <row r="155" customFormat="false" ht="39.55" hidden="false" customHeight="false" outlineLevel="0" collapsed="false">
      <c r="A155" s="2" t="s">
        <v>394</v>
      </c>
      <c r="B155" s="13" t="s">
        <v>395</v>
      </c>
      <c r="C155" s="2" t="s">
        <v>45</v>
      </c>
      <c r="D155" s="17" t="n">
        <v>12</v>
      </c>
      <c r="E155" s="2" t="s">
        <v>127</v>
      </c>
      <c r="F155" s="2" t="s">
        <v>195</v>
      </c>
      <c r="G155" s="13" t="s">
        <v>396</v>
      </c>
    </row>
    <row r="156" customFormat="false" ht="26.85" hidden="false" customHeight="false" outlineLevel="0" collapsed="false">
      <c r="A156" s="2" t="s">
        <v>397</v>
      </c>
      <c r="B156" s="13" t="s">
        <v>398</v>
      </c>
      <c r="C156" s="2" t="s">
        <v>45</v>
      </c>
      <c r="D156" s="16" t="n">
        <v>0.22</v>
      </c>
      <c r="E156" s="2" t="s">
        <v>46</v>
      </c>
      <c r="F156" s="2" t="s">
        <v>66</v>
      </c>
      <c r="G156" s="13" t="s">
        <v>399</v>
      </c>
    </row>
    <row r="157" customFormat="false" ht="15" hidden="false" customHeight="false" outlineLevel="0" collapsed="false">
      <c r="A157" s="2" t="s">
        <v>400</v>
      </c>
      <c r="B157" s="13" t="s">
        <v>401</v>
      </c>
      <c r="C157" s="2" t="s">
        <v>45</v>
      </c>
      <c r="D157" s="15" t="n">
        <v>450</v>
      </c>
      <c r="E157" s="2" t="s">
        <v>207</v>
      </c>
      <c r="F157" s="2" t="s">
        <v>66</v>
      </c>
      <c r="G157" s="13" t="s">
        <v>402</v>
      </c>
    </row>
    <row r="158" customFormat="false" ht="15" hidden="false" customHeight="false" outlineLevel="0" collapsed="false">
      <c r="A158" s="2" t="s">
        <v>403</v>
      </c>
      <c r="B158" s="13" t="s">
        <v>404</v>
      </c>
      <c r="C158" s="2" t="s">
        <v>45</v>
      </c>
      <c r="D158" s="20" t="n">
        <v>1.1</v>
      </c>
      <c r="E158" s="2" t="s">
        <v>374</v>
      </c>
      <c r="F158" s="2" t="s">
        <v>66</v>
      </c>
      <c r="G158" s="13" t="s">
        <v>405</v>
      </c>
    </row>
    <row r="159" customFormat="false" ht="26.85" hidden="false" customHeight="false" outlineLevel="0" collapsed="false">
      <c r="A159" s="2" t="s">
        <v>406</v>
      </c>
      <c r="B159" s="13" t="s">
        <v>407</v>
      </c>
      <c r="C159" s="2" t="s">
        <v>45</v>
      </c>
      <c r="D159" s="15" t="n">
        <v>15</v>
      </c>
      <c r="E159" s="2" t="s">
        <v>408</v>
      </c>
      <c r="F159" s="2" t="s">
        <v>66</v>
      </c>
      <c r="G159" s="13" t="s">
        <v>409</v>
      </c>
    </row>
    <row r="160" customFormat="false" ht="15" hidden="false" customHeight="false" outlineLevel="0" collapsed="false">
      <c r="A160" s="2" t="s">
        <v>410</v>
      </c>
      <c r="B160" s="13" t="s">
        <v>411</v>
      </c>
      <c r="C160" s="2" t="s">
        <v>45</v>
      </c>
      <c r="D160" s="17" t="n">
        <v>30</v>
      </c>
      <c r="E160" s="2" t="s">
        <v>127</v>
      </c>
      <c r="F160" s="2" t="s">
        <v>66</v>
      </c>
      <c r="G160" s="13" t="s">
        <v>412</v>
      </c>
    </row>
    <row r="161" customFormat="false" ht="15" hidden="false" customHeight="false" outlineLevel="0" collapsed="false">
      <c r="A161" s="2" t="s">
        <v>413</v>
      </c>
      <c r="B161" s="13" t="s">
        <v>414</v>
      </c>
      <c r="C161" s="2" t="s">
        <v>45</v>
      </c>
      <c r="D161" s="17" t="n">
        <v>400</v>
      </c>
      <c r="E161" s="2" t="s">
        <v>127</v>
      </c>
      <c r="F161" s="2" t="s">
        <v>66</v>
      </c>
      <c r="G161" s="13"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416</v>
      </c>
    </row>
    <row r="2" customFormat="false" ht="15" hidden="false" customHeight="false" outlineLevel="0" collapsed="false">
      <c r="A2" s="2" t="s">
        <v>417</v>
      </c>
    </row>
    <row r="4" customFormat="false" ht="48" hidden="false" customHeight="true" outlineLevel="0" collapsed="false">
      <c r="A4" s="12" t="s">
        <v>288</v>
      </c>
      <c r="B4" s="12" t="s">
        <v>49</v>
      </c>
      <c r="C4" s="12" t="s">
        <v>418</v>
      </c>
      <c r="D4" s="12" t="s">
        <v>419</v>
      </c>
      <c r="E4" s="12" t="s">
        <v>420</v>
      </c>
      <c r="F4" s="12" t="s">
        <v>421</v>
      </c>
      <c r="G4" s="12" t="s">
        <v>422</v>
      </c>
      <c r="H4" s="12" t="s">
        <v>423</v>
      </c>
      <c r="I4" s="12" t="s">
        <v>424</v>
      </c>
      <c r="J4" s="12" t="s">
        <v>425</v>
      </c>
      <c r="K4" s="12" t="s">
        <v>426</v>
      </c>
      <c r="L4" s="12" t="s">
        <v>427</v>
      </c>
      <c r="M4" s="12" t="s">
        <v>428</v>
      </c>
      <c r="N4" s="12" t="s">
        <v>429</v>
      </c>
      <c r="O4" s="12" t="s">
        <v>430</v>
      </c>
      <c r="P4" s="12" t="s">
        <v>431</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432</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433</v>
      </c>
    </row>
    <row r="12" customFormat="false" ht="15" hidden="false" customHeight="false" outlineLevel="0" collapsed="false">
      <c r="A12" s="22" t="s">
        <v>434</v>
      </c>
    </row>
    <row r="13" customFormat="false" ht="15" hidden="false" customHeight="false" outlineLevel="0" collapsed="false">
      <c r="A13" s="2" t="s">
        <v>435</v>
      </c>
      <c r="B13" s="30" t="n">
        <f aca="false">Assumptions!$D$7+Assumptions!$D$19</f>
        <v>46317</v>
      </c>
    </row>
    <row r="14" customFormat="false" ht="15" hidden="false" customHeight="false" outlineLevel="0" collapsed="false">
      <c r="A14" s="2" t="s">
        <v>436</v>
      </c>
      <c r="B14" s="30" t="n">
        <f aca="false">Assumptions!$D$20</f>
        <v>46374</v>
      </c>
    </row>
    <row r="15" customFormat="false" ht="15" hidden="false" customHeight="false" outlineLevel="0" collapsed="false">
      <c r="A15" s="2" t="s">
        <v>437</v>
      </c>
      <c r="B15" s="23" t="n">
        <f aca="false">Assumptions!$D$22+Assumptions!$D$23+Assumptions!$D$24</f>
        <v>17</v>
      </c>
    </row>
    <row r="16" customFormat="false" ht="15" hidden="false" customHeight="false" outlineLevel="0" collapsed="false">
      <c r="A16" s="2" t="s">
        <v>438</v>
      </c>
      <c r="B16" s="23" t="n">
        <f aca="false">B15+Assumptions!$D$25</f>
        <v>24</v>
      </c>
    </row>
    <row r="17" customFormat="false" ht="15" hidden="false" customHeight="false" outlineLevel="0" collapsed="false">
      <c r="A17" s="2" t="s">
        <v>439</v>
      </c>
      <c r="B17" s="30" t="n">
        <f aca="false">B14-B15</f>
        <v>46357</v>
      </c>
    </row>
    <row r="18" customFormat="false" ht="15" hidden="false" customHeight="false" outlineLevel="0" collapsed="false">
      <c r="A18" s="2" t="s">
        <v>440</v>
      </c>
      <c r="B18" s="30" t="n">
        <f aca="false">B14-B16</f>
        <v>46350</v>
      </c>
    </row>
    <row r="19" customFormat="false" ht="15" hidden="false" customHeight="false" outlineLevel="0" collapsed="false">
      <c r="A19" s="2" t="s">
        <v>12</v>
      </c>
      <c r="B19" s="31" t="n">
        <f aca="false">B17-Assumptions!$D$21</f>
        <v>46353</v>
      </c>
    </row>
    <row r="20" customFormat="false" ht="15" hidden="false" customHeight="false" outlineLevel="0" collapsed="false">
      <c r="A20" s="2" t="s">
        <v>13</v>
      </c>
      <c r="B20" s="30" t="n">
        <f aca="false">B18-Assumptions!$D$21</f>
        <v>46346</v>
      </c>
    </row>
    <row r="21" customFormat="false" ht="15" hidden="false" customHeight="false" outlineLevel="0" collapsed="false">
      <c r="A21" s="2" t="s">
        <v>441</v>
      </c>
      <c r="B21" s="23" t="n">
        <f aca="false">MAX(0,B17-B13+1)</f>
        <v>41</v>
      </c>
    </row>
    <row r="22" customFormat="false" ht="15" hidden="false" customHeight="false" outlineLevel="0" collapsed="false">
      <c r="A22" s="2" t="s">
        <v>10</v>
      </c>
      <c r="B22" s="32" t="n">
        <f aca="false">Assumptions!$D$9*B21/7</f>
        <v>322.142857142857</v>
      </c>
    </row>
    <row r="23" customFormat="false" ht="15" hidden="false" customHeight="false" outlineLevel="0" collapsed="false">
      <c r="A23" s="2" t="s">
        <v>442</v>
      </c>
      <c r="B23" s="23" t="n">
        <f aca="false">O9</f>
        <v>290.6797502142</v>
      </c>
    </row>
    <row r="24" customFormat="false" ht="15" hidden="false" customHeight="false" outlineLevel="0" collapsed="false">
      <c r="A24" s="2" t="s">
        <v>11</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443</v>
      </c>
      <c r="B25" s="25" t="n">
        <f aca="false">IF(O9&gt;0,Channels!U35/O9,0)</f>
        <v>0.344021212094447</v>
      </c>
    </row>
    <row r="26" customFormat="false" ht="15" hidden="false" customHeight="false" outlineLevel="0" collapsed="false">
      <c r="A26" s="2" t="s">
        <v>444</v>
      </c>
      <c r="B26" s="32" t="n">
        <f aca="false">B22*B25</f>
        <v>110.823976181854</v>
      </c>
      <c r="C26" s="2" t="s">
        <v>445</v>
      </c>
    </row>
    <row r="28" customFormat="false" ht="15" hidden="false" customHeight="false" outlineLevel="0" collapsed="false">
      <c r="A28" s="22" t="s">
        <v>446</v>
      </c>
    </row>
    <row r="29" customFormat="false" ht="60" hidden="false" customHeight="true" outlineLevel="0" collapsed="false">
      <c r="A29" s="12" t="s">
        <v>288</v>
      </c>
      <c r="B29" s="12" t="s">
        <v>49</v>
      </c>
      <c r="C29" s="12" t="s">
        <v>447</v>
      </c>
      <c r="D29" s="12" t="s">
        <v>448</v>
      </c>
      <c r="E29" s="12" t="s">
        <v>449</v>
      </c>
      <c r="F29" s="12" t="s">
        <v>450</v>
      </c>
      <c r="G29" s="12" t="s">
        <v>451</v>
      </c>
      <c r="H29" s="12" t="s">
        <v>452</v>
      </c>
      <c r="I29" s="12" t="s">
        <v>453</v>
      </c>
      <c r="J29" s="12" t="s">
        <v>454</v>
      </c>
      <c r="K29" s="12" t="s">
        <v>455</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456</v>
      </c>
      <c r="J30" s="2" t="s">
        <v>457</v>
      </c>
      <c r="K30" s="34" t="n">
        <f aca="false">IF(B30&gt;0,(D30-SUMIFS(Channels!$N:$N,Channels!$A:$A,"I2-E",Channels!$C:$C,A30))/B30,0)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458</v>
      </c>
      <c r="J31" s="2" t="s">
        <v>459</v>
      </c>
      <c r="K31" s="34" t="n">
        <f aca="false">IF(B31&gt;0,(D31-SUMIFS(Channels!$N:$N,Channels!$A:$A,"I2-E",Channels!$C:$C,A31))/B31,0)</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456</v>
      </c>
      <c r="J32" s="2" t="s">
        <v>459</v>
      </c>
      <c r="K32" s="34" t="n">
        <f aca="false">IF(B32&gt;0,(D32-SUMIFS(Channels!$N:$N,Channels!$A:$A,"I2-E",Channels!$C:$C,A32))/B32,0)</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456</v>
      </c>
      <c r="J33" s="2" t="s">
        <v>459</v>
      </c>
      <c r="K33" s="34" t="n">
        <f aca="false">IF(B33&gt;0,(D33-SUMIFS(Channels!$N:$N,Channels!$A:$A,"I2-E",Channels!$C:$C,A33))/B33,0)</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11</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471</v>
      </c>
    </row>
    <row r="43" customFormat="false" ht="30" hidden="false" customHeight="true" outlineLevel="0" collapsed="false">
      <c r="A43" s="13" t="s">
        <v>472</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473</v>
      </c>
    </row>
    <row r="44" customFormat="false" ht="30" hidden="false" customHeight="true" outlineLevel="0" collapsed="false">
      <c r="A44" s="13" t="s">
        <v>474</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475</v>
      </c>
    </row>
    <row r="45" customFormat="false" ht="30" hidden="false" customHeight="true" outlineLevel="0" collapsed="false">
      <c r="A45" s="13" t="s">
        <v>476</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477</v>
      </c>
    </row>
    <row r="46" customFormat="false" ht="30" hidden="false" customHeight="true" outlineLevel="0" collapsed="false">
      <c r="A46" s="13" t="s">
        <v>478</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479</v>
      </c>
    </row>
    <row r="47" customFormat="false" ht="30" hidden="false" customHeight="true" outlineLevel="0" collapsed="false">
      <c r="A47" s="13" t="s">
        <v>480</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288</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50</v>
      </c>
      <c r="C4" s="12" t="s">
        <v>45</v>
      </c>
      <c r="D4" s="12" t="s">
        <v>55</v>
      </c>
      <c r="E4" s="12" t="s">
        <v>57</v>
      </c>
      <c r="F4" s="12" t="s">
        <v>432</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IF(B7&gt;0,B10/B7,0)</f>
        <v>4.16666666666667</v>
      </c>
      <c r="C11" s="37" t="n">
        <f aca="false">IF(C7&gt;0,C10/C7,0)</f>
        <v>4.16666666666667</v>
      </c>
      <c r="D11" s="37" t="n">
        <f aca="false">IF(D7&gt;0,D10/D7,0)</f>
        <v>4.16666666666667</v>
      </c>
      <c r="E11" s="37" t="n">
        <f aca="false">IF(E7&gt;0,E10/E7,0)</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IF(B13&gt;0,B16/B13,0)</f>
        <v>166.505625</v>
      </c>
      <c r="C17" s="37" t="n">
        <f aca="false">IF(C13&gt;0,C16/C13,0)</f>
        <v>209.5875</v>
      </c>
      <c r="D17" s="37" t="n">
        <f aca="false">IF(D13&gt;0,D16/D13,0)</f>
        <v>151.36875</v>
      </c>
      <c r="E17" s="37" t="n">
        <f aca="false">IF(E13&gt;0,E16/E13,0)</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IF(B31&gt;0,(B32+B33)/B31,0)</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IF(B41*B39&gt;0,B43/B41/B39,0)</f>
        <v>183.654729109275</v>
      </c>
    </row>
    <row r="48" customFormat="false" ht="15" hidden="false" customHeight="false" outlineLevel="0" collapsed="false">
      <c r="A48" s="2" t="s">
        <v>539</v>
      </c>
      <c r="B48" s="35" t="n">
        <f aca="false">IF(B43&gt;0,(B47*B38+B46)/B43,0)</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22</v>
      </c>
      <c r="B4" s="12" t="s">
        <v>287</v>
      </c>
      <c r="C4" s="12" t="s">
        <v>288</v>
      </c>
      <c r="D4" s="12" t="s">
        <v>567</v>
      </c>
      <c r="E4" s="12" t="s">
        <v>289</v>
      </c>
      <c r="F4" s="12" t="s">
        <v>568</v>
      </c>
      <c r="G4" s="12" t="s">
        <v>569</v>
      </c>
      <c r="H4" s="12" t="s">
        <v>521</v>
      </c>
      <c r="I4" s="12" t="s">
        <v>292</v>
      </c>
      <c r="J4" s="12" t="s">
        <v>520</v>
      </c>
      <c r="K4" s="12" t="s">
        <v>570</v>
      </c>
      <c r="L4" s="12" t="s">
        <v>422</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287</v>
      </c>
      <c r="E5" s="2" t="str">
        <f aca="false">Assumptions!D112</f>
        <v>Free</v>
      </c>
      <c r="F5" s="37" t="n">
        <f aca="false">Assumptions!E112</f>
        <v>0</v>
      </c>
      <c r="G5" s="23" t="str">
        <f aca="false">IF(E5="Free","",Assumptions!F112)</f>
        <v/>
      </c>
      <c r="H5" s="37" t="n">
        <f aca="false">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IF(E5="Slot",IF(N(G5)&gt;0,ROUNDUP(W5/G5,0)*F5,0),W5*H5)</f>
        <v>0</v>
      </c>
      <c r="Y5" s="35" t="n">
        <f aca="false">IF(U5&gt;0,Assumptions!J112,0)</f>
        <v>0</v>
      </c>
      <c r="Z5" s="35" t="n">
        <f aca="false">IF(AND(D5="Channel",OR(E5="CPC",E5="CPA")),MIN(Assumptions!$D$49,J5*H5),0)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287</v>
      </c>
      <c r="E6" s="2" t="str">
        <f aca="false">Assumptions!D113</f>
        <v>Free</v>
      </c>
      <c r="F6" s="37" t="n">
        <f aca="false">Assumptions!E113</f>
        <v>0</v>
      </c>
      <c r="G6" s="23" t="str">
        <f aca="false">IF(E6="Free","",Assumptions!F113)</f>
        <v/>
      </c>
      <c r="H6" s="37" t="n">
        <f aca="false">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IF(E6="Slot",IF(N(G6)&gt;0,ROUNDUP(W6/G6,0)*F6,0),W6*H6)</f>
        <v>0</v>
      </c>
      <c r="Y6" s="35" t="n">
        <f aca="false">IF(U6&gt;0,Assumptions!J113,0)</f>
        <v>0</v>
      </c>
      <c r="Z6" s="35" t="n">
        <f aca="false">IF(AND(D6="Channel",OR(E6="CPC",E6="CPA")),MIN(Assumptions!$D$49,J6*H6),0)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287</v>
      </c>
      <c r="E7" s="2" t="str">
        <f aca="false">Assumptions!D114</f>
        <v>Free</v>
      </c>
      <c r="F7" s="37" t="n">
        <f aca="false">Assumptions!E114</f>
        <v>0</v>
      </c>
      <c r="G7" s="23" t="str">
        <f aca="false">IF(E7="Free","",Assumptions!F114)</f>
        <v/>
      </c>
      <c r="H7" s="37" t="n">
        <f aca="false">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IF(E7="Slot",IF(N(G7)&gt;0,ROUNDUP(W7/G7,0)*F7,0),W7*H7)</f>
        <v>0</v>
      </c>
      <c r="Y7" s="35" t="n">
        <f aca="false">IF(U7&gt;0,Assumptions!J114,0)</f>
        <v>0</v>
      </c>
      <c r="Z7" s="35" t="n">
        <f aca="false">IF(AND(D7="Channel",OR(E7="CPC",E7="CPA")),MIN(Assumptions!$D$49,J7*H7),0)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287</v>
      </c>
      <c r="E8" s="2" t="str">
        <f aca="false">Assumptions!D115</f>
        <v>Free</v>
      </c>
      <c r="F8" s="37" t="n">
        <f aca="false">Assumptions!E115</f>
        <v>0</v>
      </c>
      <c r="G8" s="23" t="str">
        <f aca="false">IF(E8="Free","",Assumptions!F115)</f>
        <v/>
      </c>
      <c r="H8" s="37" t="n">
        <f aca="false">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IF(E8="Slot",IF(N(G8)&gt;0,ROUNDUP(W8/G8,0)*F8,0),W8*H8)</f>
        <v>0</v>
      </c>
      <c r="Y8" s="35" t="n">
        <f aca="false">IF(U8&gt;0,Assumptions!J115,0)</f>
        <v>0</v>
      </c>
      <c r="Z8" s="35" t="n">
        <f aca="false">IF(AND(D8="Channel",OR(E8="CPC",E8="CPA")),MIN(Assumptions!$D$49,J8*H8),0)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287</v>
      </c>
      <c r="E9" s="2" t="str">
        <f aca="false">Assumptions!D116</f>
        <v>CPC</v>
      </c>
      <c r="F9" s="37" t="n">
        <f aca="false">Assumptions!E116</f>
        <v>2</v>
      </c>
      <c r="G9" s="25" t="n">
        <f aca="false">IF(E9="Free","",Assumptions!F116)</f>
        <v>0.035</v>
      </c>
      <c r="H9" s="37" t="n">
        <f aca="false">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IF(E9="Slot",IF(N(G9)&gt;0,ROUNDUP(W9/G9,0)*F9,0),W9*H9)</f>
        <v>750</v>
      </c>
      <c r="Y9" s="35" t="n">
        <f aca="false">IF(U9&gt;0,Assumptions!J116,0)</f>
        <v>0</v>
      </c>
      <c r="Z9" s="35" t="n">
        <f aca="false">IF(AND(D9="Channel",OR(E9="CPC",E9="CPA")),MIN(Assumptions!$D$49,J9*H9),0)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287</v>
      </c>
      <c r="E10" s="2" t="str">
        <f aca="false">Assumptions!D117</f>
        <v>CPC</v>
      </c>
      <c r="F10" s="37" t="n">
        <f aca="false">Assumptions!E117</f>
        <v>1.2</v>
      </c>
      <c r="G10" s="25" t="n">
        <f aca="false">IF(E10="Free","",Assumptions!F117)</f>
        <v>0.05</v>
      </c>
      <c r="H10" s="37" t="n">
        <f aca="false">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IF(E10="Slot",IF(N(G10)&gt;0,ROUNDUP(W10/G10,0)*F10,0),W10*H10)</f>
        <v>750</v>
      </c>
      <c r="Y10" s="35" t="n">
        <f aca="false">IF(U10&gt;0,Assumptions!J117,0)</f>
        <v>0</v>
      </c>
      <c r="Z10" s="35" t="n">
        <f aca="false">IF(AND(D10="Channel",OR(E10="CPC",E10="CPA")),MIN(Assumptions!$D$49,J10*H10),0)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287</v>
      </c>
      <c r="E11" s="2" t="str">
        <f aca="false">Assumptions!D118</f>
        <v>CPC</v>
      </c>
      <c r="F11" s="37" t="n">
        <f aca="false">Assumptions!E118</f>
        <v>1.8</v>
      </c>
      <c r="G11" s="25" t="n">
        <f aca="false">IF(E11="Free","",Assumptions!F118)</f>
        <v>0.04</v>
      </c>
      <c r="H11" s="37" t="n">
        <f aca="false">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IF(E11="Slot",IF(N(G11)&gt;0,ROUNDUP(W11/G11,0)*F11,0),W11*H11)</f>
        <v>750</v>
      </c>
      <c r="Y11" s="35" t="n">
        <f aca="false">IF(U11&gt;0,Assumptions!J118,0)</f>
        <v>0</v>
      </c>
      <c r="Z11" s="35" t="n">
        <f aca="false">IF(AND(D11="Channel",OR(E11="CPC",E11="CPA")),MIN(Assumptions!$D$49,J11*H11),0)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287</v>
      </c>
      <c r="E12" s="2" t="str">
        <f aca="false">Assumptions!D119</f>
        <v>CPC</v>
      </c>
      <c r="F12" s="37" t="n">
        <f aca="false">Assumptions!E119</f>
        <v>1.7</v>
      </c>
      <c r="G12" s="25" t="n">
        <f aca="false">IF(E12="Free","",Assumptions!F119)</f>
        <v>0.04</v>
      </c>
      <c r="H12" s="37" t="n">
        <f aca="false">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IF(E12="Slot",IF(N(G12)&gt;0,ROUNDUP(W12/G12,0)*F12,0),W12*H12)</f>
        <v>750</v>
      </c>
      <c r="Y12" s="35" t="n">
        <f aca="false">IF(U12&gt;0,Assumptions!J119,0)</f>
        <v>0</v>
      </c>
      <c r="Z12" s="35" t="n">
        <f aca="false">IF(AND(D12="Channel",OR(E12="CPC",E12="CPA")),MIN(Assumptions!$D$49,J12*H12),0)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287</v>
      </c>
      <c r="E13" s="2" t="str">
        <f aca="false">Assumptions!D120</f>
        <v>Slot</v>
      </c>
      <c r="F13" s="37" t="n">
        <f aca="false">Assumptions!E120</f>
        <v>1449</v>
      </c>
      <c r="G13" s="23" t="n">
        <f aca="false">IF(E13="Free","",Assumptions!F120)</f>
        <v>15</v>
      </c>
      <c r="H13" s="37" t="n">
        <f aca="false">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IF(E13="Slot",IF(N(G13)&gt;0,ROUNDUP(W13/G13,0)*F13,0),W13*H13)</f>
        <v>1449</v>
      </c>
      <c r="Y13" s="35" t="n">
        <f aca="false">IF(U13&gt;0,Assumptions!J120,0)</f>
        <v>0</v>
      </c>
      <c r="Z13" s="35" t="n">
        <f aca="false">IF(AND(D13="Channel",OR(E13="CPC",E13="CPA")),MIN(Assumptions!$D$49,J13*H13),0)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287</v>
      </c>
      <c r="E14" s="2" t="str">
        <f aca="false">Assumptions!D121</f>
        <v>Slot</v>
      </c>
      <c r="F14" s="37" t="n">
        <f aca="false">Assumptions!E121</f>
        <v>1449</v>
      </c>
      <c r="G14" s="23" t="n">
        <f aca="false">IF(E14="Free","",Assumptions!F121)</f>
        <v>25</v>
      </c>
      <c r="H14" s="37" t="n">
        <f aca="false">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IF(E14="Slot",IF(N(G14)&gt;0,ROUNDUP(W14/G14,0)*F14,0),W14*H14)</f>
        <v>0</v>
      </c>
      <c r="Y14" s="35" t="n">
        <f aca="false">IF(U14&gt;0,Assumptions!J121,0)</f>
        <v>0</v>
      </c>
      <c r="Z14" s="35" t="n">
        <f aca="false">IF(AND(D14="Channel",OR(E14="CPC",E14="CPA")),MIN(Assumptions!$D$49,J14*H14),0)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287</v>
      </c>
      <c r="E15" s="2" t="str">
        <f aca="false">Assumptions!D122</f>
        <v>Slot</v>
      </c>
      <c r="F15" s="37" t="n">
        <f aca="false">Assumptions!E122</f>
        <v>1449</v>
      </c>
      <c r="G15" s="23" t="n">
        <f aca="false">IF(E15="Free","",Assumptions!F122)</f>
        <v>15</v>
      </c>
      <c r="H15" s="37" t="n">
        <f aca="false">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IF(E15="Slot",IF(N(G15)&gt;0,ROUNDUP(W15/G15,0)*F15,0),W15*H15)</f>
        <v>0</v>
      </c>
      <c r="Y15" s="35" t="n">
        <f aca="false">IF(U15&gt;0,Assumptions!J122,0)</f>
        <v>0</v>
      </c>
      <c r="Z15" s="35" t="n">
        <f aca="false">IF(AND(D15="Channel",OR(E15="CPC",E15="CPA")),MIN(Assumptions!$D$49,J15*H15),0)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287</v>
      </c>
      <c r="E16" s="2" t="str">
        <f aca="false">Assumptions!D123</f>
        <v>Slot</v>
      </c>
      <c r="F16" s="37" t="n">
        <f aca="false">Assumptions!E123</f>
        <v>1449</v>
      </c>
      <c r="G16" s="23" t="n">
        <f aca="false">IF(E16="Free","",Assumptions!F123)</f>
        <v>15</v>
      </c>
      <c r="H16" s="37" t="n">
        <f aca="false">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IF(E16="Slot",IF(N(G16)&gt;0,ROUNDUP(W16/G16,0)*F16,0),W16*H16)</f>
        <v>0</v>
      </c>
      <c r="Y16" s="35" t="n">
        <f aca="false">IF(U16&gt;0,Assumptions!J123,0)</f>
        <v>0</v>
      </c>
      <c r="Z16" s="35" t="n">
        <f aca="false">IF(AND(D16="Channel",OR(E16="CPC",E16="CPA")),MIN(Assumptions!$D$49,J16*H16),0)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287</v>
      </c>
      <c r="E17" s="2" t="str">
        <f aca="false">Assumptions!D124</f>
        <v>CPC</v>
      </c>
      <c r="F17" s="37" t="n">
        <f aca="false">Assumptions!E124</f>
        <v>3.5</v>
      </c>
      <c r="G17" s="25" t="n">
        <f aca="false">IF(E17="Free","",Assumptions!F124)</f>
        <v>0.08</v>
      </c>
      <c r="H17" s="37" t="n">
        <f aca="false">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IF(E17="Slot",IF(N(G17)&gt;0,ROUNDUP(W17/G17,0)*F17,0),W17*H17)</f>
        <v>5148.93851981352</v>
      </c>
      <c r="Y17" s="35" t="n">
        <f aca="false">IF(U17&gt;0,Assumptions!J124,0)</f>
        <v>0</v>
      </c>
      <c r="Z17" s="35" t="n">
        <f aca="false">IF(AND(D17="Channel",OR(E17="CPC",E17="CPA")),MIN(Assumptions!$D$49,J17*H17),0)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287</v>
      </c>
      <c r="E18" s="2" t="str">
        <f aca="false">Assumptions!D125</f>
        <v>CPC</v>
      </c>
      <c r="F18" s="37" t="n">
        <f aca="false">Assumptions!E125</f>
        <v>3.5</v>
      </c>
      <c r="G18" s="25" t="n">
        <f aca="false">IF(E18="Free","",Assumptions!F125)</f>
        <v>0.08</v>
      </c>
      <c r="H18" s="37" t="n">
        <f aca="false">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IF(E18="Slot",IF(N(G18)&gt;0,ROUNDUP(W18/G18,0)*F18,0),W18*H18)</f>
        <v>4375</v>
      </c>
      <c r="Y18" s="35" t="n">
        <f aca="false">IF(U18&gt;0,Assumptions!J125,0)</f>
        <v>0</v>
      </c>
      <c r="Z18" s="35" t="n">
        <f aca="false">IF(AND(D18="Channel",OR(E18="CPC",E18="CPA")),MIN(Assumptions!$D$49,J18*H18),0)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287</v>
      </c>
      <c r="E19" s="2" t="str">
        <f aca="false">Assumptions!D126</f>
        <v>CPA</v>
      </c>
      <c r="F19" s="37" t="n">
        <f aca="false">Assumptions!E126</f>
        <v>18</v>
      </c>
      <c r="G19" s="23" t="n">
        <f aca="false">IF(E19="Free","",Assumptions!F126)</f>
        <v>0</v>
      </c>
      <c r="H19" s="37" t="n">
        <f aca="false">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IF(E19="Slot",IF(N(G19)&gt;0,ROUNDUP(W19/G19,0)*F19,0),W19*H19)</f>
        <v>750</v>
      </c>
      <c r="Y19" s="35" t="n">
        <f aca="false">IF(U19&gt;0,Assumptions!J126,0)</f>
        <v>0</v>
      </c>
      <c r="Z19" s="35" t="n">
        <f aca="false">IF(AND(D19="Channel",OR(E19="CPC",E19="CPA")),MIN(Assumptions!$D$49,J19*H19),0)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287</v>
      </c>
      <c r="E20" s="2" t="str">
        <f aca="false">Assumptions!D127</f>
        <v>CPA</v>
      </c>
      <c r="F20" s="37" t="n">
        <f aca="false">Assumptions!E127</f>
        <v>12</v>
      </c>
      <c r="G20" s="23" t="n">
        <f aca="false">IF(E20="Free","",Assumptions!F127)</f>
        <v>0</v>
      </c>
      <c r="H20" s="37" t="n">
        <f aca="false">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IF(E20="Slot",IF(N(G20)&gt;0,ROUNDUP(W20/G20,0)*F20,0),W20*H20)</f>
        <v>750</v>
      </c>
      <c r="Y20" s="35" t="n">
        <f aca="false">IF(U20&gt;0,Assumptions!J127,0)</f>
        <v>0</v>
      </c>
      <c r="Z20" s="35" t="n">
        <f aca="false">IF(AND(D20="Channel",OR(E20="CPC",E20="CPA")),MIN(Assumptions!$D$49,J20*H20),0)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287</v>
      </c>
      <c r="E21" s="2" t="str">
        <f aca="false">Assumptions!D128</f>
        <v>CPC</v>
      </c>
      <c r="F21" s="37" t="n">
        <f aca="false">Assumptions!E128</f>
        <v>2.2</v>
      </c>
      <c r="G21" s="25" t="n">
        <f aca="false">IF(E21="Free","",Assumptions!F128)</f>
        <v>0.07</v>
      </c>
      <c r="H21" s="37" t="n">
        <f aca="false">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IF(E21="Slot",IF(N(G21)&gt;0,ROUNDUP(W21/G21,0)*F21,0),W21*H21)</f>
        <v>2514.28571428571</v>
      </c>
      <c r="Y21" s="35" t="n">
        <f aca="false">IF(U21&gt;0,Assumptions!J128,0)</f>
        <v>0</v>
      </c>
      <c r="Z21" s="35" t="n">
        <f aca="false">IF(AND(D21="Channel",OR(E21="CPC",E21="CPA")),MIN(Assumptions!$D$49,J21*H21),0)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287</v>
      </c>
      <c r="E22" s="2" t="str">
        <f aca="false">Assumptions!D129</f>
        <v>CPC</v>
      </c>
      <c r="F22" s="37" t="n">
        <f aca="false">Assumptions!E129</f>
        <v>2.2</v>
      </c>
      <c r="G22" s="25" t="n">
        <f aca="false">IF(E22="Free","",Assumptions!F129)</f>
        <v>0.07</v>
      </c>
      <c r="H22" s="37" t="n">
        <f aca="false">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IF(E22="Slot",IF(N(G22)&gt;0,ROUNDUP(W22/G22,0)*F22,0),W22*H22)</f>
        <v>750</v>
      </c>
      <c r="Y22" s="35" t="n">
        <f aca="false">IF(U22&gt;0,Assumptions!J129,0)</f>
        <v>0</v>
      </c>
      <c r="Z22" s="35" t="n">
        <f aca="false">IF(AND(D22="Channel",OR(E22="CPC",E22="CPA")),MIN(Assumptions!$D$49,J22*H22),0)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287</v>
      </c>
      <c r="E23" s="2" t="str">
        <f aca="false">Assumptions!D130</f>
        <v>CPC</v>
      </c>
      <c r="F23" s="37" t="n">
        <f aca="false">Assumptions!E130</f>
        <v>2.2</v>
      </c>
      <c r="G23" s="25" t="n">
        <f aca="false">IF(E23="Free","",Assumptions!F130)</f>
        <v>0.07</v>
      </c>
      <c r="H23" s="37" t="n">
        <f aca="false">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IF(E23="Slot",IF(N(G23)&gt;0,ROUNDUP(W23/G23,0)*F23,0),W23*H23)</f>
        <v>750</v>
      </c>
      <c r="Y23" s="35" t="n">
        <f aca="false">IF(U23&gt;0,Assumptions!J130,0)</f>
        <v>0</v>
      </c>
      <c r="Z23" s="35" t="n">
        <f aca="false">IF(AND(D23="Channel",OR(E23="CPC",E23="CPA")),MIN(Assumptions!$D$49,J23*H23),0)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287</v>
      </c>
      <c r="E24" s="2" t="str">
        <f aca="false">Assumptions!D131</f>
        <v>CPC</v>
      </c>
      <c r="F24" s="37" t="n">
        <f aca="false">Assumptions!E131</f>
        <v>2.2</v>
      </c>
      <c r="G24" s="25" t="n">
        <f aca="false">IF(E24="Free","",Assumptions!F131)</f>
        <v>0.07</v>
      </c>
      <c r="H24" s="37" t="n">
        <f aca="false">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IF(E24="Slot",IF(N(G24)&gt;0,ROUNDUP(W24/G24,0)*F24,0),W24*H24)</f>
        <v>942.857142857143</v>
      </c>
      <c r="Y24" s="35" t="n">
        <f aca="false">IF(U24&gt;0,Assumptions!J131,0)</f>
        <v>0</v>
      </c>
      <c r="Z24" s="35" t="n">
        <f aca="false">IF(AND(D24="Channel",OR(E24="CPC",E24="CPA")),MIN(Assumptions!$D$49,J24*H24),0)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50</v>
      </c>
      <c r="D25" s="2" t="s">
        <v>541</v>
      </c>
      <c r="E25" s="2" t="s">
        <v>332</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IF(E25="Slot",IF(N(G25)&gt;0,ROUNDUP(W25/G25,0)*F25,0),W25*H25)</f>
        <v>100</v>
      </c>
      <c r="Y25" s="35" t="n">
        <f aca="false">IF(U25&gt;0,0,0)</f>
        <v>0</v>
      </c>
      <c r="Z25" s="35" t="n">
        <f aca="false">IF(AND(D25="Channel",OR(E25="CPC",E25="CPA")),MIN(Assumptions!$D$49,J25*H25),0)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45</v>
      </c>
      <c r="D26" s="2" t="s">
        <v>541</v>
      </c>
      <c r="E26" s="2" t="s">
        <v>332</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IF(E26="Slot",IF(N(G26)&gt;0,ROUNDUP(W26/G26,0)*F26,0),W26*H26)</f>
        <v>150</v>
      </c>
      <c r="Y26" s="35" t="n">
        <f aca="false">IF(U26&gt;0,0,0)</f>
        <v>0</v>
      </c>
      <c r="Z26" s="35" t="n">
        <f aca="false">IF(AND(D26="Channel",OR(E26="CPC",E26="CPA")),MIN(Assumptions!$D$49,J26*H26),0)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55</v>
      </c>
      <c r="D27" s="2" t="s">
        <v>541</v>
      </c>
      <c r="E27" s="2" t="s">
        <v>332</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IF(E27="Slot",IF(N(G27)&gt;0,ROUNDUP(W27/G27,0)*F27,0),W27*H27)</f>
        <v>60</v>
      </c>
      <c r="Y27" s="35" t="n">
        <f aca="false">IF(U27&gt;0,0,0)</f>
        <v>0</v>
      </c>
      <c r="Z27" s="35" t="n">
        <f aca="false">IF(AND(D27="Channel",OR(E27="CPC",E27="CPA")),MIN(Assumptions!$D$49,J27*H27),0)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57</v>
      </c>
      <c r="D28" s="2" t="s">
        <v>541</v>
      </c>
      <c r="E28" s="2" t="s">
        <v>332</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IF(E28="Slot",IF(N(G28)&gt;0,ROUNDUP(W28/G28,0)*F28,0),W28*H28)</f>
        <v>40</v>
      </c>
      <c r="Y28" s="35" t="n">
        <f aca="false">IF(U28&gt;0,0,0)</f>
        <v>0</v>
      </c>
      <c r="Z28" s="35" t="n">
        <f aca="false">IF(AND(D28="Channel",OR(E28="CPC",E28="CPA")),MIN(Assumptions!$D$49,J28*H28),0)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50</v>
      </c>
      <c r="D29" s="2" t="s">
        <v>541</v>
      </c>
      <c r="E29" s="2" t="s">
        <v>332</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IF(E29="Slot",IF(N(G29)&gt;0,ROUNDUP(W29/G29,0)*F29,0),W29*H29)</f>
        <v>4162.640625</v>
      </c>
      <c r="Y29" s="35" t="n">
        <f aca="false">IF(U29&gt;0,0,0)</f>
        <v>0</v>
      </c>
      <c r="Z29" s="35" t="n">
        <f aca="false">IF(AND(D29="Channel",OR(E29="CPC",E29="CPA")),MIN(Assumptions!$D$49,J29*H29),0)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45</v>
      </c>
      <c r="D30" s="2" t="s">
        <v>541</v>
      </c>
      <c r="E30" s="2" t="s">
        <v>332</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IF(E30="Slot",IF(N(G30)&gt;0,ROUNDUP(W30/G30,0)*F30,0),W30*H30)</f>
        <v>0</v>
      </c>
      <c r="Y30" s="35" t="n">
        <f aca="false">IF(U30&gt;0,0,0)</f>
        <v>0</v>
      </c>
      <c r="Z30" s="35" t="n">
        <f aca="false">IF(AND(D30="Channel",OR(E30="CPC",E30="CPA")),MIN(Assumptions!$D$49,J30*H30),0)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55</v>
      </c>
      <c r="D31" s="2" t="s">
        <v>541</v>
      </c>
      <c r="E31" s="2" t="s">
        <v>332</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IF(E31="Slot",IF(N(G31)&gt;0,ROUNDUP(W31/G31,0)*F31,0),W31*H31)</f>
        <v>0</v>
      </c>
      <c r="Y31" s="35" t="n">
        <f aca="false">IF(U31&gt;0,0,0)</f>
        <v>0</v>
      </c>
      <c r="Z31" s="35" t="n">
        <f aca="false">IF(AND(D31="Channel",OR(E31="CPC",E31="CPA")),MIN(Assumptions!$D$49,J31*H31),0)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57</v>
      </c>
      <c r="D32" s="2" t="s">
        <v>541</v>
      </c>
      <c r="E32" s="2" t="s">
        <v>332</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IF(E32="Slot",IF(N(G32)&gt;0,ROUNDUP(W32/G32,0)*F32,0),W32*H32)</f>
        <v>445.42</v>
      </c>
      <c r="Y32" s="35" t="n">
        <f aca="false">IF(U32&gt;0,0,0)</f>
        <v>0</v>
      </c>
      <c r="Z32" s="35" t="n">
        <f aca="false">IF(AND(D32="Channel",OR(E32="CPC",E32="CPA")),MIN(Assumptions!$D$49,J32*H32),0)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50</v>
      </c>
      <c r="D33" s="2" t="s">
        <v>541</v>
      </c>
      <c r="E33" s="2" t="s">
        <v>332</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IF(E33="Slot",IF(N(G33)&gt;0,ROUNDUP(W33/G33,0)*F33,0),W33*H33)</f>
        <v>9000</v>
      </c>
      <c r="Y33" s="35" t="n">
        <f aca="false">IF(U33&gt;0,Initiatives!B33,0)</f>
        <v>1200</v>
      </c>
      <c r="Z33" s="35" t="n">
        <f aca="false">IF(AND(D33="Channel",OR(E33="CPC",E33="CPA")),MIN(Assumptions!$D$49,J33*H33),0)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45</v>
      </c>
      <c r="D34" s="2" t="s">
        <v>541</v>
      </c>
      <c r="E34" s="2" t="s">
        <v>332</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IF(E34="Slot",IF(N(G34)&gt;0,ROUNDUP(W34/G34,0)*F34,0),W34*H34)</f>
        <v>2745.32619584272</v>
      </c>
      <c r="Y34" s="35" t="n">
        <f aca="false">IF(U34&gt;0,Initiatives!B46,0)</f>
        <v>400</v>
      </c>
      <c r="Z34" s="35" t="n">
        <f aca="false">IF(AND(D34="Channel",OR(E34="CPC",E34="CPA")),MIN(Assumptions!$D$49,J34*H34),0)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432</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(X35+Y35)/U35</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288</v>
      </c>
      <c r="C38" s="12" t="s">
        <v>49</v>
      </c>
      <c r="D38" s="12" t="s">
        <v>609</v>
      </c>
      <c r="E38" s="12" t="s">
        <v>610</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IF(Assumptions!$D$48&lt;1,C9/(1-Assumptions!$D$48)*Assumptions!$D$48,0)</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ROUNDUP(C11/Assumptions!$D$51,0)*Assumptions!$D$51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IF(C13&gt;0,C9/C13,0)</f>
        <v>387.334681977991</v>
      </c>
    </row>
    <row r="15" customFormat="false" ht="15" hidden="false" customHeight="false" outlineLevel="0" collapsed="false">
      <c r="B15" s="2" t="s">
        <v>623</v>
      </c>
      <c r="C15" s="35" t="n">
        <f aca="false">IF(C13&gt;0,C12/C13,0)</f>
        <v>475</v>
      </c>
    </row>
    <row r="16" customFormat="false" ht="15" hidden="false" customHeight="false" outlineLevel="0" collapsed="false">
      <c r="B16" s="2" t="s">
        <v>624</v>
      </c>
      <c r="C16" s="24" t="n">
        <f aca="false">IF(C12&gt;0,Weekly!N5/C12,0)</f>
        <v>0.297811868076705</v>
      </c>
    </row>
    <row r="19" customFormat="false" ht="15" hidden="false" customHeight="false" outlineLevel="0" collapsed="false">
      <c r="B19" s="22" t="s">
        <v>625</v>
      </c>
    </row>
    <row r="20" customFormat="false" ht="26.85" hidden="false" customHeight="false" outlineLevel="0" collapsed="false">
      <c r="A20" s="12"/>
      <c r="B20" s="12" t="s">
        <v>288</v>
      </c>
      <c r="C20" s="12" t="s">
        <v>626</v>
      </c>
      <c r="D20" s="12" t="s">
        <v>583</v>
      </c>
      <c r="E20" s="12" t="s">
        <v>627</v>
      </c>
      <c r="F20" s="12" t="s">
        <v>585</v>
      </c>
      <c r="G20" s="12" t="s">
        <v>628</v>
      </c>
      <c r="H20" s="12" t="s">
        <v>629</v>
      </c>
      <c r="I20" s="12" t="s">
        <v>630</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432</v>
      </c>
      <c r="C25" s="36" t="n">
        <f aca="false">SUM(C21:C24)</f>
        <v>37133.4681977991</v>
      </c>
      <c r="D25" s="36" t="n">
        <f aca="false">SUM(D21:D24)</f>
        <v>1600</v>
      </c>
      <c r="E25" s="36" t="n">
        <f aca="false">SUM(E21:E24)</f>
        <v>9000</v>
      </c>
      <c r="F25" s="36" t="n">
        <f aca="false">SUM(F21:F24)</f>
        <v>38733.4681977991</v>
      </c>
      <c r="G25" s="29" t="n">
        <f aca="false">SUM(G21:G24)</f>
        <v>100</v>
      </c>
      <c r="H25" s="36" t="n">
        <f aca="false">F25/G25</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287</v>
      </c>
      <c r="C28" s="12" t="s">
        <v>585</v>
      </c>
      <c r="D28" s="12" t="s">
        <v>628</v>
      </c>
      <c r="E28" s="12" t="s">
        <v>629</v>
      </c>
      <c r="F28" s="12" t="s">
        <v>632</v>
      </c>
    </row>
    <row r="29" customFormat="false" ht="15" hidden="false" customHeight="false" outlineLevel="0" collapsed="false">
      <c r="B29" s="2" t="s">
        <v>297</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306</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316</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326</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331</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337</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432</v>
      </c>
      <c r="C39" s="36" t="n">
        <f aca="false">SUM(C29:C38)</f>
        <v>38733.4681977991</v>
      </c>
      <c r="D39" s="29" t="n">
        <f aca="false">SUM(D29:D38)</f>
        <v>100</v>
      </c>
    </row>
    <row r="40" customFormat="false" ht="15" hidden="false" customHeight="false" outlineLevel="0" collapsed="false">
      <c r="B40" s="2" t="str">
        <f aca="false">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50</v>
      </c>
      <c r="E44" s="12" t="s">
        <v>45</v>
      </c>
      <c r="F44" s="12" t="s">
        <v>55</v>
      </c>
      <c r="G44" s="12" t="s">
        <v>57</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288</v>
      </c>
      <c r="C7" s="12" t="s">
        <v>643</v>
      </c>
      <c r="D7" s="12" t="s">
        <v>644</v>
      </c>
      <c r="E7" s="12" t="s">
        <v>628</v>
      </c>
      <c r="F7" s="12" t="s">
        <v>645</v>
      </c>
      <c r="G7" s="12" t="s">
        <v>646</v>
      </c>
      <c r="H7" s="12" t="s">
        <v>647</v>
      </c>
      <c r="I7" s="12" t="s">
        <v>648</v>
      </c>
      <c r="J7" s="12" t="s">
        <v>649</v>
      </c>
      <c r="K7" s="12" t="s">
        <v>650</v>
      </c>
      <c r="L7" s="12" t="s">
        <v>651</v>
      </c>
      <c r="M7" s="12" t="s">
        <v>652</v>
      </c>
      <c r="N7" s="12" t="s">
        <v>626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row>
    <row r="38" customFormat="false" ht="15" hidden="false" customHeight="false" outlineLevel="0" collapsed="false">
      <c r="E38" s="22" t="s">
        <v>653</v>
      </c>
    </row>
    <row r="39" customFormat="false" ht="15" hidden="false" customHeight="false" outlineLevel="0" collapsed="false">
      <c r="E39" s="2" t="s">
        <v>50</v>
      </c>
      <c r="F39" s="26" t="n">
        <f aca="false">SUMIFS(F$8:F$37,$B$8:$B$37,$E39)</f>
        <v>30</v>
      </c>
      <c r="G39" s="26" t="n">
        <f aca="false">SUMIFS(G$8:G$37,$B$8:$B$37,$E39)</f>
        <v>27.9384299857171</v>
      </c>
      <c r="H39" s="26" t="n">
        <f aca="false">SUMIFS(H$8:H$37,$B$8:$B$37,$E39)</f>
        <v>23.1389080966647</v>
      </c>
      <c r="I39" s="26" t="n">
        <f aca="false">SUMIFS(I$8:I$37,$B$8:$B$37,$E39)</f>
        <v>12.7463830966647</v>
      </c>
    </row>
    <row r="40" customFormat="false" ht="15" hidden="false" customHeight="false" outlineLevel="0" collapsed="false">
      <c r="E40" s="2" t="s">
        <v>45</v>
      </c>
      <c r="F40" s="26" t="n">
        <f aca="false">SUMIFS(F$8:F$37,$B$8:$B$37,$E40)</f>
        <v>45</v>
      </c>
      <c r="G40" s="26" t="n">
        <f aca="false">SUMIFS(G$8:G$37,$B$8:$B$37,$E40)</f>
        <v>45</v>
      </c>
      <c r="H40" s="26" t="n">
        <f aca="false">SUMIFS(H$8:H$37,$B$8:$B$37,$E40)</f>
        <v>45</v>
      </c>
      <c r="I40" s="26" t="n">
        <f aca="false">SUMIFS(I$8:I$37,$B$8:$B$37,$E40)</f>
        <v>45</v>
      </c>
    </row>
    <row r="41" customFormat="false" ht="15" hidden="false" customHeight="false" outlineLevel="0" collapsed="false">
      <c r="E41" s="2" t="s">
        <v>55</v>
      </c>
      <c r="F41" s="26" t="n">
        <f aca="false">SUMIFS(F$8:F$37,$B$8:$B$37,$E41)</f>
        <v>15</v>
      </c>
      <c r="G41" s="26" t="n">
        <f aca="false">SUMIFS(G$8:G$37,$B$8:$B$37,$E41)</f>
        <v>14.415</v>
      </c>
      <c r="H41" s="26" t="n">
        <f aca="false">SUMIFS(H$8:H$37,$B$8:$B$37,$E41)</f>
        <v>14.415</v>
      </c>
      <c r="I41" s="26" t="n">
        <f aca="false">SUMIFS(I$8:I$37,$B$8:$B$37,$E41)</f>
        <v>14.415</v>
      </c>
    </row>
    <row r="42" customFormat="false" ht="15" hidden="false" customHeight="false" outlineLevel="0" collapsed="false">
      <c r="E42" s="2" t="s">
        <v>57</v>
      </c>
      <c r="F42" s="26" t="n">
        <f aca="false">SUMIFS(F$8:F$37,$B$8:$B$37,$E42)</f>
        <v>10</v>
      </c>
      <c r="G42" s="26" t="n">
        <f aca="false">SUMIFS(G$8:G$37,$B$8:$B$37,$E42)</f>
        <v>9.5275</v>
      </c>
      <c r="H42" s="26" t="n">
        <f aca="false">SUMIFS(H$8:H$37,$B$8:$B$37,$E42)</f>
        <v>8.11818</v>
      </c>
      <c r="I42" s="26" t="n">
        <f aca="false">SUMIFS(I$8:I$37,$B$8:$B$37,$E42)</f>
        <v>8.11818</v>
      </c>
    </row>
    <row r="43" customFormat="false" ht="15" hidden="false" customHeight="false" outlineLevel="0" collapsed="false">
      <c r="E43" s="22" t="s">
        <v>432</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IF(F43&gt;0,F4/F43,0)</f>
        <v>475</v>
      </c>
      <c r="G44" s="35" t="n">
        <f aca="false">IF(G43&gt;0,G4/G43,0)</f>
        <v>416.748683213016</v>
      </c>
      <c r="H44" s="35" t="n">
        <f aca="false">IF(H43&gt;0,H4/H43,0)</f>
        <v>366.706013922967</v>
      </c>
      <c r="I44" s="35" t="n">
        <f aca="false">IF(I43&gt;0,I4/I43,0)</f>
        <v>295.841171574422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654</v>
      </c>
    </row>
    <row r="2" customFormat="false" ht="15" hidden="false" customHeight="false" outlineLevel="0" collapsed="false">
      <c r="A2" s="2" t="s">
        <v>655</v>
      </c>
    </row>
    <row r="3" customFormat="false" ht="45" hidden="false" customHeight="true" outlineLevel="0" collapsed="false">
      <c r="A3" s="12" t="s">
        <v>656</v>
      </c>
      <c r="B3" s="12" t="s">
        <v>657</v>
      </c>
      <c r="C3" s="12" t="s">
        <v>658</v>
      </c>
      <c r="D3" s="12" t="s">
        <v>659</v>
      </c>
      <c r="E3" s="12" t="s">
        <v>660</v>
      </c>
      <c r="F3" s="12" t="s">
        <v>661</v>
      </c>
      <c r="G3" s="12" t="s">
        <v>662</v>
      </c>
      <c r="H3" s="12" t="s">
        <v>663</v>
      </c>
      <c r="I3" s="12" t="s">
        <v>664</v>
      </c>
      <c r="J3" s="12" t="s">
        <v>665</v>
      </c>
      <c r="K3" s="12" t="s">
        <v>666</v>
      </c>
      <c r="L3" s="12" t="s">
        <v>667</v>
      </c>
      <c r="M3" s="12" t="s">
        <v>668</v>
      </c>
      <c r="N3" s="12" t="s">
        <v>669</v>
      </c>
      <c r="O3" s="12" t="s">
        <v>670</v>
      </c>
      <c r="P3" s="12" t="s">
        <v>671</v>
      </c>
      <c r="Q3" s="12" t="s">
        <v>672</v>
      </c>
      <c r="R3" s="12" t="s">
        <v>673</v>
      </c>
      <c r="S3" s="12" t="s">
        <v>674</v>
      </c>
      <c r="T3" s="12" t="s">
        <v>675</v>
      </c>
      <c r="U3" s="12" t="s">
        <v>676</v>
      </c>
      <c r="V3" s="12" t="s">
        <v>677</v>
      </c>
      <c r="W3" s="12" t="s">
        <v>678</v>
      </c>
      <c r="X3" s="12" t="s">
        <v>679</v>
      </c>
      <c r="Y3" s="12" t="s">
        <v>680</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432</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IF(Funnel!B19&lt;Assumptions!$D$7,"✗ no application can sign by the deadline (Funnel B19 is before the campaign starts)",IF(AND(Budget!G24&gt;0,Funnel!B20&lt;Assumptions!$D$7),"✗ supervisors cannot apply in time (Funnel B20 is before the campaign starts)",IF(OR(ABS(D15-1)&gt;0.001,ABS(Y15-1)&gt;0.001),"✗ shares must sum to 100%",IF(ABS(M15-Budget!C9)&gt;1,"✗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681</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682</v>
      </c>
    </row>
    <row r="19" customFormat="false" ht="15" hidden="false" customHeight="false" outlineLevel="0" collapsed="false">
      <c r="B19" s="2" t="s">
        <v>683</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684</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685</v>
      </c>
      <c r="F21" s="35" t="n">
        <f aca="false">SUMIFS(Channels!$X$5:$X$34,Channels!$E$5:$E$34,"Slot")</f>
        <v>1449</v>
      </c>
    </row>
    <row r="22" customFormat="false" ht="15" hidden="false" customHeight="false" outlineLevel="0" collapsed="false">
      <c r="B22" s="2" t="s">
        <v>686</v>
      </c>
      <c r="F22" s="35" t="n">
        <f aca="false">SUMIFS(Channels!$X$5:$X$34,Channels!$B$5:$B$34,"I1b Employee referral sprint (bonus on hire)",Channels!$C$5:$C$34,"&lt;&gt;Supervisors")</f>
        <v>4162.640625</v>
      </c>
    </row>
    <row r="23" customFormat="false" ht="15" hidden="false" customHeight="false" outlineLevel="0" collapsed="false">
      <c r="B23" s="2" t="s">
        <v>687</v>
      </c>
      <c r="F23" s="35" t="n">
        <f aca="false">SUMIFS(Channels!$X$5:$X$34,Channels!$B$5:$B$34,"I1b Employee referral sprint (bonus on hire)",Channels!$C$5:$C$34,"Supervisors")</f>
        <v>445.42</v>
      </c>
    </row>
    <row r="24" customFormat="false" ht="15" hidden="false" customHeight="false" outlineLevel="0" collapsed="false">
      <c r="B24" s="2" t="s">
        <v>688</v>
      </c>
      <c r="F24" s="35" t="n">
        <f aca="false">SUM(Channels!$Z$5:$Z$34)</f>
        <v>9000</v>
      </c>
    </row>
    <row r="25" customFormat="false" ht="15" hidden="false" customHeight="false" outlineLevel="0" collapsed="false">
      <c r="B25" s="2" t="s">
        <v>689</v>
      </c>
      <c r="F25" s="26" t="n">
        <f aca="false">SUMIFS(Channels!$AF$5:$AF$34,Channels!$C$5:$C$34,"&lt;&gt;Supervisors")</f>
        <v>37.4440476190476</v>
      </c>
    </row>
    <row r="26" customFormat="false" ht="15" hidden="false" customHeight="false" outlineLevel="0" collapsed="false">
      <c r="B26" s="2" t="s">
        <v>690</v>
      </c>
      <c r="F26" s="26" t="n">
        <f aca="false">SUMIFS(Channels!$AF$5:$AF$34,Channels!$C$5:$C$34,"Supervisors")</f>
        <v>8.05691367456073</v>
      </c>
    </row>
    <row r="27" customFormat="false" ht="15" hidden="false" customHeight="false" outlineLevel="0" collapsed="false">
      <c r="B27" s="2" t="s">
        <v>691</v>
      </c>
      <c r="F27" s="26" t="n">
        <f aca="false">SUMIFS(Channels!$AE$5:$AE$34,Channels!$C$5:$C$34,"&lt;&gt;Supervisors")</f>
        <v>253.9420995671</v>
      </c>
    </row>
    <row r="28" customFormat="false" ht="15" hidden="false" customHeight="false" outlineLevel="0" collapsed="false">
      <c r="B28" s="2" t="s">
        <v>692</v>
      </c>
      <c r="F28" s="26" t="n">
        <f aca="false">SUMIFS(Channels!$AE$5:$AE$34,Channels!$C$5:$C$34,"Supervisors")</f>
        <v>58.6535523300229</v>
      </c>
    </row>
    <row r="29" customFormat="false" ht="15" hidden="false" customHeight="false" outlineLevel="0" collapsed="false">
      <c r="B29" s="2" t="s">
        <v>693</v>
      </c>
      <c r="F29" s="26" t="n">
        <f aca="false">SUMIFS(Channels!$AG$5:$AG$34,Channels!$C$5:$C$34,"&lt;&gt;Supervisors")</f>
        <v>13.4524441558442</v>
      </c>
    </row>
    <row r="30" customFormat="false" ht="15" hidden="false" customHeight="false" outlineLevel="0" collapsed="false">
      <c r="B30" s="2" t="s">
        <v>694</v>
      </c>
      <c r="F30" s="26" t="n">
        <f aca="false">SUMIFS(Channels!$AG$5:$AG$34,Channels!$C$5:$C$34,"Supervisors")</f>
        <v>2.15723863636364</v>
      </c>
    </row>
    <row r="31" customFormat="false" ht="15" hidden="false" customHeight="false" outlineLevel="0" collapsed="false">
      <c r="B31" s="2" t="s">
        <v>695</v>
      </c>
      <c r="F31" s="35" t="n">
        <f aca="false">SUMIFS(Channels!$X$5:$X$34,Channels!$B$5:$B$34,"I1a Talent rediscovery (past applicants in ATS)")</f>
        <v>350</v>
      </c>
    </row>
    <row r="32" customFormat="false" ht="15" hidden="false" customHeight="false" outlineLevel="0" collapsed="false">
      <c r="B32" s="2" t="s">
        <v>696</v>
      </c>
      <c r="F32" s="26" t="n">
        <f aca="false">SUMIFS(Channels!$V$5:$V$34,Channels!$B$5:$B$34,"I1a Talent rediscovery (past applicants in ATS)",Channels!$C$5:$C$34,"&lt;&gt;Supervisors")</f>
        <v>37.2</v>
      </c>
    </row>
    <row r="33" customFormat="false" ht="15" hidden="false" customHeight="false" outlineLevel="0" collapsed="false">
      <c r="B33" s="2" t="s">
        <v>697</v>
      </c>
      <c r="F33" s="26" t="n">
        <f aca="false">SUMIFS(Channels!$V$5:$V$34,Channels!$B$5:$B$34,"I1a Talent rediscovery (past applicants in ATS)",Channels!$C$5:$C$34,"Supervisors")</f>
        <v>4.8</v>
      </c>
    </row>
    <row r="34" customFormat="false" ht="15" hidden="false" customHeight="false" outlineLevel="0" collapsed="false">
      <c r="B34" s="2" t="s">
        <v>698</v>
      </c>
      <c r="F34" s="26" t="n">
        <f aca="false">SUMIFS(Channels!$W$5:$W$34,Channels!$B$5:$B$34,"I1a Talent rediscovery (past applicants in ATS)",Channels!$C$5:$C$34,"&lt;&gt;Supervisors")</f>
        <v>74.4</v>
      </c>
    </row>
    <row r="35" customFormat="false" ht="15" hidden="false" customHeight="false" outlineLevel="0" collapsed="false">
      <c r="B35" s="2" t="s">
        <v>699</v>
      </c>
      <c r="F35" s="26" t="n">
        <f aca="false">SUMIFS(Channels!$W$5:$W$34,Channels!$B$5:$B$34,"I1a Talent rediscovery (past applicants in ATS)",Channels!$C$5:$C$34,"Supervisors")</f>
        <v>9.6</v>
      </c>
    </row>
    <row r="36" customFormat="false" ht="15" hidden="false" customHeight="false" outlineLevel="0" collapsed="false">
      <c r="B36" s="2" t="s">
        <v>700</v>
      </c>
      <c r="F36" s="26" t="n">
        <f aca="false">SUMIFS(Channels!$U$5:$U$34,Channels!$B$5:$B$34,"I1a Talent rediscovery (past applicants in ATS)",Channels!$C$5:$C$34,"&lt;&gt;Supervisors")</f>
        <v>15.24555</v>
      </c>
    </row>
    <row r="37" customFormat="false" ht="15" hidden="false" customHeight="false" outlineLevel="0" collapsed="false">
      <c r="B37" s="2" t="s">
        <v>701</v>
      </c>
      <c r="F37" s="26" t="n">
        <f aca="false">SUMIFS(Channels!$U$5:$U$34,Channels!$B$5:$B$34,"I1a Talent rediscovery (past applicants in ATS)",Channels!$C$5:$C$34,"Supervisors")</f>
        <v>1.47798</v>
      </c>
    </row>
    <row r="38" customFormat="false" ht="15" hidden="false" customHeight="false" outlineLevel="0" collapsed="false">
      <c r="B38" s="2" t="s">
        <v>702</v>
      </c>
      <c r="F38" s="24" t="n">
        <f aca="false">IF(Funnel!B23&gt;0,MIN(1,Funnel!B22/Funnel!B23),1)</f>
        <v>1</v>
      </c>
    </row>
    <row r="42" customFormat="false" ht="15" hidden="false" customHeight="false" outlineLevel="0" collapsed="false">
      <c r="A42" s="22" t="s">
        <v>703</v>
      </c>
    </row>
    <row r="43" customFormat="false" ht="30" hidden="false" customHeight="true" outlineLevel="0" collapsed="false">
      <c r="A43" s="12"/>
      <c r="B43" s="12" t="s">
        <v>287</v>
      </c>
      <c r="C43" s="12" t="s">
        <v>704</v>
      </c>
      <c r="D43" s="12" t="s">
        <v>705</v>
      </c>
      <c r="E43" s="12" t="s">
        <v>706</v>
      </c>
      <c r="F43" s="12" t="s">
        <v>707</v>
      </c>
      <c r="G43" s="12" t="s">
        <v>708</v>
      </c>
      <c r="H43" s="12" t="s">
        <v>709</v>
      </c>
      <c r="I43" s="12" t="s">
        <v>710</v>
      </c>
      <c r="J43" s="12" t="s">
        <v>711</v>
      </c>
      <c r="K43" s="12" t="s">
        <v>712</v>
      </c>
      <c r="L43" s="12" t="s">
        <v>713</v>
      </c>
      <c r="M43" s="12" t="s">
        <v>714</v>
      </c>
      <c r="N43" s="12" t="s">
        <v>432</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432</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715</v>
      </c>
    </row>
    <row r="2" customFormat="false" ht="15" hidden="false" customHeight="false" outlineLevel="0" collapsed="false">
      <c r="A2" s="2" t="s">
        <v>716</v>
      </c>
    </row>
    <row r="4" customFormat="false" ht="45" hidden="false" customHeight="true" outlineLevel="0" collapsed="false">
      <c r="A4" s="12" t="s">
        <v>22</v>
      </c>
      <c r="B4" s="12" t="s">
        <v>287</v>
      </c>
      <c r="C4" s="12" t="s">
        <v>288</v>
      </c>
      <c r="D4" s="12" t="s">
        <v>717</v>
      </c>
      <c r="E4" s="12" t="s">
        <v>718</v>
      </c>
      <c r="F4" s="12" t="s">
        <v>719</v>
      </c>
      <c r="G4" s="12" t="s">
        <v>720</v>
      </c>
      <c r="H4" s="12" t="s">
        <v>721</v>
      </c>
      <c r="I4" s="12" t="s">
        <v>722</v>
      </c>
      <c r="J4" s="12" t="s">
        <v>723</v>
      </c>
      <c r="K4" s="12" t="s">
        <v>724</v>
      </c>
      <c r="L4" s="12" t="s">
        <v>725</v>
      </c>
      <c r="M4" s="12" t="s">
        <v>726</v>
      </c>
      <c r="N4" s="12" t="s">
        <v>727</v>
      </c>
      <c r="O4" s="12" t="s">
        <v>728</v>
      </c>
      <c r="P4" s="12" t="s">
        <v>729</v>
      </c>
      <c r="Q4" s="12" t="s">
        <v>730</v>
      </c>
      <c r="R4" s="12" t="s">
        <v>731</v>
      </c>
      <c r="S4" s="12" t="s">
        <v>732</v>
      </c>
      <c r="T4" s="12" t="s">
        <v>733</v>
      </c>
      <c r="U4" s="12" t="s">
        <v>734</v>
      </c>
      <c r="V4" s="12" t="s">
        <v>735</v>
      </c>
      <c r="W4" s="12" t="s">
        <v>736</v>
      </c>
      <c r="X4" s="12" t="s">
        <v>737</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432</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738</v>
      </c>
    </row>
    <row r="39" customFormat="false" ht="45" hidden="false" customHeight="true" outlineLevel="0" collapsed="false">
      <c r="A39" s="12"/>
      <c r="B39" s="12" t="s">
        <v>288</v>
      </c>
      <c r="C39" s="12" t="s">
        <v>739</v>
      </c>
      <c r="D39" s="12" t="s">
        <v>740</v>
      </c>
      <c r="E39" s="12" t="s">
        <v>741</v>
      </c>
      <c r="F39" s="12" t="s">
        <v>742</v>
      </c>
      <c r="G39" s="12" t="s">
        <v>743</v>
      </c>
      <c r="H39" s="12" t="s">
        <v>744</v>
      </c>
      <c r="I39" s="12" t="s">
        <v>745</v>
      </c>
      <c r="J39" s="12" t="s">
        <v>746</v>
      </c>
      <c r="K39" s="12" t="s">
        <v>747</v>
      </c>
      <c r="L39" s="12" t="s">
        <v>748</v>
      </c>
      <c r="M39" s="12" t="s">
        <v>749</v>
      </c>
      <c r="N39" s="12" t="s">
        <v>750</v>
      </c>
      <c r="O39" s="12" t="s">
        <v>49</v>
      </c>
      <c r="P39" s="12" t="s">
        <v>751</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432</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752</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2026-10-08T18:41:19Z</dcterms:created>
  <dc:creator>openpyxl</dc:creator>
  <dc:description/>
  <dc:language>en-US</dc:language>
  <cp:lastModifiedBy/>
  <dcterms:modified xsi:type="dcterms:W3CDTF">2026-10-08T18:41:19Z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