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<sst xmlns="http://schemas.openxmlformats.org/spreadsheetml/2006/main" count="1382" uniqueCount="748">
  <si>
    <t xml:space="preserve">Operation Uptime — model summary (hypothetical Tesla Giga Berlin maintenance hiring)</t>
  </si>
  <si>
    <t xml:space="preserve">Everything on this tab is a live link.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</si>
  <si>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</si>
  <si>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</si>
  <si>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</si>
  <si>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</si>
  <si>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</si>
  <si>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Hires actually possible (≤ 55 assessments/week)</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</si>
  <si>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</si>
  <si>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</si>
  <si>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</si>
  <si>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</si>
  <si>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</si>
  <si>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</si>
  <si>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t>
  </si>
  <si>
    <t xml:space="preserve">Electricians (see Funnel row 35)</t>
  </si>
  <si>
    <t xml:space="preserve">Most sensitive assumption</t>
  </si>
  <si>
    <t xml:space="preserve">Hires with 30% less budget</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</si>
  <si>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</si>
  <si>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</si>
  <si>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</si>
  <si>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</si>
  <si>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</si>
  <si>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</si>
  <si>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</si>
  <si>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</si>
  <si>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</si>
  <si>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</si>
  <si>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</si>
  <si>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</si>
  <si>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</si>
  <si>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</si>
  <si>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</si>
  <si>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</si>
  <si>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</si>
  <si>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</si>
  <si>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</si>
  <si>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</si>
  <si>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</si>
  <si>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</si>
  <si>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</si>
  <si>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</si>
  <si>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</si>
  <si>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</si>
  <si>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</si>
  <si>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</si>
  <si>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</si>
  <si>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</si>
  <si>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</si>
  <si>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</si>
  <si>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</si>
  <si>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</si>
  <si>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</si>
  <si>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</si>
  <si>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</si>
  <si>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</si>
  <si>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</si>
  <si>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</si>
  <si>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</si>
  <si>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</si>
  <si>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</si>
  <si>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</si>
  <si>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</si>
  <si>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</si>
  <si>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</si>
  <si>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</si>
  <si>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</si>
  <si>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</si>
  <si>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</si>
  <si>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</si>
  <si>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</si>
  <si>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</si>
  <si>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</si>
  <si>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</si>
  <si>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</si>
  <si>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</si>
  <si>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</si>
  <si>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</si>
  <si>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</si>
  <si>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</si>
  <si>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</si>
  <si>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</si>
  <si>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</si>
  <si>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</si>
  <si>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</si>
  <si>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</si>
  <si>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</si>
  <si>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</si>
  <si>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</si>
  <si>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</si>
  <si>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</si>
  <si>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</si>
  <si>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</si>
  <si>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</si>
  <si>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</si>
  <si>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</si>
  <si>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</si>
  <si>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</si>
  <si>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</si>
  <si>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</si>
  <si>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</si>
  <si>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</si>
  <si>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</si>
  <si>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</si>
  <si>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</si>
  <si>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</si>
  <si>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</si>
  <si>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</si>
  <si>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</si>
  <si>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</si>
  <si>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</si>
  <si>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</si>
  <si>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</si>
  <si>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</si>
  <si>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</si>
  <si>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</si>
  <si>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</si>
  <si>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</si>
  <si>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</si>
  <si>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</si>
  <si>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</si>
  <si>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</si>
  <si>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</si>
  <si>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</si>
  <si>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</si>
  <si>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</si>
  <si>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</si>
  <si>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</si>
  <si>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</si>
  <si>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</si>
  <si>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</si>
  <si>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</si>
  <si>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</si>
  <si>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</si>
  <si>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</si>
  <si>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</si>
  <si>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</si>
  <si>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</si>
  <si>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</si>
  <si>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</si>
  <si>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</si>
  <si>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</si>
  <si>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</si>
  <si>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</si>
  <si>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</si>
  <si>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</si>
  <si>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</si>
  <si>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</si>
  <si>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</si>
  <si>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</si>
  <si>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</si>
  <si>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</si>
  <si>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</si>
  <si>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</si>
  <si>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</si>
  <si>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</si>
  <si>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</si>
  <si>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</si>
  <si>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</si>
  <si>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</si>
  <si>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</si>
  <si>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</si>
  <si>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</si>
  <si>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</si>
  <si>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</si>
  <si>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</si>
  <si>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</si>
  <si>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</si>
  <si>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</si>
  <si>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</si>
  <si>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</si>
  <si>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</si>
  <si>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</si>
  <si>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</si>
  <si>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</si>
  <si>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</si>
  <si>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</si>
  <si>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</si>
  <si>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</si>
  <si>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</si>
  <si>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</si>
  <si>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</si>
  <si>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</si>
  <si>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</si>
  <si>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</si>
  <si>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</si>
  <si>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</si>
  <si>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</si>
  <si>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</si>
  <si>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</si>
  <si>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</si>
  <si>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</si>
  <si>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</si>
  <si>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</si>
  <si>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</si>
  <si>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East-German trade wages are below West (WSI: Brandenburg €3,030 vs West €3,600)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</si>
  <si>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</si>
  <si>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</si>
  <si>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</si>
  <si>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</si>
  <si>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</si>
  <si>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</si>
  <si>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</si>
  <si>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</si>
  <si>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</si>
  <si>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</si>
  <si>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</si>
  <si>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</si>
  <si>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</si>
  <si>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</si>
  <si>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</si>
  <si>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</si>
  <si>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</si>
  <si>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</si>
  <si>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</si>
  <si>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</si>
  <si>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</si>
  <si>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</si>
  <si>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</si>
  <si>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</si>
  <si>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</si>
  <si>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</si>
  <si>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</si>
  <si>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</si>
  <si>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</si>
  <si>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</si>
  <si>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</si>
  <si>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</si>
  <si>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</si>
  <si>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</si>
  <si>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</si>
  <si>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</si>
  <si>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</si>
  <si>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</si>
  <si>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</si>
  <si>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</si>
  <si>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</si>
  <si>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</si>
  <si>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</si>
  <si>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</si>
  <si>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</si>
  <si>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</si>
  <si>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</si>
  <si>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</si>
  <si>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</si>
  <si>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</si>
  <si>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</si>
  <si>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</si>
  <si>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</si>
  <si>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</si>
  <si>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</si>
  <si>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</si>
  <si>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</si>
  <si>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</si>
  <si>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</si>
  <si>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</si>
  <si>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</si>
  <si>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</si>
  <si>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</si>
  <si>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</si>
  <si>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</si>
  <si>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</si>
  <si>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</si>
  <si>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</si>
  <si>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</si>
  <si>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</si>
  <si>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</si>
  <si>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</si>
  <si>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</si>
  <si>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</si>
  <si>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</si>
  <si>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</si>
  <si>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</si>
  <si>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</si>
  <si>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</si>
  <si>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</si>
  <si>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</si>
  <si>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</si>
  <si>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</si>
  <si>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</si>
  <si>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</si>
  <si>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</si>
  <si>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</si>
  <si>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</si>
  <si>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</si>
  <si>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</si>
  <si>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</si>
  <si>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</si>
  <si>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</si>
  <si>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</si>
  <si>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</si>
  <si>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</si>
  <si>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</si>
  <si>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</si>
  <si>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</si>
  <si>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</si>
  <si>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</si>
  <si>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</si>
  <si>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</si>
  <si>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</si>
  <si>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</si>
  <si>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</si>
  <si>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</si>
  <si>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Researched + Own estimate</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</si>
  <si>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</si>
  <si>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</si>
  <si>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</si>
  <si>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</si>
  <si>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</si>
  <si>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</si>
  <si>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</si>
  <si>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</si>
  <si>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</si>
  <si>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</si>
  <si>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</si>
  <si>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</si>
  <si>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</si>
  <si>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</si>
  <si>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</si>
  <si>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</si>
  <si>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</si>
  <si>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</si>
  <si>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</si>
  <si>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</si>
  <si>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</si>
  <si>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</si>
  <si>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</si>
  <si>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</si>
  <si>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</si>
  <si>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</si>
  <si>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</si>
  <si>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</si>
  <si>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</si>
  <si>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</si>
  <si>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</si>
  <si>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</si>
  <si>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</si>
  <si>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</si>
  <si>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</si>
  <si>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</si>
  <si>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</si>
  <si>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</si>
  <si>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</si>
  <si>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</si>
  <si>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</si>
  <si>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</si>
  <si>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</si>
  <si>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</si>
  <si>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</si>
  <si>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</si>
  <si>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</si>
  <si>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</si>
  <si>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</si>
  <si>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</si>
  <si>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</si>
  <si>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</si>
  <si>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</si>
  <si>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</si>
  <si>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</si>
  <si>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</si>
  <si>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</si>
  <si>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</si>
  <si>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</si>
  <si>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</si>
  <si>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</si>
  <si>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</si>
  <si>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</si>
  <si>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</si>
  <si>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</si>
  <si>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</si>
  <si>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</si>
  <si>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</si>
  <si>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</si>
  <si>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</si>
  <si>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</si>
  <si>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</si>
  <si>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</si>
  <si>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</si>
  <si>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</si>
  <si>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</si>
  <si>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</si>
  <si>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</si>
  <si>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</si>
  <si>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</si>
  <si>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</si>
  <si>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</si>
  <si>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</si>
  <si>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</si>
  <si>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</si>
  <si>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</si>
  <si>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</si>
  <si>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</si>
  <si>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</si>
  <si>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</si>
  <si>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</si>
  <si>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</si>
  <si>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</si>
  <si>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</si>
  <si>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</si>
  <si>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</si>
  <si>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</si>
  <si>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</si>
  <si>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</si>
  <si>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</si>
  <si>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</si>
  <si>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</si>
  <si>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</si>
  <si>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</si>
  <si>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</si>
  <si>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</si>
  <si>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</si>
  <si>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</si>
  <si>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</si>
  <si>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</si>
  <si>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</si>
  <si>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</si>
  <si>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</si>
  <si>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</si>
  <si>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</si>
  <si>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</si>
  <si>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</si>
  <si>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</si>
  <si>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</si>
  <si>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</si>
  <si>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</si>
  <si>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</si>
  <si>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</si>
  <si>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</si>
  <si>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</si>
  <si>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</si>
  <si>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</si>
  <si>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</si>
  <si>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</si>
  <si>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</si>
  <si>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</si>
  <si>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</si>
  <si>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</si>
  <si>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</si>
  <si>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</si>
  <si>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</si>
  <si>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</si>
  <si>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</si>
  <si>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</si>
  <si>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</si>
  <si>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</si>
  <si>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</si>
  <si>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</si>
  <si>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t>
  </si>
  <si>
    <t xml:space="preserve">Highest cost per hire we must buy (beyond tests)</t>
  </si>
  <si>
    <t xml:space="preserve">Polish route allowed?</t>
  </si>
  <si>
    <t xml:space="preserve">Foreign-trained route by 31 Dec?</t>
  </si>
  <si>
    <t xml:space="preserve">Coverage without the unproven I2 initiative</t>
  </si>
  <si>
    <t xml:space="preserve">No</t>
  </si>
  <si>
    <t xml:space="preserve">No – recognition takes 2–4 months</t>
  </si>
  <si>
    <t xml:space="preserve">Yes (≤40%)</t>
  </si>
  <si>
    <t xml:space="preserve">Yes (no recognition gate in brief)</t>
  </si>
  <si>
    <t xml:space="preserve">Verdict: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</si>
  <si>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</si>
  <si>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</si>
  <si>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</si>
  <si>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</si>
  <si>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</si>
  <si>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</si>
  <si>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</si>
  <si>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</si>
  <si>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</si>
  <si>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</si>
  <si>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</si>
  <si>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</si>
  <si>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</si>
  <si>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</si>
  <si>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</si>
  <si>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</si>
  <si>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</si>
  <si>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</si>
  <si>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</si>
  <si>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</si>
  <si>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</si>
  <si>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</si>
  <si>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</si>
  <si>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</si>
  <si>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</si>
  <si>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</si>
  <si>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</si>
  <si>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</si>
  <si>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</si>
  <si>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</si>
  <si>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</si>
  <si>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</si>
  <si>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</si>
  <si>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</si>
  <si>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</si>
  <si>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</si>
  <si>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</si>
  <si>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</si>
  <si>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</si>
  <si>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</si>
  <si>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</si>
  <si>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</si>
  <si>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</si>
  <si>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</si>
  <si>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</si>
  <si>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</si>
  <si>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</si>
  <si>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</si>
  <si>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</si>
  <si>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</si>
  <si>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</si>
  <si>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</si>
  <si>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</si>
  <si>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</si>
  <si>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</si>
  <si>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</si>
  <si>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</si>
  <si>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</si>
  <si>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</si>
  <si>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</si>
  <si>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</si>
  <si>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</si>
  <si>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</si>
  <si>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</si>
  <si>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</si>
  <si>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</si>
  <si>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</si>
  <si>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</si>
  <si>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</si>
  <si>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</si>
  <si>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</si>
  <si>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</si>
  <si>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</si>
  <si>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</si>
  <si>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</si>
  <si>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</si>
  <si>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</si>
  <si>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</si>
  <si>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</si>
  <si>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</si>
  <si>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</si>
  <si>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</si>
  <si>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</si>
  <si>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</si>
  <si>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</si>
  <si>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</si>
  <si>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</si>
  <si>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</si>
  <si>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</si>
  <si>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</si>
  <si>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</si>
  <si>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</si>
  <si>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1–2)</t>
  </si>
  <si>
    <t xml:space="preserve">n/a (≈€8)</t>
  </si>
  <si>
    <t xml:space="preserve">–</t>
  </si>
  <si>
    <t xml:space="preserve">Also ≥ a third of the qualified are electricians. Referral bonus stays live after a kill: it is paid only on a signed hire (from week 4). A kill mainly signals stale ATS data.</t>
  </si>
  <si>
    <t xml:space="preserve">I2 Handwerk → Industrie</t>
  </si>
  <si>
    <t xml:space="preserve">Fri 23 Oct – Fri 6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</si>
  <si>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</si>
  <si>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</si>
  <si>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</si>
  <si>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</si>
  <si>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</si>
  <si>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</si>
  <si>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</si>
  <si>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</si>
  <si>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</si>
  <si>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</si>
  <si>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</si>
  <si>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</si>
  <si>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</si>
  <si>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</si>
  <si>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</si>
  <si>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</si>
  <si>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</si>
  <si>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</si>
  <si>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</si>
  <si>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</si>
  <si>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</si>
  <si>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</si>
  <si>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</si>
  <si>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</si>
  <si>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</si>
  <si>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</si>
  <si>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</si>
  <si>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</si>
  <si>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</si>
  <si>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</si>
  <si>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</si>
  <si>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</si>
  <si>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</si>
  <si>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</si>
  <si>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</si>
  <si>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</si>
  <si>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</si>
  <si>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</si>
  <si>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</si>
  <si>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</si>
  <si>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</si>
  <si>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</si>
  <si>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</si>
  <si>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</si>
  <si>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</si>
  <si>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</si>
  <si>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</si>
  <si>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</si>
  <si>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</si>
  <si>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</si>
  <si>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</si>
  <si>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</si>
  <si>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</si>
  <si>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</si>
  <si>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</si>
  <si>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</si>
  <si>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</si>
  <si>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</si>
  <si>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</si>
  <si>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</si>
  <si>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</si>
  <si>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</si>
  <si>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</si>
  <si>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</si>
  <si>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</si>
  <si>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</si>
  <si>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</si>
  <si>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</si>
  <si>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</si>
  <si>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</si>
  <si>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</si>
  <si>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</si>
  <si>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</si>
  <si>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</si>
  <si>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</si>
  <si>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Detail on Scenarios tab.</t>
  </si>
  <si>
    <t xml:space="preserve">Budget level</t>
  </si>
  <si>
    <t xml:space="preserve">Total budget €</t>
  </si>
  <si>
    <t xml:space="preserve">Total hires</t>
  </si>
  <si>
    <t xml:space="preserve">Above the recommended budget, extra money buys almost nothing before 31 Dec: hires are capped by 55 assessments/week (Funnel B26), not by media.</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</si>
  <si>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</si>
  <si>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</si>
  <si>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</si>
  <si>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</si>
  <si>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</si>
  <si>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</si>
  <si>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</si>
  <si>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</si>
  <si>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</si>
  <si>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</si>
  <si>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</si>
  <si>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</si>
  <si>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</si>
  <si>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</si>
  <si>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</si>
  <si>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Hires by role</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</si>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</sst>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
        <v>7</v>
      </c>
      <c r="C9" s="5" t="n">
        <f aca="false">MIN(Budget!C13,Funnel!B26)</f>
        <v>100</v>
      </c>
    </row>
    <row r="10" customFormat="false" ht="15" hidden="false" customHeight="false" outlineLevel="0" collapsed="false">
      <c r="B10" s="2" t="s">
        <v>8</v>
      </c>
      <c r="C10" s="4" t="n">
        <f aca="false">Budget!C14</f>
        <v>387.334681977991</v>
      </c>
    </row>
    <row r="11" customFormat="false" ht="15" hidden="false" customHeight="false" outlineLevel="0" collapsed="false">
      <c r="B11" s="2" t="s">
        <v>9</v>
      </c>
      <c r="C11" s="3" t="n">
        <f aca="false">Funnel!B23</f>
        <v>290.6797502142</v>
      </c>
    </row>
    <row r="12" customFormat="false" ht="15" hidden="false" customHeight="false" outlineLevel="0" collapsed="false">
      <c r="B12" s="2" t="s">
        <v>10</v>
      </c>
      <c r="C12" s="3" t="n">
        <f aca="false">Funnel!B22</f>
        <v>322.142857142857</v>
      </c>
    </row>
    <row r="13" customFormat="false" ht="15" hidden="false" customHeight="false" outlineLevel="0" collapsed="false">
      <c r="B13" s="2" t="s">
        <v>11</v>
      </c>
      <c r="C13" s="6" t="n">
        <f aca="false">Funnel!B24</f>
        <v>0.90233181884674</v>
      </c>
    </row>
    <row r="14" customFormat="false" ht="15" hidden="false" customHeight="false" outlineLevel="0" collapsed="false">
      <c r="B14" s="2" t="s">
        <v>12</v>
      </c>
      <c r="C14" s="7" t="n">
        <f aca="false">Funnel!B19</f>
        <v>46353</v>
      </c>
    </row>
    <row r="15" customFormat="false" ht="15" hidden="false" customHeight="false" outlineLevel="0" collapsed="false">
      <c r="B15" s="2" t="s">
        <v>13</v>
      </c>
      <c r="C15" s="7" t="n">
        <f aca="false">Funnel!B20</f>
        <v>46346</v>
      </c>
    </row>
    <row r="16" customFormat="false" ht="15" hidden="false" customHeight="false" outlineLevel="0" collapsed="false">
      <c r="B16" s="2" t="s">
        <v>14</v>
      </c>
      <c r="C16" s="8" t="s">
        <v>15</v>
      </c>
    </row>
    <row r="17" customFormat="false" ht="15" hidden="false" customHeight="false" outlineLevel="0" collapsed="false">
      <c r="B17" s="2" t="s">
        <v>16</v>
      </c>
      <c r="C17" s="8" t="str">
        <f aca="false">Funnel!D49</f>
        <v>Qualified → signed (assessment pass rate) ×0.7</v>
      </c>
    </row>
    <row r="18" customFormat="false" ht="15" hidden="false" customHeight="false" outlineLevel="0" collapsed="false">
      <c r="B18" s="2" t="s">
        <v>17</v>
      </c>
      <c r="C18" s="5" t="n">
        <f aca="false">Budget!H47</f>
        <v>90.6720880966647</v>
      </c>
    </row>
    <row r="20" customFormat="false" ht="15" hidden="false" customHeight="true" outlineLevel="0" collapsed="false">
      <c r="B20" s="9" t="s">
        <v>18</v>
      </c>
      <c r="C20" s="9"/>
      <c r="D20" s="9"/>
      <c r="E20" s="9"/>
      <c r="F20" s="9"/>
      <c r="G20" s="9"/>
    </row>
    <row r="21" customFormat="false" ht="15" hidden="false" customHeight="false" outlineLevel="0" collapsed="false">
      <c r="B21" s="9"/>
      <c r="C21" s="9"/>
      <c r="D21" s="9"/>
      <c r="E21" s="9"/>
      <c r="F21" s="9"/>
      <c r="G21" s="9"/>
    </row>
  </sheetData>
  <mergeCells count="1">
    <mergeCell ref="B20: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19</v>
      </c>
    </row>
    <row r="2" customFormat="false" ht="15" hidden="false" customHeight="false" outlineLevel="0" collapsed="false">
      <c r="A2" s="2" t="s">
        <v>20</v>
      </c>
    </row>
    <row r="5" customFormat="false" ht="15" hidden="false" customHeight="false" outlineLevel="0" collapsed="false">
      <c r="A5" s="10" t="s">
        <v>21</v>
      </c>
      <c r="B5" s="11"/>
      <c r="C5" s="11"/>
      <c r="D5" s="11"/>
      <c r="E5" s="11"/>
      <c r="F5" s="11"/>
      <c r="G5" s="11"/>
    </row>
    <row r="6" customFormat="false" ht="15" hidden="false" customHeight="false" outlineLevel="0" collapsed="false">
      <c r="A6" s="12" t="s">
        <v>22</v>
      </c>
      <c r="B6" s="12" t="s">
        <v>23</v>
      </c>
      <c r="C6" s="12" t="s">
        <v>24</v>
      </c>
      <c r="D6" s="12" t="s">
        <v>25</v>
      </c>
      <c r="E6" s="12" t="s">
        <v>26</v>
      </c>
      <c r="F6" s="12" t="s">
        <v>27</v>
      </c>
      <c r="G6" s="12" t="s">
        <v>28</v>
      </c>
    </row>
    <row r="7" customFormat="false" ht="15" hidden="false" customHeight="false" outlineLevel="0" collapsed="false">
      <c r="A7" s="2" t="s">
        <v>29</v>
      </c>
      <c r="B7" s="13" t="s">
        <v>30</v>
      </c>
      <c r="C7" s="2" t="s">
        <v>31</v>
      </c>
      <c r="D7" s="14" t="n">
        <v>46315</v>
      </c>
      <c r="E7" s="2" t="s">
        <v>32</v>
      </c>
      <c r="F7" s="2" t="s">
        <v>33</v>
      </c>
      <c r="G7" s="13" t="s">
        <v>34</v>
      </c>
    </row>
    <row r="8" customFormat="false" ht="15" hidden="false" customHeight="false" outlineLevel="0" collapsed="false">
      <c r="A8" s="2" t="s">
        <v>35</v>
      </c>
      <c r="B8" s="13" t="s">
        <v>36</v>
      </c>
      <c r="C8" s="2" t="s">
        <v>31</v>
      </c>
      <c r="D8" s="14" t="n">
        <v>46387</v>
      </c>
      <c r="E8" s="2" t="s">
        <v>32</v>
      </c>
      <c r="F8" s="2" t="s">
        <v>33</v>
      </c>
      <c r="G8" s="13" t="s">
        <v>37</v>
      </c>
    </row>
    <row r="9" customFormat="false" ht="26.85" hidden="false" customHeight="false" outlineLevel="0" collapsed="false">
      <c r="A9" s="2" t="s">
        <v>38</v>
      </c>
      <c r="B9" s="13" t="s">
        <v>39</v>
      </c>
      <c r="C9" s="2" t="s">
        <v>40</v>
      </c>
      <c r="D9" s="15" t="n">
        <v>55</v>
      </c>
      <c r="E9" s="2" t="s">
        <v>41</v>
      </c>
      <c r="F9" s="2" t="s">
        <v>33</v>
      </c>
      <c r="G9" s="13" t="s">
        <v>42</v>
      </c>
    </row>
    <row r="10" customFormat="false" ht="26.85" hidden="false" customHeight="false" outlineLevel="0" collapsed="false">
      <c r="A10" s="2" t="s">
        <v>43</v>
      </c>
      <c r="B10" s="13" t="s">
        <v>44</v>
      </c>
      <c r="C10" s="2" t="s">
        <v>45</v>
      </c>
      <c r="D10" s="16" t="n">
        <v>0.4</v>
      </c>
      <c r="E10" s="2" t="s">
        <v>46</v>
      </c>
      <c r="F10" s="2" t="s">
        <v>33</v>
      </c>
      <c r="G10" s="13" t="s">
        <v>47</v>
      </c>
    </row>
    <row r="11" customFormat="false" ht="15" hidden="false" customHeight="false" outlineLevel="0" collapsed="false">
      <c r="A11" s="2" t="s">
        <v>48</v>
      </c>
      <c r="B11" s="13" t="s">
        <v>49</v>
      </c>
      <c r="C11" s="2" t="s">
        <v>50</v>
      </c>
      <c r="D11" s="15" t="n">
        <v>30</v>
      </c>
      <c r="E11" s="2" t="s">
        <v>51</v>
      </c>
      <c r="F11" s="2" t="s">
        <v>33</v>
      </c>
      <c r="G11" s="13" t="s">
        <v>52</v>
      </c>
    </row>
    <row r="12" customFormat="false" ht="15" hidden="false" customHeight="false" outlineLevel="0" collapsed="false">
      <c r="A12" s="2" t="s">
        <v>53</v>
      </c>
      <c r="B12" s="13" t="s">
        <v>49</v>
      </c>
      <c r="C12" s="2" t="s">
        <v>45</v>
      </c>
      <c r="D12" s="15" t="n">
        <v>45</v>
      </c>
      <c r="E12" s="2" t="s">
        <v>51</v>
      </c>
      <c r="F12" s="2" t="s">
        <v>33</v>
      </c>
      <c r="G12" s="13" t="s">
        <v>52</v>
      </c>
    </row>
    <row r="13" customFormat="false" ht="15" hidden="false" customHeight="false" outlineLevel="0" collapsed="false">
      <c r="A13" s="2" t="s">
        <v>54</v>
      </c>
      <c r="B13" s="13" t="s">
        <v>49</v>
      </c>
      <c r="C13" s="2" t="s">
        <v>55</v>
      </c>
      <c r="D13" s="15" t="n">
        <v>15</v>
      </c>
      <c r="E13" s="2" t="s">
        <v>51</v>
      </c>
      <c r="F13" s="2" t="s">
        <v>33</v>
      </c>
      <c r="G13" s="13" t="s">
        <v>52</v>
      </c>
    </row>
    <row r="14" customFormat="false" ht="15" hidden="false" customHeight="false" outlineLevel="0" collapsed="false">
      <c r="A14" s="2" t="s">
        <v>56</v>
      </c>
      <c r="B14" s="13" t="s">
        <v>49</v>
      </c>
      <c r="C14" s="2" t="s">
        <v>57</v>
      </c>
      <c r="D14" s="15" t="n">
        <v>10</v>
      </c>
      <c r="E14" s="2" t="s">
        <v>51</v>
      </c>
      <c r="F14" s="2" t="s">
        <v>33</v>
      </c>
      <c r="G14" s="13" t="s">
        <v>52</v>
      </c>
    </row>
    <row r="15" customFormat="false" ht="39.55" hidden="false" customHeight="false" outlineLevel="0" collapsed="false">
      <c r="A15" s="2" t="s">
        <v>58</v>
      </c>
      <c r="B15" s="13" t="s">
        <v>59</v>
      </c>
      <c r="C15" s="2" t="s">
        <v>50</v>
      </c>
      <c r="D15" s="15" t="n">
        <v>2</v>
      </c>
      <c r="E15" s="2" t="s">
        <v>60</v>
      </c>
      <c r="F15" s="2" t="s">
        <v>33</v>
      </c>
      <c r="G15" s="13" t="s">
        <v>61</v>
      </c>
    </row>
    <row r="17" customFormat="false" ht="15" hidden="false" customHeight="false" outlineLevel="0" collapsed="false">
      <c r="A17" s="10" t="s">
        <v>62</v>
      </c>
      <c r="B17" s="11"/>
      <c r="C17" s="11"/>
      <c r="D17" s="11"/>
      <c r="E17" s="11"/>
      <c r="F17" s="11"/>
      <c r="G17" s="11"/>
    </row>
    <row r="18" customFormat="false" ht="15" hidden="false" customHeight="false" outlineLevel="0" collapsed="false">
      <c r="A18" s="12" t="s">
        <v>22</v>
      </c>
      <c r="B18" s="12" t="s">
        <v>23</v>
      </c>
      <c r="C18" s="12" t="s">
        <v>24</v>
      </c>
      <c r="D18" s="12" t="s">
        <v>25</v>
      </c>
      <c r="E18" s="12" t="s">
        <v>26</v>
      </c>
      <c r="F18" s="12" t="s">
        <v>27</v>
      </c>
      <c r="G18" s="12" t="s">
        <v>28</v>
      </c>
    </row>
    <row r="19" customFormat="false" ht="26.85" hidden="false" customHeight="false" outlineLevel="0" collapsed="false">
      <c r="A19" s="2" t="s">
        <v>63</v>
      </c>
      <c r="B19" s="13" t="s">
        <v>64</v>
      </c>
      <c r="C19" s="2" t="s">
        <v>31</v>
      </c>
      <c r="D19" s="15" t="n">
        <v>2</v>
      </c>
      <c r="E19" s="2" t="s">
        <v>65</v>
      </c>
      <c r="F19" s="2" t="s">
        <v>66</v>
      </c>
      <c r="G19" s="13" t="s">
        <v>67</v>
      </c>
    </row>
    <row r="20" customFormat="false" ht="26.85" hidden="false" customHeight="false" outlineLevel="0" collapsed="false">
      <c r="A20" s="2" t="s">
        <v>68</v>
      </c>
      <c r="B20" s="13" t="s">
        <v>69</v>
      </c>
      <c r="C20" s="2" t="s">
        <v>31</v>
      </c>
      <c r="D20" s="14" t="n">
        <v>46374</v>
      </c>
      <c r="E20" s="2" t="s">
        <v>32</v>
      </c>
      <c r="F20" s="2" t="s">
        <v>66</v>
      </c>
      <c r="G20" s="13" t="s">
        <v>70</v>
      </c>
    </row>
    <row r="21" customFormat="false" ht="26.85" hidden="false" customHeight="false" outlineLevel="0" collapsed="false">
      <c r="A21" s="2" t="s">
        <v>71</v>
      </c>
      <c r="B21" s="13" t="s">
        <v>72</v>
      </c>
      <c r="C21" s="2" t="s">
        <v>31</v>
      </c>
      <c r="D21" s="15" t="n">
        <v>4</v>
      </c>
      <c r="E21" s="2" t="s">
        <v>65</v>
      </c>
      <c r="F21" s="2" t="s">
        <v>66</v>
      </c>
      <c r="G21" s="13" t="s">
        <v>73</v>
      </c>
    </row>
    <row r="22" customFormat="false" ht="26.85" hidden="false" customHeight="false" outlineLevel="0" collapsed="false">
      <c r="A22" s="2" t="s">
        <v>74</v>
      </c>
      <c r="B22" s="13" t="s">
        <v>75</v>
      </c>
      <c r="C22" s="2" t="s">
        <v>31</v>
      </c>
      <c r="D22" s="15" t="n">
        <v>7</v>
      </c>
      <c r="E22" s="2" t="s">
        <v>65</v>
      </c>
      <c r="F22" s="2" t="s">
        <v>66</v>
      </c>
      <c r="G22" s="13" t="s">
        <v>76</v>
      </c>
    </row>
    <row r="23" customFormat="false" ht="15" hidden="false" customHeight="false" outlineLevel="0" collapsed="false">
      <c r="A23" s="2" t="s">
        <v>77</v>
      </c>
      <c r="B23" s="13" t="s">
        <v>78</v>
      </c>
      <c r="C23" s="2" t="s">
        <v>31</v>
      </c>
      <c r="D23" s="15" t="n">
        <v>3</v>
      </c>
      <c r="E23" s="2" t="s">
        <v>65</v>
      </c>
      <c r="F23" s="2" t="s">
        <v>66</v>
      </c>
      <c r="G23" s="13" t="s">
        <v>79</v>
      </c>
    </row>
    <row r="24" customFormat="false" ht="26.85" hidden="false" customHeight="false" outlineLevel="0" collapsed="false">
      <c r="A24" s="2" t="s">
        <v>80</v>
      </c>
      <c r="B24" s="13" t="s">
        <v>81</v>
      </c>
      <c r="C24" s="2" t="s">
        <v>31</v>
      </c>
      <c r="D24" s="15" t="n">
        <v>7</v>
      </c>
      <c r="E24" s="2" t="s">
        <v>65</v>
      </c>
      <c r="F24" s="2" t="s">
        <v>66</v>
      </c>
      <c r="G24" s="13" t="s">
        <v>82</v>
      </c>
    </row>
    <row r="25" customFormat="false" ht="26.85" hidden="false" customHeight="false" outlineLevel="0" collapsed="false">
      <c r="A25" s="2" t="s">
        <v>83</v>
      </c>
      <c r="B25" s="13" t="s">
        <v>84</v>
      </c>
      <c r="C25" s="2" t="s">
        <v>57</v>
      </c>
      <c r="D25" s="15" t="n">
        <v>7</v>
      </c>
      <c r="E25" s="2" t="s">
        <v>65</v>
      </c>
      <c r="F25" s="2" t="s">
        <v>66</v>
      </c>
      <c r="G25" s="13" t="s">
        <v>85</v>
      </c>
    </row>
    <row r="27" customFormat="false" ht="15" hidden="false" customHeight="false" outlineLevel="0" collapsed="false">
      <c r="A27" s="10" t="s">
        <v>86</v>
      </c>
      <c r="B27" s="11"/>
      <c r="C27" s="11"/>
      <c r="D27" s="11"/>
      <c r="E27" s="11"/>
      <c r="F27" s="11"/>
      <c r="G27" s="11"/>
    </row>
    <row r="28" customFormat="false" ht="15" hidden="false" customHeight="false" outlineLevel="0" collapsed="false">
      <c r="A28" s="12" t="s">
        <v>22</v>
      </c>
      <c r="B28" s="12" t="s">
        <v>23</v>
      </c>
      <c r="C28" s="12" t="s">
        <v>24</v>
      </c>
      <c r="D28" s="12" t="s">
        <v>25</v>
      </c>
      <c r="E28" s="12" t="s">
        <v>26</v>
      </c>
      <c r="F28" s="12" t="s">
        <v>27</v>
      </c>
      <c r="G28" s="12" t="s">
        <v>28</v>
      </c>
    </row>
    <row r="29" customFormat="false" ht="39.55" hidden="false" customHeight="false" outlineLevel="0" collapsed="false">
      <c r="A29" s="2" t="s">
        <v>87</v>
      </c>
      <c r="B29" s="13" t="s">
        <v>88</v>
      </c>
      <c r="C29" s="2" t="s">
        <v>50</v>
      </c>
      <c r="D29" s="16" t="n">
        <v>0.15</v>
      </c>
      <c r="E29" s="2" t="s">
        <v>46</v>
      </c>
      <c r="F29" s="2" t="s">
        <v>66</v>
      </c>
      <c r="G29" s="13" t="s">
        <v>89</v>
      </c>
    </row>
    <row r="30" customFormat="false" ht="26.85" hidden="false" customHeight="false" outlineLevel="0" collapsed="false">
      <c r="A30" s="2" t="s">
        <v>90</v>
      </c>
      <c r="B30" s="13" t="s">
        <v>88</v>
      </c>
      <c r="C30" s="2" t="s">
        <v>45</v>
      </c>
      <c r="D30" s="16" t="n">
        <v>0.22</v>
      </c>
      <c r="E30" s="2" t="s">
        <v>46</v>
      </c>
      <c r="F30" s="2" t="s">
        <v>66</v>
      </c>
      <c r="G30" s="13" t="s">
        <v>91</v>
      </c>
    </row>
    <row r="31" customFormat="false" ht="26.85" hidden="false" customHeight="false" outlineLevel="0" collapsed="false">
      <c r="A31" s="2" t="s">
        <v>92</v>
      </c>
      <c r="B31" s="13" t="s">
        <v>88</v>
      </c>
      <c r="C31" s="2" t="s">
        <v>55</v>
      </c>
      <c r="D31" s="16" t="n">
        <v>0.12</v>
      </c>
      <c r="E31" s="2" t="s">
        <v>46</v>
      </c>
      <c r="F31" s="2" t="s">
        <v>66</v>
      </c>
      <c r="G31" s="13" t="s">
        <v>93</v>
      </c>
    </row>
    <row r="32" customFormat="false" ht="15" hidden="false" customHeight="false" outlineLevel="0" collapsed="false">
      <c r="A32" s="2" t="s">
        <v>94</v>
      </c>
      <c r="B32" s="13" t="s">
        <v>88</v>
      </c>
      <c r="C32" s="2" t="s">
        <v>57</v>
      </c>
      <c r="D32" s="16" t="n">
        <v>0.1</v>
      </c>
      <c r="E32" s="2" t="s">
        <v>46</v>
      </c>
      <c r="F32" s="2" t="s">
        <v>66</v>
      </c>
      <c r="G32" s="13" t="s">
        <v>95</v>
      </c>
    </row>
    <row r="33" customFormat="false" ht="26.85" hidden="false" customHeight="false" outlineLevel="0" collapsed="false">
      <c r="A33" s="2" t="s">
        <v>96</v>
      </c>
      <c r="B33" s="13" t="s">
        <v>97</v>
      </c>
      <c r="C33" s="2" t="s">
        <v>50</v>
      </c>
      <c r="D33" s="16" t="n">
        <v>0.55</v>
      </c>
      <c r="E33" s="2" t="s">
        <v>46</v>
      </c>
      <c r="F33" s="2" t="s">
        <v>66</v>
      </c>
      <c r="G33" s="13" t="s">
        <v>98</v>
      </c>
    </row>
    <row r="34" customFormat="false" ht="15" hidden="false" customHeight="false" outlineLevel="0" collapsed="false">
      <c r="A34" s="2" t="s">
        <v>99</v>
      </c>
      <c r="B34" s="13" t="s">
        <v>97</v>
      </c>
      <c r="C34" s="2" t="s">
        <v>45</v>
      </c>
      <c r="D34" s="16" t="n">
        <v>0.6</v>
      </c>
      <c r="E34" s="2" t="s">
        <v>46</v>
      </c>
      <c r="F34" s="2" t="s">
        <v>66</v>
      </c>
      <c r="G34" s="13" t="s">
        <v>100</v>
      </c>
    </row>
    <row r="35" customFormat="false" ht="15" hidden="false" customHeight="false" outlineLevel="0" collapsed="false">
      <c r="A35" s="2" t="s">
        <v>101</v>
      </c>
      <c r="B35" s="13" t="s">
        <v>97</v>
      </c>
      <c r="C35" s="2" t="s">
        <v>55</v>
      </c>
      <c r="D35" s="16" t="n">
        <v>0.5</v>
      </c>
      <c r="E35" s="2" t="s">
        <v>46</v>
      </c>
      <c r="F35" s="2" t="s">
        <v>66</v>
      </c>
      <c r="G35" s="13" t="s">
        <v>102</v>
      </c>
    </row>
    <row r="36" customFormat="false" ht="15" hidden="false" customHeight="false" outlineLevel="0" collapsed="false">
      <c r="A36" s="2" t="s">
        <v>103</v>
      </c>
      <c r="B36" s="13" t="s">
        <v>97</v>
      </c>
      <c r="C36" s="2" t="s">
        <v>57</v>
      </c>
      <c r="D36" s="16" t="n">
        <v>0.45</v>
      </c>
      <c r="E36" s="2" t="s">
        <v>46</v>
      </c>
      <c r="F36" s="2" t="s">
        <v>66</v>
      </c>
      <c r="G36" s="13" t="s">
        <v>104</v>
      </c>
    </row>
    <row r="37" customFormat="false" ht="26.85" hidden="false" customHeight="false" outlineLevel="0" collapsed="false">
      <c r="A37" s="2" t="s">
        <v>105</v>
      </c>
      <c r="B37" s="13" t="s">
        <v>106</v>
      </c>
      <c r="C37" s="2" t="s">
        <v>50</v>
      </c>
      <c r="D37" s="16" t="n">
        <v>0.9</v>
      </c>
      <c r="E37" s="2" t="s">
        <v>46</v>
      </c>
      <c r="F37" s="2" t="s">
        <v>66</v>
      </c>
      <c r="G37" s="13" t="s">
        <v>107</v>
      </c>
    </row>
    <row r="38" customFormat="false" ht="26.85" hidden="false" customHeight="false" outlineLevel="0" collapsed="false">
      <c r="A38" s="2" t="s">
        <v>108</v>
      </c>
      <c r="B38" s="13" t="s">
        <v>106</v>
      </c>
      <c r="C38" s="2" t="s">
        <v>45</v>
      </c>
      <c r="D38" s="16" t="n">
        <v>0.9</v>
      </c>
      <c r="E38" s="2" t="s">
        <v>46</v>
      </c>
      <c r="F38" s="2" t="s">
        <v>66</v>
      </c>
      <c r="G38" s="13" t="s">
        <v>107</v>
      </c>
    </row>
    <row r="39" customFormat="false" ht="26.85" hidden="false" customHeight="false" outlineLevel="0" collapsed="false">
      <c r="A39" s="2" t="s">
        <v>109</v>
      </c>
      <c r="B39" s="13" t="s">
        <v>106</v>
      </c>
      <c r="C39" s="2" t="s">
        <v>55</v>
      </c>
      <c r="D39" s="16" t="n">
        <v>0.9</v>
      </c>
      <c r="E39" s="2" t="s">
        <v>46</v>
      </c>
      <c r="F39" s="2" t="s">
        <v>66</v>
      </c>
      <c r="G39" s="13" t="s">
        <v>107</v>
      </c>
    </row>
    <row r="40" customFormat="false" ht="26.85" hidden="false" customHeight="false" outlineLevel="0" collapsed="false">
      <c r="A40" s="2" t="s">
        <v>110</v>
      </c>
      <c r="B40" s="13" t="s">
        <v>106</v>
      </c>
      <c r="C40" s="2" t="s">
        <v>57</v>
      </c>
      <c r="D40" s="16" t="n">
        <v>0.85</v>
      </c>
      <c r="E40" s="2" t="s">
        <v>46</v>
      </c>
      <c r="F40" s="2" t="s">
        <v>66</v>
      </c>
      <c r="G40" s="13" t="s">
        <v>107</v>
      </c>
    </row>
    <row r="41" customFormat="false" ht="64.9" hidden="false" customHeight="false" outlineLevel="0" collapsed="false">
      <c r="A41" s="2" t="s">
        <v>111</v>
      </c>
      <c r="B41" s="13" t="s">
        <v>112</v>
      </c>
      <c r="C41" s="2" t="s">
        <v>50</v>
      </c>
      <c r="D41" s="16" t="n">
        <v>0.65</v>
      </c>
      <c r="E41" s="2" t="s">
        <v>46</v>
      </c>
      <c r="F41" s="2" t="s">
        <v>66</v>
      </c>
      <c r="G41" s="13" t="s">
        <v>113</v>
      </c>
    </row>
    <row r="42" customFormat="false" ht="15" hidden="false" customHeight="false" outlineLevel="0" collapsed="false">
      <c r="A42" s="2" t="s">
        <v>114</v>
      </c>
      <c r="B42" s="13" t="s">
        <v>112</v>
      </c>
      <c r="C42" s="2" t="s">
        <v>45</v>
      </c>
      <c r="D42" s="16" t="n">
        <v>0.75</v>
      </c>
      <c r="E42" s="2" t="s">
        <v>46</v>
      </c>
      <c r="F42" s="2" t="s">
        <v>66</v>
      </c>
      <c r="G42" s="13" t="s">
        <v>115</v>
      </c>
    </row>
    <row r="43" customFormat="false" ht="15" hidden="false" customHeight="false" outlineLevel="0" collapsed="false">
      <c r="A43" s="2" t="s">
        <v>116</v>
      </c>
      <c r="B43" s="13" t="s">
        <v>112</v>
      </c>
      <c r="C43" s="2" t="s">
        <v>55</v>
      </c>
      <c r="D43" s="16" t="n">
        <v>0.65</v>
      </c>
      <c r="E43" s="2" t="s">
        <v>46</v>
      </c>
      <c r="F43" s="2" t="s">
        <v>66</v>
      </c>
      <c r="G43" s="13" t="s">
        <v>117</v>
      </c>
    </row>
    <row r="44" customFormat="false" ht="15" hidden="false" customHeight="false" outlineLevel="0" collapsed="false">
      <c r="A44" s="2" t="s">
        <v>118</v>
      </c>
      <c r="B44" s="13" t="s">
        <v>112</v>
      </c>
      <c r="C44" s="2" t="s">
        <v>57</v>
      </c>
      <c r="D44" s="16" t="n">
        <v>0.7</v>
      </c>
      <c r="E44" s="2" t="s">
        <v>46</v>
      </c>
      <c r="F44" s="2" t="s">
        <v>66</v>
      </c>
      <c r="G44" s="13" t="s">
        <v>119</v>
      </c>
    </row>
    <row r="46" customFormat="false" ht="15" hidden="false" customHeight="false" outlineLevel="0" collapsed="false">
      <c r="A46" s="10" t="s">
        <v>120</v>
      </c>
      <c r="B46" s="11"/>
      <c r="C46" s="11"/>
      <c r="D46" s="11"/>
      <c r="E46" s="11"/>
      <c r="F46" s="11"/>
      <c r="G46" s="11"/>
    </row>
    <row r="47" customFormat="false" ht="15" hidden="false" customHeight="false" outlineLevel="0" collapsed="false">
      <c r="A47" s="12" t="s">
        <v>22</v>
      </c>
      <c r="B47" s="12" t="s">
        <v>23</v>
      </c>
      <c r="C47" s="12" t="s">
        <v>24</v>
      </c>
      <c r="D47" s="12" t="s">
        <v>25</v>
      </c>
      <c r="E47" s="12" t="s">
        <v>26</v>
      </c>
      <c r="F47" s="12" t="s">
        <v>27</v>
      </c>
      <c r="G47" s="12" t="s">
        <v>28</v>
      </c>
    </row>
    <row r="48" customFormat="false" ht="39.55" hidden="false" customHeight="false" outlineLevel="0" collapsed="false">
      <c r="A48" s="2" t="s">
        <v>121</v>
      </c>
      <c r="B48" s="13" t="s">
        <v>122</v>
      </c>
      <c r="C48" s="2" t="s">
        <v>31</v>
      </c>
      <c r="D48" s="16" t="n">
        <v>0.15</v>
      </c>
      <c r="E48" s="2" t="s">
        <v>46</v>
      </c>
      <c r="F48" s="2" t="s">
        <v>66</v>
      </c>
      <c r="G48" s="13" t="s">
        <v>123</v>
      </c>
    </row>
    <row r="49" customFormat="false" ht="52.2" hidden="false" customHeight="false" outlineLevel="0" collapsed="false">
      <c r="A49" s="2" t="s">
        <v>124</v>
      </c>
      <c r="B49" s="13" t="s">
        <v>125</v>
      </c>
      <c r="C49" s="2" t="s">
        <v>126</v>
      </c>
      <c r="D49" s="17" t="n">
        <v>750</v>
      </c>
      <c r="E49" s="2" t="s">
        <v>127</v>
      </c>
      <c r="F49" s="2" t="s">
        <v>66</v>
      </c>
      <c r="G49" s="13" t="s">
        <v>128</v>
      </c>
    </row>
    <row r="50" customFormat="false" ht="26.85" hidden="false" customHeight="false" outlineLevel="0" collapsed="false">
      <c r="A50" s="2" t="s">
        <v>129</v>
      </c>
      <c r="B50" s="13" t="s">
        <v>130</v>
      </c>
      <c r="C50" s="2" t="s">
        <v>126</v>
      </c>
      <c r="D50" s="16" t="n">
        <v>0.4</v>
      </c>
      <c r="E50" s="2" t="s">
        <v>46</v>
      </c>
      <c r="F50" s="2" t="s">
        <v>66</v>
      </c>
      <c r="G50" s="13" t="s">
        <v>131</v>
      </c>
    </row>
    <row r="51" customFormat="false" ht="15" hidden="false" customHeight="false" outlineLevel="0" collapsed="false">
      <c r="A51" s="2" t="s">
        <v>132</v>
      </c>
      <c r="B51" s="13" t="s">
        <v>133</v>
      </c>
      <c r="C51" s="2" t="s">
        <v>31</v>
      </c>
      <c r="D51" s="17" t="n">
        <v>2500</v>
      </c>
      <c r="E51" s="2" t="s">
        <v>127</v>
      </c>
      <c r="F51" s="2" t="s">
        <v>66</v>
      </c>
      <c r="G51" s="13" t="s">
        <v>134</v>
      </c>
    </row>
    <row r="52" customFormat="false" ht="15" hidden="false" customHeight="false" outlineLevel="0" collapsed="false">
      <c r="A52" s="2" t="s">
        <v>135</v>
      </c>
      <c r="B52" s="13" t="s">
        <v>136</v>
      </c>
      <c r="C52" s="2" t="s">
        <v>31</v>
      </c>
      <c r="D52" s="16" t="n">
        <v>0.15</v>
      </c>
      <c r="E52" s="2" t="s">
        <v>46</v>
      </c>
      <c r="F52" s="2" t="s">
        <v>66</v>
      </c>
      <c r="G52" s="13" t="s">
        <v>137</v>
      </c>
    </row>
    <row r="53" customFormat="false" ht="15" hidden="false" customHeight="false" outlineLevel="0" collapsed="false">
      <c r="A53" s="2" t="s">
        <v>138</v>
      </c>
      <c r="B53" s="13" t="s">
        <v>139</v>
      </c>
      <c r="C53" s="2" t="s">
        <v>31</v>
      </c>
      <c r="D53" s="16" t="n">
        <v>0.5</v>
      </c>
      <c r="E53" s="2" t="s">
        <v>46</v>
      </c>
      <c r="F53" s="2" t="s">
        <v>66</v>
      </c>
      <c r="G53" s="13" t="s">
        <v>140</v>
      </c>
    </row>
    <row r="54" customFormat="false" ht="15" hidden="false" customHeight="false" outlineLevel="0" collapsed="false">
      <c r="A54" s="2" t="s">
        <v>141</v>
      </c>
      <c r="B54" s="13" t="s">
        <v>142</v>
      </c>
      <c r="C54" s="2" t="s">
        <v>31</v>
      </c>
      <c r="D54" s="16" t="n">
        <v>0.3</v>
      </c>
      <c r="E54" s="2" t="s">
        <v>46</v>
      </c>
      <c r="F54" s="2" t="s">
        <v>33</v>
      </c>
      <c r="G54" s="13" t="s">
        <v>143</v>
      </c>
    </row>
    <row r="55" customFormat="false" ht="26.85" hidden="false" customHeight="false" outlineLevel="0" collapsed="false">
      <c r="A55" s="2" t="s">
        <v>144</v>
      </c>
      <c r="B55" s="13" t="s">
        <v>145</v>
      </c>
      <c r="C55" s="2" t="s">
        <v>146</v>
      </c>
      <c r="D55" s="16" t="n">
        <v>0.03</v>
      </c>
      <c r="E55" s="2" t="s">
        <v>46</v>
      </c>
      <c r="F55" s="2" t="s">
        <v>66</v>
      </c>
      <c r="G55" s="13" t="s">
        <v>147</v>
      </c>
    </row>
    <row r="56" customFormat="false" ht="15" hidden="false" customHeight="false" outlineLevel="0" collapsed="false">
      <c r="A56" s="2" t="s">
        <v>148</v>
      </c>
      <c r="B56" s="13" t="s">
        <v>149</v>
      </c>
      <c r="C56" s="2" t="s">
        <v>146</v>
      </c>
      <c r="D56" s="16" t="n">
        <v>0.05</v>
      </c>
      <c r="E56" s="2" t="s">
        <v>46</v>
      </c>
      <c r="F56" s="2" t="s">
        <v>66</v>
      </c>
      <c r="G56" s="13" t="s">
        <v>150</v>
      </c>
    </row>
    <row r="57" customFormat="false" ht="15" hidden="false" customHeight="false" outlineLevel="0" collapsed="false">
      <c r="A57" s="2" t="s">
        <v>151</v>
      </c>
      <c r="B57" s="13" t="s">
        <v>152</v>
      </c>
      <c r="C57" s="2" t="s">
        <v>146</v>
      </c>
      <c r="D57" s="16" t="n">
        <v>0.2</v>
      </c>
      <c r="E57" s="2" t="s">
        <v>46</v>
      </c>
      <c r="F57" s="2" t="s">
        <v>66</v>
      </c>
      <c r="G57" s="13" t="s">
        <v>153</v>
      </c>
    </row>
    <row r="58" customFormat="false" ht="15" hidden="false" customHeight="false" outlineLevel="0" collapsed="false">
      <c r="A58" s="2" t="s">
        <v>154</v>
      </c>
      <c r="B58" s="13" t="s">
        <v>155</v>
      </c>
      <c r="C58" s="2" t="s">
        <v>146</v>
      </c>
      <c r="D58" s="16" t="n">
        <v>0.24</v>
      </c>
      <c r="E58" s="2" t="s">
        <v>46</v>
      </c>
      <c r="F58" s="2" t="s">
        <v>66</v>
      </c>
      <c r="G58" s="13" t="s">
        <v>156</v>
      </c>
    </row>
    <row r="59" customFormat="false" ht="15" hidden="false" customHeight="false" outlineLevel="0" collapsed="false">
      <c r="A59" s="2" t="s">
        <v>157</v>
      </c>
      <c r="B59" s="13" t="s">
        <v>158</v>
      </c>
      <c r="C59" s="2" t="s">
        <v>146</v>
      </c>
      <c r="D59" s="16" t="n">
        <v>0.24</v>
      </c>
      <c r="E59" s="2" t="s">
        <v>46</v>
      </c>
      <c r="F59" s="2" t="s">
        <v>66</v>
      </c>
      <c r="G59" s="13" t="s">
        <v>156</v>
      </c>
    </row>
    <row r="60" customFormat="false" ht="26.85" hidden="false" customHeight="false" outlineLevel="0" collapsed="false">
      <c r="A60" s="2" t="s">
        <v>159</v>
      </c>
      <c r="B60" s="13" t="s">
        <v>160</v>
      </c>
      <c r="C60" s="2" t="s">
        <v>146</v>
      </c>
      <c r="D60" s="16" t="n">
        <v>0.24</v>
      </c>
      <c r="E60" s="2" t="s">
        <v>46</v>
      </c>
      <c r="F60" s="2" t="s">
        <v>66</v>
      </c>
      <c r="G60" s="13" t="s">
        <v>161</v>
      </c>
    </row>
    <row r="61" customFormat="false" ht="15" hidden="false" customHeight="false" outlineLevel="0" collapsed="false">
      <c r="A61" s="2" t="s">
        <v>162</v>
      </c>
      <c r="B61" s="13" t="s">
        <v>163</v>
      </c>
      <c r="C61" s="2" t="s">
        <v>146</v>
      </c>
      <c r="D61" s="16" t="n">
        <v>0</v>
      </c>
      <c r="E61" s="2" t="s">
        <v>46</v>
      </c>
      <c r="F61" s="2" t="s">
        <v>66</v>
      </c>
      <c r="G61" s="13" t="s">
        <v>164</v>
      </c>
    </row>
    <row r="62" customFormat="false" ht="15" hidden="false" customHeight="false" outlineLevel="0" collapsed="false">
      <c r="A62" s="2" t="s">
        <v>165</v>
      </c>
      <c r="B62" s="13" t="s">
        <v>166</v>
      </c>
      <c r="C62" s="2" t="s">
        <v>146</v>
      </c>
      <c r="D62" s="16" t="n">
        <v>0</v>
      </c>
      <c r="E62" s="2" t="s">
        <v>46</v>
      </c>
      <c r="F62" s="2" t="s">
        <v>66</v>
      </c>
      <c r="G62" s="13" t="s">
        <v>156</v>
      </c>
    </row>
    <row r="63" customFormat="false" ht="15" hidden="false" customHeight="false" outlineLevel="0" collapsed="false">
      <c r="A63" s="2" t="s">
        <v>167</v>
      </c>
      <c r="B63" s="13" t="s">
        <v>168</v>
      </c>
      <c r="C63" s="2" t="s">
        <v>146</v>
      </c>
      <c r="D63" s="16" t="n">
        <v>0</v>
      </c>
      <c r="E63" s="2" t="s">
        <v>46</v>
      </c>
      <c r="F63" s="2" t="s">
        <v>66</v>
      </c>
      <c r="G63" s="13" t="s">
        <v>156</v>
      </c>
    </row>
    <row r="64" customFormat="false" ht="15" hidden="false" customHeight="false" outlineLevel="0" collapsed="false">
      <c r="A64" s="2" t="s">
        <v>169</v>
      </c>
      <c r="B64" s="13" t="s">
        <v>170</v>
      </c>
      <c r="C64" s="2" t="s">
        <v>146</v>
      </c>
      <c r="D64" s="16" t="n">
        <v>0</v>
      </c>
      <c r="E64" s="2" t="s">
        <v>46</v>
      </c>
      <c r="F64" s="2" t="s">
        <v>66</v>
      </c>
      <c r="G64" s="13" t="s">
        <v>156</v>
      </c>
    </row>
    <row r="65" customFormat="false" ht="15" hidden="false" customHeight="false" outlineLevel="0" collapsed="false">
      <c r="A65" s="2" t="s">
        <v>171</v>
      </c>
      <c r="B65" s="13" t="s">
        <v>172</v>
      </c>
      <c r="C65" s="2" t="s">
        <v>146</v>
      </c>
      <c r="D65" s="16" t="n">
        <v>0</v>
      </c>
      <c r="E65" s="2" t="s">
        <v>46</v>
      </c>
      <c r="F65" s="2" t="s">
        <v>66</v>
      </c>
      <c r="G65" s="13" t="s">
        <v>156</v>
      </c>
    </row>
    <row r="66" customFormat="false" ht="15" hidden="false" customHeight="false" outlineLevel="0" collapsed="false">
      <c r="A66" s="2" t="s">
        <v>173</v>
      </c>
      <c r="B66" s="13" t="s">
        <v>174</v>
      </c>
      <c r="C66" s="2" t="s">
        <v>31</v>
      </c>
      <c r="D66" s="16" t="n">
        <v>0.3</v>
      </c>
      <c r="E66" s="2" t="s">
        <v>46</v>
      </c>
      <c r="F66" s="2" t="s">
        <v>33</v>
      </c>
      <c r="G66" s="13" t="s">
        <v>175</v>
      </c>
    </row>
    <row r="68" customFormat="false" ht="15" hidden="false" customHeight="false" outlineLevel="0" collapsed="false">
      <c r="A68" s="10" t="s">
        <v>176</v>
      </c>
      <c r="B68" s="11"/>
      <c r="C68" s="11"/>
      <c r="D68" s="11"/>
      <c r="E68" s="11"/>
      <c r="F68" s="11"/>
      <c r="G68" s="11"/>
    </row>
    <row r="69" customFormat="false" ht="15" hidden="false" customHeight="false" outlineLevel="0" collapsed="false">
      <c r="A69" s="12" t="s">
        <v>22</v>
      </c>
      <c r="B69" s="12" t="s">
        <v>23</v>
      </c>
      <c r="C69" s="12" t="s">
        <v>24</v>
      </c>
      <c r="D69" s="12" t="s">
        <v>25</v>
      </c>
      <c r="E69" s="12" t="s">
        <v>26</v>
      </c>
      <c r="F69" s="12" t="s">
        <v>27</v>
      </c>
      <c r="G69" s="12" t="s">
        <v>28</v>
      </c>
    </row>
    <row r="70" customFormat="false" ht="52.2" hidden="false" customHeight="false" outlineLevel="0" collapsed="false">
      <c r="A70" s="2" t="s">
        <v>177</v>
      </c>
      <c r="B70" s="13" t="s">
        <v>178</v>
      </c>
      <c r="C70" s="2" t="s">
        <v>50</v>
      </c>
      <c r="D70" s="15" t="n">
        <v>7000</v>
      </c>
      <c r="E70" s="2" t="s">
        <v>179</v>
      </c>
      <c r="F70" s="2" t="s">
        <v>66</v>
      </c>
      <c r="G70" s="13" t="s">
        <v>180</v>
      </c>
    </row>
    <row r="71" customFormat="false" ht="64.9" hidden="false" customHeight="false" outlineLevel="0" collapsed="false">
      <c r="A71" s="2" t="s">
        <v>181</v>
      </c>
      <c r="B71" s="13" t="s">
        <v>178</v>
      </c>
      <c r="C71" s="2" t="s">
        <v>45</v>
      </c>
      <c r="D71" s="15" t="n">
        <v>27000</v>
      </c>
      <c r="E71" s="2" t="s">
        <v>179</v>
      </c>
      <c r="F71" s="2" t="s">
        <v>66</v>
      </c>
      <c r="G71" s="13" t="s">
        <v>182</v>
      </c>
    </row>
    <row r="72" customFormat="false" ht="26.85" hidden="false" customHeight="false" outlineLevel="0" collapsed="false">
      <c r="A72" s="2" t="s">
        <v>183</v>
      </c>
      <c r="B72" s="13" t="s">
        <v>178</v>
      </c>
      <c r="C72" s="2" t="s">
        <v>55</v>
      </c>
      <c r="D72" s="15" t="n">
        <v>2500</v>
      </c>
      <c r="E72" s="2" t="s">
        <v>179</v>
      </c>
      <c r="F72" s="2" t="s">
        <v>66</v>
      </c>
      <c r="G72" s="13" t="s">
        <v>184</v>
      </c>
    </row>
    <row r="73" customFormat="false" ht="26.85" hidden="false" customHeight="false" outlineLevel="0" collapsed="false">
      <c r="A73" s="2" t="s">
        <v>185</v>
      </c>
      <c r="B73" s="13" t="s">
        <v>178</v>
      </c>
      <c r="C73" s="2" t="s">
        <v>57</v>
      </c>
      <c r="D73" s="15" t="n">
        <v>2000</v>
      </c>
      <c r="E73" s="2" t="s">
        <v>179</v>
      </c>
      <c r="F73" s="2" t="s">
        <v>66</v>
      </c>
      <c r="G73" s="13" t="s">
        <v>186</v>
      </c>
    </row>
    <row r="74" customFormat="false" ht="26.85" hidden="false" customHeight="false" outlineLevel="0" collapsed="false">
      <c r="A74" s="2" t="s">
        <v>187</v>
      </c>
      <c r="B74" s="13" t="s">
        <v>188</v>
      </c>
      <c r="C74" s="2" t="s">
        <v>50</v>
      </c>
      <c r="D74" s="16" t="n">
        <v>0.06</v>
      </c>
      <c r="E74" s="2" t="s">
        <v>46</v>
      </c>
      <c r="F74" s="2" t="s">
        <v>66</v>
      </c>
      <c r="G74" s="13" t="s">
        <v>189</v>
      </c>
    </row>
    <row r="75" customFormat="false" ht="26.85" hidden="false" customHeight="false" outlineLevel="0" collapsed="false">
      <c r="A75" s="2" t="s">
        <v>190</v>
      </c>
      <c r="B75" s="13" t="s">
        <v>188</v>
      </c>
      <c r="C75" s="2" t="s">
        <v>45</v>
      </c>
      <c r="D75" s="16" t="n">
        <v>0.06</v>
      </c>
      <c r="E75" s="2" t="s">
        <v>46</v>
      </c>
      <c r="F75" s="2" t="s">
        <v>66</v>
      </c>
      <c r="G75" s="13" t="s">
        <v>189</v>
      </c>
    </row>
    <row r="76" customFormat="false" ht="26.85" hidden="false" customHeight="false" outlineLevel="0" collapsed="false">
      <c r="A76" s="2" t="s">
        <v>191</v>
      </c>
      <c r="B76" s="13" t="s">
        <v>188</v>
      </c>
      <c r="C76" s="2" t="s">
        <v>55</v>
      </c>
      <c r="D76" s="16" t="n">
        <v>0.06</v>
      </c>
      <c r="E76" s="2" t="s">
        <v>46</v>
      </c>
      <c r="F76" s="2" t="s">
        <v>66</v>
      </c>
      <c r="G76" s="13" t="s">
        <v>189</v>
      </c>
    </row>
    <row r="77" customFormat="false" ht="26.85" hidden="false" customHeight="false" outlineLevel="0" collapsed="false">
      <c r="A77" s="2" t="s">
        <v>192</v>
      </c>
      <c r="B77" s="13" t="s">
        <v>188</v>
      </c>
      <c r="C77" s="2" t="s">
        <v>57</v>
      </c>
      <c r="D77" s="16" t="n">
        <v>0.06</v>
      </c>
      <c r="E77" s="2" t="s">
        <v>46</v>
      </c>
      <c r="F77" s="2" t="s">
        <v>66</v>
      </c>
      <c r="G77" s="13" t="s">
        <v>189</v>
      </c>
    </row>
    <row r="78" customFormat="false" ht="26.85" hidden="false" customHeight="false" outlineLevel="0" collapsed="false">
      <c r="A78" s="2" t="s">
        <v>193</v>
      </c>
      <c r="B78" s="13" t="s">
        <v>194</v>
      </c>
      <c r="C78" s="2" t="s">
        <v>50</v>
      </c>
      <c r="D78" s="15" t="n">
        <v>150</v>
      </c>
      <c r="E78" s="2" t="s">
        <v>179</v>
      </c>
      <c r="F78" s="2" t="s">
        <v>66</v>
      </c>
      <c r="G78" s="13" t="s">
        <v>195</v>
      </c>
    </row>
    <row r="79" customFormat="false" ht="26.85" hidden="false" customHeight="false" outlineLevel="0" collapsed="false">
      <c r="A79" s="2" t="s">
        <v>196</v>
      </c>
      <c r="B79" s="13" t="s">
        <v>194</v>
      </c>
      <c r="C79" s="2" t="s">
        <v>45</v>
      </c>
      <c r="D79" s="15" t="n">
        <v>300</v>
      </c>
      <c r="E79" s="2" t="s">
        <v>179</v>
      </c>
      <c r="F79" s="2" t="s">
        <v>66</v>
      </c>
      <c r="G79" s="13" t="s">
        <v>195</v>
      </c>
    </row>
    <row r="80" customFormat="false" ht="26.85" hidden="false" customHeight="false" outlineLevel="0" collapsed="false">
      <c r="A80" s="2" t="s">
        <v>197</v>
      </c>
      <c r="B80" s="13" t="s">
        <v>194</v>
      </c>
      <c r="C80" s="2" t="s">
        <v>55</v>
      </c>
      <c r="D80" s="15" t="n">
        <v>400</v>
      </c>
      <c r="E80" s="2" t="s">
        <v>179</v>
      </c>
      <c r="F80" s="2" t="s">
        <v>66</v>
      </c>
      <c r="G80" s="13" t="s">
        <v>195</v>
      </c>
    </row>
    <row r="81" customFormat="false" ht="26.85" hidden="false" customHeight="false" outlineLevel="0" collapsed="false">
      <c r="A81" s="2" t="s">
        <v>198</v>
      </c>
      <c r="B81" s="13" t="s">
        <v>194</v>
      </c>
      <c r="C81" s="2" t="s">
        <v>57</v>
      </c>
      <c r="D81" s="15" t="n">
        <v>100</v>
      </c>
      <c r="E81" s="2" t="s">
        <v>179</v>
      </c>
      <c r="F81" s="2" t="s">
        <v>66</v>
      </c>
      <c r="G81" s="13" t="s">
        <v>195</v>
      </c>
    </row>
    <row r="83" customFormat="false" ht="15" hidden="false" customHeight="false" outlineLevel="0" collapsed="false">
      <c r="A83" s="10" t="s">
        <v>199</v>
      </c>
      <c r="B83" s="11"/>
      <c r="C83" s="11"/>
      <c r="D83" s="11"/>
      <c r="E83" s="11"/>
      <c r="F83" s="11"/>
      <c r="G83" s="11"/>
    </row>
    <row r="84" customFormat="false" ht="15" hidden="false" customHeight="false" outlineLevel="0" collapsed="false">
      <c r="A84" s="12" t="s">
        <v>22</v>
      </c>
      <c r="B84" s="12" t="s">
        <v>23</v>
      </c>
      <c r="C84" s="12" t="s">
        <v>24</v>
      </c>
      <c r="D84" s="12" t="s">
        <v>25</v>
      </c>
      <c r="E84" s="12" t="s">
        <v>26</v>
      </c>
      <c r="F84" s="12" t="s">
        <v>27</v>
      </c>
      <c r="G84" s="12" t="s">
        <v>28</v>
      </c>
    </row>
    <row r="85" customFormat="false" ht="15" hidden="false" customHeight="false" outlineLevel="0" collapsed="false">
      <c r="A85" s="2" t="s">
        <v>200</v>
      </c>
      <c r="B85" s="13" t="s">
        <v>201</v>
      </c>
      <c r="C85" s="2" t="s">
        <v>202</v>
      </c>
      <c r="D85" s="17" t="n">
        <v>500</v>
      </c>
      <c r="E85" s="2" t="s">
        <v>127</v>
      </c>
      <c r="F85" s="2" t="s">
        <v>66</v>
      </c>
      <c r="G85" s="13" t="s">
        <v>203</v>
      </c>
    </row>
    <row r="86" customFormat="false" ht="15" hidden="false" customHeight="false" outlineLevel="0" collapsed="false">
      <c r="A86" s="2" t="s">
        <v>204</v>
      </c>
      <c r="B86" s="13" t="s">
        <v>205</v>
      </c>
      <c r="C86" s="2" t="s">
        <v>202</v>
      </c>
      <c r="D86" s="15" t="n">
        <v>30</v>
      </c>
      <c r="E86" s="2" t="s">
        <v>206</v>
      </c>
      <c r="F86" s="2" t="s">
        <v>66</v>
      </c>
      <c r="G86" s="13" t="s">
        <v>207</v>
      </c>
    </row>
    <row r="87" customFormat="false" ht="26.85" hidden="false" customHeight="false" outlineLevel="0" collapsed="false">
      <c r="A87" s="2" t="s">
        <v>208</v>
      </c>
      <c r="B87" s="13" t="s">
        <v>209</v>
      </c>
      <c r="C87" s="2" t="s">
        <v>202</v>
      </c>
      <c r="D87" s="18" t="n">
        <v>0.8</v>
      </c>
      <c r="E87" s="2" t="s">
        <v>210</v>
      </c>
      <c r="F87" s="2" t="s">
        <v>66</v>
      </c>
      <c r="G87" s="13" t="s">
        <v>211</v>
      </c>
    </row>
    <row r="88" customFormat="false" ht="26.85" hidden="false" customHeight="false" outlineLevel="0" collapsed="false">
      <c r="A88" s="2" t="s">
        <v>212</v>
      </c>
      <c r="B88" s="13" t="s">
        <v>213</v>
      </c>
      <c r="C88" s="2" t="s">
        <v>202</v>
      </c>
      <c r="D88" s="18" t="n">
        <v>1.5</v>
      </c>
      <c r="E88" s="2" t="s">
        <v>210</v>
      </c>
      <c r="F88" s="2" t="s">
        <v>66</v>
      </c>
      <c r="G88" s="13" t="s">
        <v>214</v>
      </c>
    </row>
    <row r="89" customFormat="false" ht="15" hidden="false" customHeight="false" outlineLevel="0" collapsed="false">
      <c r="A89" s="2" t="s">
        <v>215</v>
      </c>
      <c r="B89" s="13" t="s">
        <v>216</v>
      </c>
      <c r="C89" s="2" t="s">
        <v>202</v>
      </c>
      <c r="D89" s="18" t="n">
        <v>2</v>
      </c>
      <c r="E89" s="2" t="s">
        <v>210</v>
      </c>
      <c r="F89" s="2" t="s">
        <v>66</v>
      </c>
      <c r="G89" s="13" t="s">
        <v>217</v>
      </c>
    </row>
    <row r="90" customFormat="false" ht="39.55" hidden="false" customHeight="false" outlineLevel="0" collapsed="false">
      <c r="A90" s="2" t="s">
        <v>218</v>
      </c>
      <c r="B90" s="13" t="s">
        <v>219</v>
      </c>
      <c r="C90" s="2" t="s">
        <v>202</v>
      </c>
      <c r="D90" s="17" t="n">
        <v>750</v>
      </c>
      <c r="E90" s="2" t="s">
        <v>127</v>
      </c>
      <c r="F90" s="2" t="s">
        <v>66</v>
      </c>
      <c r="G90" s="13" t="s">
        <v>220</v>
      </c>
    </row>
    <row r="91" customFormat="false" ht="26.85" hidden="false" customHeight="false" outlineLevel="0" collapsed="false">
      <c r="A91" s="2" t="s">
        <v>221</v>
      </c>
      <c r="B91" s="13" t="s">
        <v>222</v>
      </c>
      <c r="C91" s="2" t="s">
        <v>202</v>
      </c>
      <c r="D91" s="15" t="n">
        <v>2</v>
      </c>
      <c r="E91" s="2" t="s">
        <v>223</v>
      </c>
      <c r="F91" s="2" t="s">
        <v>66</v>
      </c>
      <c r="G91" s="13" t="s">
        <v>224</v>
      </c>
    </row>
    <row r="92" customFormat="false" ht="26.85" hidden="false" customHeight="false" outlineLevel="0" collapsed="false">
      <c r="A92" s="2" t="s">
        <v>225</v>
      </c>
      <c r="B92" s="13" t="s">
        <v>226</v>
      </c>
      <c r="C92" s="2" t="s">
        <v>202</v>
      </c>
      <c r="D92" s="16" t="n">
        <v>0.5</v>
      </c>
      <c r="E92" s="2" t="s">
        <v>46</v>
      </c>
      <c r="F92" s="2" t="s">
        <v>66</v>
      </c>
      <c r="G92" s="13" t="s">
        <v>227</v>
      </c>
    </row>
    <row r="93" customFormat="false" ht="26.85" hidden="false" customHeight="false" outlineLevel="0" collapsed="false">
      <c r="A93" s="2" t="s">
        <v>228</v>
      </c>
      <c r="B93" s="13" t="s">
        <v>229</v>
      </c>
      <c r="C93" s="2" t="s">
        <v>230</v>
      </c>
      <c r="D93" s="16" t="n">
        <v>0.6</v>
      </c>
      <c r="E93" s="2" t="s">
        <v>46</v>
      </c>
      <c r="F93" s="2" t="s">
        <v>66</v>
      </c>
      <c r="G93" s="13" t="s">
        <v>231</v>
      </c>
    </row>
    <row r="94" customFormat="false" ht="26.85" hidden="false" customHeight="false" outlineLevel="0" collapsed="false">
      <c r="A94" s="2" t="s">
        <v>232</v>
      </c>
      <c r="B94" s="13" t="s">
        <v>233</v>
      </c>
      <c r="C94" s="2" t="s">
        <v>230</v>
      </c>
      <c r="D94" s="18" t="n">
        <v>1.25</v>
      </c>
      <c r="E94" s="2" t="s">
        <v>210</v>
      </c>
      <c r="F94" s="2" t="s">
        <v>66</v>
      </c>
      <c r="G94" s="13" t="s">
        <v>234</v>
      </c>
    </row>
    <row r="95" customFormat="false" ht="26.85" hidden="false" customHeight="false" outlineLevel="0" collapsed="false">
      <c r="A95" s="2" t="s">
        <v>235</v>
      </c>
      <c r="B95" s="13" t="s">
        <v>236</v>
      </c>
      <c r="C95" s="2" t="s">
        <v>230</v>
      </c>
      <c r="D95" s="16" t="n">
        <v>0.3</v>
      </c>
      <c r="E95" s="2" t="s">
        <v>46</v>
      </c>
      <c r="F95" s="2" t="s">
        <v>66</v>
      </c>
      <c r="G95" s="13" t="s">
        <v>237</v>
      </c>
    </row>
    <row r="96" customFormat="false" ht="26.85" hidden="false" customHeight="false" outlineLevel="0" collapsed="false">
      <c r="A96" s="2" t="s">
        <v>238</v>
      </c>
      <c r="B96" s="13" t="s">
        <v>239</v>
      </c>
      <c r="C96" s="2" t="s">
        <v>230</v>
      </c>
      <c r="D96" s="18" t="n">
        <v>1.5</v>
      </c>
      <c r="E96" s="2" t="s">
        <v>210</v>
      </c>
      <c r="F96" s="2" t="s">
        <v>66</v>
      </c>
      <c r="G96" s="13" t="s">
        <v>240</v>
      </c>
    </row>
    <row r="97" customFormat="false" ht="26.85" hidden="false" customHeight="false" outlineLevel="0" collapsed="false">
      <c r="A97" s="2" t="s">
        <v>241</v>
      </c>
      <c r="B97" s="13" t="s">
        <v>242</v>
      </c>
      <c r="C97" s="2" t="s">
        <v>243</v>
      </c>
      <c r="D97" s="16" t="n">
        <v>0.35</v>
      </c>
      <c r="E97" s="2" t="s">
        <v>46</v>
      </c>
      <c r="F97" s="2" t="s">
        <v>66</v>
      </c>
      <c r="G97" s="13" t="s">
        <v>244</v>
      </c>
    </row>
    <row r="98" customFormat="false" ht="15" hidden="false" customHeight="false" outlineLevel="0" collapsed="false">
      <c r="A98" s="2" t="s">
        <v>245</v>
      </c>
      <c r="B98" s="13" t="s">
        <v>246</v>
      </c>
      <c r="C98" s="2" t="s">
        <v>243</v>
      </c>
      <c r="D98" s="16" t="n">
        <v>0.4</v>
      </c>
      <c r="E98" s="2" t="s">
        <v>46</v>
      </c>
      <c r="F98" s="2" t="s">
        <v>66</v>
      </c>
      <c r="G98" s="13" t="s">
        <v>247</v>
      </c>
    </row>
    <row r="99" customFormat="false" ht="15" hidden="false" customHeight="false" outlineLevel="0" collapsed="false">
      <c r="A99" s="2" t="s">
        <v>248</v>
      </c>
      <c r="B99" s="13" t="s">
        <v>249</v>
      </c>
      <c r="C99" s="2" t="s">
        <v>243</v>
      </c>
      <c r="D99" s="16" t="n">
        <v>0.25</v>
      </c>
      <c r="E99" s="2" t="s">
        <v>46</v>
      </c>
      <c r="F99" s="2" t="s">
        <v>66</v>
      </c>
      <c r="G99" s="13" t="s">
        <v>250</v>
      </c>
    </row>
    <row r="100" customFormat="false" ht="15" hidden="false" customHeight="false" outlineLevel="0" collapsed="false">
      <c r="A100" s="2" t="s">
        <v>251</v>
      </c>
      <c r="B100" s="13" t="s">
        <v>252</v>
      </c>
      <c r="C100" s="2" t="s">
        <v>202</v>
      </c>
      <c r="D100" s="16" t="n">
        <v>0.25</v>
      </c>
      <c r="E100" s="2" t="s">
        <v>46</v>
      </c>
      <c r="F100" s="2" t="s">
        <v>66</v>
      </c>
      <c r="G100" s="13" t="s">
        <v>253</v>
      </c>
    </row>
    <row r="101" customFormat="false" ht="26.85" hidden="false" customHeight="false" outlineLevel="0" collapsed="false">
      <c r="A101" s="2" t="s">
        <v>254</v>
      </c>
      <c r="B101" s="13" t="s">
        <v>255</v>
      </c>
      <c r="C101" s="2" t="s">
        <v>256</v>
      </c>
      <c r="D101" s="15" t="n">
        <v>10</v>
      </c>
      <c r="E101" s="2" t="s">
        <v>257</v>
      </c>
      <c r="F101" s="2" t="s">
        <v>66</v>
      </c>
      <c r="G101" s="13" t="s">
        <v>258</v>
      </c>
    </row>
    <row r="102" customFormat="false" ht="26.85" hidden="false" customHeight="false" outlineLevel="0" collapsed="false">
      <c r="A102" s="2" t="s">
        <v>259</v>
      </c>
      <c r="B102" s="13" t="s">
        <v>260</v>
      </c>
      <c r="C102" s="2" t="s">
        <v>256</v>
      </c>
      <c r="D102" s="15" t="n">
        <v>5</v>
      </c>
      <c r="E102" s="2" t="s">
        <v>261</v>
      </c>
      <c r="F102" s="2" t="s">
        <v>66</v>
      </c>
      <c r="G102" s="13" t="s">
        <v>262</v>
      </c>
    </row>
    <row r="103" customFormat="false" ht="26.85" hidden="false" customHeight="false" outlineLevel="0" collapsed="false">
      <c r="A103" s="2" t="s">
        <v>263</v>
      </c>
      <c r="B103" s="13" t="s">
        <v>264</v>
      </c>
      <c r="C103" s="2" t="s">
        <v>265</v>
      </c>
      <c r="D103" s="16" t="n">
        <v>0.25</v>
      </c>
      <c r="E103" s="2" t="s">
        <v>46</v>
      </c>
      <c r="F103" s="2" t="s">
        <v>66</v>
      </c>
      <c r="G103" s="13" t="s">
        <v>266</v>
      </c>
    </row>
    <row r="104" customFormat="false" ht="15" hidden="false" customHeight="false" outlineLevel="0" collapsed="false">
      <c r="A104" s="2" t="s">
        <v>267</v>
      </c>
      <c r="B104" s="13" t="s">
        <v>268</v>
      </c>
      <c r="C104" s="2" t="s">
        <v>265</v>
      </c>
      <c r="D104" s="16" t="n">
        <v>0.12</v>
      </c>
      <c r="E104" s="2" t="s">
        <v>46</v>
      </c>
      <c r="F104" s="2" t="s">
        <v>66</v>
      </c>
      <c r="G104" s="13" t="s">
        <v>269</v>
      </c>
    </row>
    <row r="105" customFormat="false" ht="15" hidden="false" customHeight="false" outlineLevel="0" collapsed="false">
      <c r="A105" s="2" t="s">
        <v>270</v>
      </c>
      <c r="B105" s="13" t="s">
        <v>271</v>
      </c>
      <c r="C105" s="2" t="s">
        <v>272</v>
      </c>
      <c r="D105" s="16" t="n">
        <v>0.85</v>
      </c>
      <c r="E105" s="2" t="s">
        <v>46</v>
      </c>
      <c r="F105" s="2" t="s">
        <v>66</v>
      </c>
      <c r="G105" s="13" t="s">
        <v>273</v>
      </c>
    </row>
    <row r="106" customFormat="false" ht="26.85" hidden="false" customHeight="false" outlineLevel="0" collapsed="false">
      <c r="A106" s="2" t="s">
        <v>274</v>
      </c>
      <c r="B106" s="13" t="s">
        <v>275</v>
      </c>
      <c r="C106" s="2" t="s">
        <v>276</v>
      </c>
      <c r="D106" s="16" t="n">
        <v>0.9</v>
      </c>
      <c r="E106" s="2" t="s">
        <v>46</v>
      </c>
      <c r="F106" s="2" t="s">
        <v>66</v>
      </c>
      <c r="G106" s="13" t="s">
        <v>277</v>
      </c>
    </row>
    <row r="107" customFormat="false" ht="26.85" hidden="false" customHeight="false" outlineLevel="0" collapsed="false">
      <c r="A107" s="2" t="s">
        <v>278</v>
      </c>
      <c r="B107" s="13" t="s">
        <v>279</v>
      </c>
      <c r="C107" s="2" t="s">
        <v>202</v>
      </c>
      <c r="D107" s="15" t="n">
        <v>30</v>
      </c>
      <c r="E107" s="2" t="s">
        <v>206</v>
      </c>
      <c r="F107" s="2" t="s">
        <v>66</v>
      </c>
      <c r="G107" s="13" t="s">
        <v>280</v>
      </c>
    </row>
    <row r="109" customFormat="false" ht="15" hidden="false" customHeight="false" outlineLevel="0" collapsed="false">
      <c r="A109" s="10" t="s">
        <v>281</v>
      </c>
      <c r="B109" s="11"/>
      <c r="C109" s="11"/>
      <c r="D109" s="11"/>
      <c r="E109" s="11"/>
      <c r="F109" s="11"/>
      <c r="G109" s="11"/>
      <c r="H109" s="11"/>
      <c r="I109" s="11"/>
      <c r="J109" s="11"/>
      <c r="K109" s="11"/>
      <c r="L109" s="11"/>
    </row>
    <row r="110" customFormat="false" ht="45" hidden="false" customHeight="true" outlineLevel="0" collapsed="false">
      <c r="A110" s="12" t="s">
        <v>22</v>
      </c>
      <c r="B110" s="12" t="s">
        <v>282</v>
      </c>
      <c r="C110" s="12" t="s">
        <v>283</v>
      </c>
      <c r="D110" s="12" t="s">
        <v>284</v>
      </c>
      <c r="E110" s="12" t="s">
        <v>285</v>
      </c>
      <c r="F110" s="12" t="s">
        <v>286</v>
      </c>
      <c r="G110" s="12" t="s">
        <v>287</v>
      </c>
      <c r="H110" s="12" t="s">
        <v>288</v>
      </c>
      <c r="I110" s="12" t="s">
        <v>289</v>
      </c>
      <c r="J110" s="12" t="s">
        <v>290</v>
      </c>
      <c r="K110" s="12" t="s">
        <v>27</v>
      </c>
      <c r="L110" s="12" t="s">
        <v>28</v>
      </c>
    </row>
    <row r="111" customFormat="false" ht="26.85" hidden="false" customHeight="false" outlineLevel="0" collapsed="false">
      <c r="A111" s="2" t="s">
        <v>291</v>
      </c>
      <c r="B111" s="13" t="s">
        <v>292</v>
      </c>
      <c r="C111" s="2" t="s">
        <v>50</v>
      </c>
      <c r="D111" s="2" t="s">
        <v>293</v>
      </c>
      <c r="E111" s="19" t="n">
        <v>0</v>
      </c>
      <c r="F111" s="15"/>
      <c r="G111" s="16" t="n">
        <v>0.08</v>
      </c>
      <c r="H111" s="15" t="n">
        <v>150</v>
      </c>
      <c r="I111" s="20" t="n">
        <v>1</v>
      </c>
      <c r="J111" s="17" t="n">
        <v>0</v>
      </c>
      <c r="K111" s="2" t="s">
        <v>66</v>
      </c>
      <c r="L111" s="13" t="s">
        <v>294</v>
      </c>
    </row>
    <row r="112" customFormat="false" ht="26.85" hidden="false" customHeight="false" outlineLevel="0" collapsed="false">
      <c r="A112" s="2" t="s">
        <v>295</v>
      </c>
      <c r="B112" s="13" t="s">
        <v>292</v>
      </c>
      <c r="C112" s="2" t="s">
        <v>45</v>
      </c>
      <c r="D112" s="2" t="s">
        <v>293</v>
      </c>
      <c r="E112" s="19" t="n">
        <v>0</v>
      </c>
      <c r="F112" s="15"/>
      <c r="G112" s="16" t="n">
        <v>0.18</v>
      </c>
      <c r="H112" s="15" t="n">
        <v>200</v>
      </c>
      <c r="I112" s="20" t="n">
        <v>1</v>
      </c>
      <c r="J112" s="17" t="n">
        <v>0</v>
      </c>
      <c r="K112" s="2" t="s">
        <v>66</v>
      </c>
      <c r="L112" s="13" t="s">
        <v>296</v>
      </c>
    </row>
    <row r="113" customFormat="false" ht="26.85" hidden="false" customHeight="false" outlineLevel="0" collapsed="false">
      <c r="A113" s="2" t="s">
        <v>297</v>
      </c>
      <c r="B113" s="13" t="s">
        <v>292</v>
      </c>
      <c r="C113" s="2" t="s">
        <v>55</v>
      </c>
      <c r="D113" s="2" t="s">
        <v>293</v>
      </c>
      <c r="E113" s="19" t="n">
        <v>0</v>
      </c>
      <c r="F113" s="15"/>
      <c r="G113" s="16" t="n">
        <v>0.1</v>
      </c>
      <c r="H113" s="15" t="n">
        <v>80</v>
      </c>
      <c r="I113" s="20" t="n">
        <v>1</v>
      </c>
      <c r="J113" s="17" t="n">
        <v>0</v>
      </c>
      <c r="K113" s="2" t="s">
        <v>66</v>
      </c>
      <c r="L113" s="13" t="s">
        <v>298</v>
      </c>
    </row>
    <row r="114" customFormat="false" ht="26.85" hidden="false" customHeight="false" outlineLevel="0" collapsed="false">
      <c r="A114" s="2" t="s">
        <v>299</v>
      </c>
      <c r="B114" s="13" t="s">
        <v>292</v>
      </c>
      <c r="C114" s="2" t="s">
        <v>57</v>
      </c>
      <c r="D114" s="2" t="s">
        <v>293</v>
      </c>
      <c r="E114" s="19" t="n">
        <v>0</v>
      </c>
      <c r="F114" s="15"/>
      <c r="G114" s="16" t="n">
        <v>0.08</v>
      </c>
      <c r="H114" s="15" t="n">
        <v>60</v>
      </c>
      <c r="I114" s="20" t="n">
        <v>1</v>
      </c>
      <c r="J114" s="17" t="n">
        <v>0</v>
      </c>
      <c r="K114" s="2" t="s">
        <v>66</v>
      </c>
      <c r="L114" s="13" t="s">
        <v>298</v>
      </c>
    </row>
    <row r="115" customFormat="false" ht="52.2" hidden="false" customHeight="false" outlineLevel="0" collapsed="false">
      <c r="A115" s="2" t="s">
        <v>300</v>
      </c>
      <c r="B115" s="13" t="s">
        <v>301</v>
      </c>
      <c r="C115" s="2" t="s">
        <v>50</v>
      </c>
      <c r="D115" s="2" t="s">
        <v>302</v>
      </c>
      <c r="E115" s="19" t="n">
        <v>2</v>
      </c>
      <c r="F115" s="21" t="n">
        <v>0.035</v>
      </c>
      <c r="G115" s="16" t="n">
        <v>0.12</v>
      </c>
      <c r="H115" s="15" t="n">
        <v>450</v>
      </c>
      <c r="I115" s="20" t="n">
        <v>1</v>
      </c>
      <c r="J115" s="17" t="n">
        <v>0</v>
      </c>
      <c r="K115" s="2" t="s">
        <v>303</v>
      </c>
      <c r="L115" s="13" t="s">
        <v>304</v>
      </c>
    </row>
    <row r="116" customFormat="false" ht="39.55" hidden="false" customHeight="false" outlineLevel="0" collapsed="false">
      <c r="A116" s="2" t="s">
        <v>305</v>
      </c>
      <c r="B116" s="13" t="s">
        <v>301</v>
      </c>
      <c r="C116" s="2" t="s">
        <v>45</v>
      </c>
      <c r="D116" s="2" t="s">
        <v>302</v>
      </c>
      <c r="E116" s="19" t="n">
        <v>1.2</v>
      </c>
      <c r="F116" s="21" t="n">
        <v>0.05</v>
      </c>
      <c r="G116" s="16" t="n">
        <v>0.22</v>
      </c>
      <c r="H116" s="15" t="n">
        <v>600</v>
      </c>
      <c r="I116" s="20" t="n">
        <v>1</v>
      </c>
      <c r="J116" s="17" t="n">
        <v>0</v>
      </c>
      <c r="K116" s="2" t="s">
        <v>303</v>
      </c>
      <c r="L116" s="13" t="s">
        <v>306</v>
      </c>
    </row>
    <row r="117" customFormat="false" ht="39.55" hidden="false" customHeight="false" outlineLevel="0" collapsed="false">
      <c r="A117" s="2" t="s">
        <v>307</v>
      </c>
      <c r="B117" s="13" t="s">
        <v>301</v>
      </c>
      <c r="C117" s="2" t="s">
        <v>55</v>
      </c>
      <c r="D117" s="2" t="s">
        <v>302</v>
      </c>
      <c r="E117" s="19" t="n">
        <v>1.8</v>
      </c>
      <c r="F117" s="21" t="n">
        <v>0.04</v>
      </c>
      <c r="G117" s="16" t="n">
        <v>0.12</v>
      </c>
      <c r="H117" s="15" t="n">
        <v>250</v>
      </c>
      <c r="I117" s="20" t="n">
        <v>1</v>
      </c>
      <c r="J117" s="17" t="n">
        <v>0</v>
      </c>
      <c r="K117" s="2" t="s">
        <v>303</v>
      </c>
      <c r="L117" s="13" t="s">
        <v>308</v>
      </c>
    </row>
    <row r="118" customFormat="false" ht="39.55" hidden="false" customHeight="false" outlineLevel="0" collapsed="false">
      <c r="A118" s="2" t="s">
        <v>309</v>
      </c>
      <c r="B118" s="13" t="s">
        <v>301</v>
      </c>
      <c r="C118" s="2" t="s">
        <v>57</v>
      </c>
      <c r="D118" s="2" t="s">
        <v>302</v>
      </c>
      <c r="E118" s="19" t="n">
        <v>1.7</v>
      </c>
      <c r="F118" s="21" t="n">
        <v>0.04</v>
      </c>
      <c r="G118" s="16" t="n">
        <v>0.1</v>
      </c>
      <c r="H118" s="15" t="n">
        <v>200</v>
      </c>
      <c r="I118" s="20" t="n">
        <v>1</v>
      </c>
      <c r="J118" s="17" t="n">
        <v>0</v>
      </c>
      <c r="K118" s="2" t="s">
        <v>303</v>
      </c>
      <c r="L118" s="13" t="s">
        <v>310</v>
      </c>
    </row>
    <row r="119" customFormat="false" ht="64.9" hidden="false" customHeight="false" outlineLevel="0" collapsed="false">
      <c r="A119" s="2" t="s">
        <v>311</v>
      </c>
      <c r="B119" s="13" t="s">
        <v>312</v>
      </c>
      <c r="C119" s="2" t="s">
        <v>50</v>
      </c>
      <c r="D119" s="2" t="s">
        <v>313</v>
      </c>
      <c r="E119" s="19" t="n">
        <v>1449</v>
      </c>
      <c r="F119" s="15" t="n">
        <v>15</v>
      </c>
      <c r="G119" s="16" t="n">
        <v>0.3</v>
      </c>
      <c r="H119" s="15" t="n">
        <v>3</v>
      </c>
      <c r="I119" s="20" t="n">
        <v>1</v>
      </c>
      <c r="J119" s="17" t="n">
        <v>0</v>
      </c>
      <c r="K119" s="2" t="s">
        <v>303</v>
      </c>
      <c r="L119" s="13" t="s">
        <v>314</v>
      </c>
    </row>
    <row r="120" customFormat="false" ht="26.85" hidden="false" customHeight="false" outlineLevel="0" collapsed="false">
      <c r="A120" s="2" t="s">
        <v>315</v>
      </c>
      <c r="B120" s="13" t="s">
        <v>312</v>
      </c>
      <c r="C120" s="2" t="s">
        <v>45</v>
      </c>
      <c r="D120" s="2" t="s">
        <v>313</v>
      </c>
      <c r="E120" s="19" t="n">
        <v>1449</v>
      </c>
      <c r="F120" s="15" t="n">
        <v>25</v>
      </c>
      <c r="G120" s="16" t="n">
        <v>0.35</v>
      </c>
      <c r="H120" s="15" t="n">
        <v>3</v>
      </c>
      <c r="I120" s="20" t="n">
        <v>1</v>
      </c>
      <c r="J120" s="17" t="n">
        <v>0</v>
      </c>
      <c r="K120" s="2" t="s">
        <v>303</v>
      </c>
      <c r="L120" s="13" t="s">
        <v>316</v>
      </c>
    </row>
    <row r="121" customFormat="false" ht="26.85" hidden="false" customHeight="false" outlineLevel="0" collapsed="false">
      <c r="A121" s="2" t="s">
        <v>317</v>
      </c>
      <c r="B121" s="13" t="s">
        <v>312</v>
      </c>
      <c r="C121" s="2" t="s">
        <v>55</v>
      </c>
      <c r="D121" s="2" t="s">
        <v>313</v>
      </c>
      <c r="E121" s="19" t="n">
        <v>1449</v>
      </c>
      <c r="F121" s="15" t="n">
        <v>15</v>
      </c>
      <c r="G121" s="16" t="n">
        <v>0.25</v>
      </c>
      <c r="H121" s="15" t="n">
        <v>2</v>
      </c>
      <c r="I121" s="20" t="n">
        <v>1</v>
      </c>
      <c r="J121" s="17" t="n">
        <v>0</v>
      </c>
      <c r="K121" s="2" t="s">
        <v>303</v>
      </c>
      <c r="L121" s="13" t="s">
        <v>318</v>
      </c>
    </row>
    <row r="122" customFormat="false" ht="26.85" hidden="false" customHeight="false" outlineLevel="0" collapsed="false">
      <c r="A122" s="2" t="s">
        <v>319</v>
      </c>
      <c r="B122" s="13" t="s">
        <v>312</v>
      </c>
      <c r="C122" s="2" t="s">
        <v>57</v>
      </c>
      <c r="D122" s="2" t="s">
        <v>313</v>
      </c>
      <c r="E122" s="19" t="n">
        <v>1449</v>
      </c>
      <c r="F122" s="15" t="n">
        <v>15</v>
      </c>
      <c r="G122" s="16" t="n">
        <v>0.25</v>
      </c>
      <c r="H122" s="15" t="n">
        <v>2</v>
      </c>
      <c r="I122" s="20" t="n">
        <v>1</v>
      </c>
      <c r="J122" s="17" t="n">
        <v>0</v>
      </c>
      <c r="K122" s="2" t="s">
        <v>303</v>
      </c>
      <c r="L122" s="13" t="s">
        <v>320</v>
      </c>
    </row>
    <row r="123" customFormat="false" ht="39.55" hidden="false" customHeight="false" outlineLevel="0" collapsed="false">
      <c r="A123" s="2" t="s">
        <v>321</v>
      </c>
      <c r="B123" s="13" t="s">
        <v>322</v>
      </c>
      <c r="C123" s="2" t="s">
        <v>55</v>
      </c>
      <c r="D123" s="2" t="s">
        <v>302</v>
      </c>
      <c r="E123" s="19" t="n">
        <v>3.5</v>
      </c>
      <c r="F123" s="21" t="n">
        <v>0.08</v>
      </c>
      <c r="G123" s="16" t="n">
        <v>0.25</v>
      </c>
      <c r="H123" s="15" t="n">
        <v>150</v>
      </c>
      <c r="I123" s="20" t="n">
        <v>1</v>
      </c>
      <c r="J123" s="17" t="n">
        <v>0</v>
      </c>
      <c r="K123" s="2" t="s">
        <v>303</v>
      </c>
      <c r="L123" s="13" t="s">
        <v>323</v>
      </c>
    </row>
    <row r="124" customFormat="false" ht="26.85" hidden="false" customHeight="false" outlineLevel="0" collapsed="false">
      <c r="A124" s="2" t="s">
        <v>324</v>
      </c>
      <c r="B124" s="13" t="s">
        <v>322</v>
      </c>
      <c r="C124" s="2" t="s">
        <v>57</v>
      </c>
      <c r="D124" s="2" t="s">
        <v>302</v>
      </c>
      <c r="E124" s="19" t="n">
        <v>3.5</v>
      </c>
      <c r="F124" s="21" t="n">
        <v>0.08</v>
      </c>
      <c r="G124" s="16" t="n">
        <v>0.2</v>
      </c>
      <c r="H124" s="15" t="n">
        <v>100</v>
      </c>
      <c r="I124" s="20" t="n">
        <v>1</v>
      </c>
      <c r="J124" s="17" t="n">
        <v>0</v>
      </c>
      <c r="K124" s="2" t="s">
        <v>303</v>
      </c>
      <c r="L124" s="13" t="s">
        <v>325</v>
      </c>
    </row>
    <row r="125" customFormat="false" ht="26.85" hidden="false" customHeight="false" outlineLevel="0" collapsed="false">
      <c r="A125" s="2" t="s">
        <v>326</v>
      </c>
      <c r="B125" s="13" t="s">
        <v>327</v>
      </c>
      <c r="C125" s="2" t="s">
        <v>50</v>
      </c>
      <c r="D125" s="2" t="s">
        <v>328</v>
      </c>
      <c r="E125" s="19" t="n">
        <v>18</v>
      </c>
      <c r="F125" s="15"/>
      <c r="G125" s="16" t="n">
        <v>0.05</v>
      </c>
      <c r="H125" s="15" t="n">
        <v>400</v>
      </c>
      <c r="I125" s="20" t="n">
        <v>1</v>
      </c>
      <c r="J125" s="17" t="n">
        <v>0</v>
      </c>
      <c r="K125" s="2" t="s">
        <v>66</v>
      </c>
      <c r="L125" s="13" t="s">
        <v>329</v>
      </c>
    </row>
    <row r="126" customFormat="false" ht="15" hidden="false" customHeight="false" outlineLevel="0" collapsed="false">
      <c r="A126" s="2" t="s">
        <v>330</v>
      </c>
      <c r="B126" s="13" t="s">
        <v>327</v>
      </c>
      <c r="C126" s="2" t="s">
        <v>45</v>
      </c>
      <c r="D126" s="2" t="s">
        <v>328</v>
      </c>
      <c r="E126" s="19" t="n">
        <v>12</v>
      </c>
      <c r="F126" s="15"/>
      <c r="G126" s="16" t="n">
        <v>0.12</v>
      </c>
      <c r="H126" s="15" t="n">
        <v>500</v>
      </c>
      <c r="I126" s="20" t="n">
        <v>1</v>
      </c>
      <c r="J126" s="17" t="n">
        <v>0</v>
      </c>
      <c r="K126" s="2" t="s">
        <v>66</v>
      </c>
      <c r="L126" s="13" t="s">
        <v>331</v>
      </c>
    </row>
    <row r="127" customFormat="false" ht="26.85" hidden="false" customHeight="false" outlineLevel="0" collapsed="false">
      <c r="A127" s="2" t="s">
        <v>332</v>
      </c>
      <c r="B127" s="13" t="s">
        <v>333</v>
      </c>
      <c r="C127" s="2" t="s">
        <v>50</v>
      </c>
      <c r="D127" s="2" t="s">
        <v>302</v>
      </c>
      <c r="E127" s="19" t="n">
        <v>2.2</v>
      </c>
      <c r="F127" s="21" t="n">
        <v>0.07</v>
      </c>
      <c r="G127" s="16" t="n">
        <v>0.15</v>
      </c>
      <c r="H127" s="15" t="n">
        <v>80</v>
      </c>
      <c r="I127" s="20" t="n">
        <v>1</v>
      </c>
      <c r="J127" s="17" t="n">
        <v>0</v>
      </c>
      <c r="K127" s="2" t="s">
        <v>66</v>
      </c>
      <c r="L127" s="13" t="s">
        <v>334</v>
      </c>
    </row>
    <row r="128" customFormat="false" ht="15" hidden="false" customHeight="false" outlineLevel="0" collapsed="false">
      <c r="A128" s="2" t="s">
        <v>335</v>
      </c>
      <c r="B128" s="13" t="s">
        <v>333</v>
      </c>
      <c r="C128" s="2" t="s">
        <v>45</v>
      </c>
      <c r="D128" s="2" t="s">
        <v>302</v>
      </c>
      <c r="E128" s="19" t="n">
        <v>2.2</v>
      </c>
      <c r="F128" s="21" t="n">
        <v>0.07</v>
      </c>
      <c r="G128" s="16" t="n">
        <v>0.25</v>
      </c>
      <c r="H128" s="15" t="n">
        <v>100</v>
      </c>
      <c r="I128" s="20" t="n">
        <v>1</v>
      </c>
      <c r="J128" s="17" t="n">
        <v>0</v>
      </c>
      <c r="K128" s="2" t="s">
        <v>66</v>
      </c>
      <c r="L128" s="13" t="s">
        <v>298</v>
      </c>
    </row>
    <row r="129" customFormat="false" ht="15" hidden="false" customHeight="false" outlineLevel="0" collapsed="false">
      <c r="A129" s="2" t="s">
        <v>336</v>
      </c>
      <c r="B129" s="13" t="s">
        <v>333</v>
      </c>
      <c r="C129" s="2" t="s">
        <v>55</v>
      </c>
      <c r="D129" s="2" t="s">
        <v>302</v>
      </c>
      <c r="E129" s="19" t="n">
        <v>2.2</v>
      </c>
      <c r="F129" s="21" t="n">
        <v>0.07</v>
      </c>
      <c r="G129" s="16" t="n">
        <v>0.15</v>
      </c>
      <c r="H129" s="15" t="n">
        <v>40</v>
      </c>
      <c r="I129" s="20" t="n">
        <v>1</v>
      </c>
      <c r="J129" s="17" t="n">
        <v>0</v>
      </c>
      <c r="K129" s="2" t="s">
        <v>66</v>
      </c>
      <c r="L129" s="13" t="s">
        <v>337</v>
      </c>
    </row>
    <row r="130" customFormat="false" ht="15" hidden="false" customHeight="false" outlineLevel="0" collapsed="false">
      <c r="A130" s="2" t="s">
        <v>338</v>
      </c>
      <c r="B130" s="13" t="s">
        <v>333</v>
      </c>
      <c r="C130" s="2" t="s">
        <v>57</v>
      </c>
      <c r="D130" s="2" t="s">
        <v>302</v>
      </c>
      <c r="E130" s="19" t="n">
        <v>2.2</v>
      </c>
      <c r="F130" s="21" t="n">
        <v>0.07</v>
      </c>
      <c r="G130" s="16" t="n">
        <v>0.12</v>
      </c>
      <c r="H130" s="15" t="n">
        <v>30</v>
      </c>
      <c r="I130" s="20" t="n">
        <v>1</v>
      </c>
      <c r="J130" s="17" t="n">
        <v>0</v>
      </c>
      <c r="K130" s="2" t="s">
        <v>66</v>
      </c>
      <c r="L130" s="13" t="s">
        <v>298</v>
      </c>
    </row>
    <row r="132" customFormat="false" ht="15" hidden="false" customHeight="false" outlineLevel="0" collapsed="false">
      <c r="A132" s="10" t="s">
        <v>339</v>
      </c>
      <c r="B132" s="11"/>
      <c r="C132" s="11"/>
      <c r="D132" s="11"/>
      <c r="E132" s="11"/>
      <c r="F132" s="11"/>
      <c r="G132" s="11"/>
    </row>
    <row r="133" customFormat="false" ht="15" hidden="false" customHeight="false" outlineLevel="0" collapsed="false">
      <c r="A133" s="12" t="s">
        <v>22</v>
      </c>
      <c r="B133" s="12" t="s">
        <v>23</v>
      </c>
      <c r="C133" s="12" t="s">
        <v>24</v>
      </c>
      <c r="D133" s="12" t="s">
        <v>25</v>
      </c>
      <c r="E133" s="12" t="s">
        <v>26</v>
      </c>
      <c r="F133" s="12" t="s">
        <v>27</v>
      </c>
      <c r="G133" s="12" t="s">
        <v>28</v>
      </c>
    </row>
    <row r="134" customFormat="false" ht="52.2" hidden="false" customHeight="false" outlineLevel="0" collapsed="false">
      <c r="A134" s="2" t="s">
        <v>340</v>
      </c>
      <c r="B134" s="13" t="s">
        <v>341</v>
      </c>
      <c r="C134" s="2" t="s">
        <v>50</v>
      </c>
      <c r="D134" s="15" t="n">
        <v>200</v>
      </c>
      <c r="E134" s="2" t="s">
        <v>342</v>
      </c>
      <c r="F134" s="2" t="s">
        <v>66</v>
      </c>
      <c r="G134" s="13" t="s">
        <v>343</v>
      </c>
    </row>
    <row r="135" customFormat="false" ht="52.2" hidden="false" customHeight="false" outlineLevel="0" collapsed="false">
      <c r="A135" s="2" t="s">
        <v>344</v>
      </c>
      <c r="B135" s="13" t="s">
        <v>341</v>
      </c>
      <c r="C135" s="2" t="s">
        <v>45</v>
      </c>
      <c r="D135" s="15" t="n">
        <v>300</v>
      </c>
      <c r="E135" s="2" t="s">
        <v>342</v>
      </c>
      <c r="F135" s="2" t="s">
        <v>66</v>
      </c>
      <c r="G135" s="13" t="s">
        <v>343</v>
      </c>
    </row>
    <row r="136" customFormat="false" ht="52.2" hidden="false" customHeight="false" outlineLevel="0" collapsed="false">
      <c r="A136" s="2" t="s">
        <v>345</v>
      </c>
      <c r="B136" s="13" t="s">
        <v>341</v>
      </c>
      <c r="C136" s="2" t="s">
        <v>55</v>
      </c>
      <c r="D136" s="15" t="n">
        <v>120</v>
      </c>
      <c r="E136" s="2" t="s">
        <v>342</v>
      </c>
      <c r="F136" s="2" t="s">
        <v>66</v>
      </c>
      <c r="G136" s="13" t="s">
        <v>343</v>
      </c>
    </row>
    <row r="137" customFormat="false" ht="52.2" hidden="false" customHeight="false" outlineLevel="0" collapsed="false">
      <c r="A137" s="2" t="s">
        <v>346</v>
      </c>
      <c r="B137" s="13" t="s">
        <v>341</v>
      </c>
      <c r="C137" s="2" t="s">
        <v>57</v>
      </c>
      <c r="D137" s="15" t="n">
        <v>80</v>
      </c>
      <c r="E137" s="2" t="s">
        <v>342</v>
      </c>
      <c r="F137" s="2" t="s">
        <v>66</v>
      </c>
      <c r="G137" s="13" t="s">
        <v>343</v>
      </c>
    </row>
    <row r="138" customFormat="false" ht="26.85" hidden="false" customHeight="false" outlineLevel="0" collapsed="false">
      <c r="A138" s="2" t="s">
        <v>347</v>
      </c>
      <c r="B138" s="13" t="s">
        <v>348</v>
      </c>
      <c r="C138" s="2" t="s">
        <v>31</v>
      </c>
      <c r="D138" s="16" t="n">
        <v>0.12</v>
      </c>
      <c r="E138" s="2" t="s">
        <v>46</v>
      </c>
      <c r="F138" s="2" t="s">
        <v>66</v>
      </c>
      <c r="G138" s="13" t="s">
        <v>349</v>
      </c>
    </row>
    <row r="139" customFormat="false" ht="15" hidden="false" customHeight="false" outlineLevel="0" collapsed="false">
      <c r="A139" s="2" t="s">
        <v>350</v>
      </c>
      <c r="B139" s="13" t="s">
        <v>351</v>
      </c>
      <c r="C139" s="2" t="s">
        <v>31</v>
      </c>
      <c r="D139" s="16" t="n">
        <v>0.5</v>
      </c>
      <c r="E139" s="2" t="s">
        <v>46</v>
      </c>
      <c r="F139" s="2" t="s">
        <v>66</v>
      </c>
      <c r="G139" s="13" t="s">
        <v>352</v>
      </c>
    </row>
    <row r="140" customFormat="false" ht="26.85" hidden="false" customHeight="false" outlineLevel="0" collapsed="false">
      <c r="A140" s="2" t="s">
        <v>353</v>
      </c>
      <c r="B140" s="13" t="s">
        <v>354</v>
      </c>
      <c r="C140" s="2" t="s">
        <v>50</v>
      </c>
      <c r="D140" s="15" t="n">
        <v>25</v>
      </c>
      <c r="E140" s="2" t="s">
        <v>206</v>
      </c>
      <c r="F140" s="2" t="s">
        <v>66</v>
      </c>
      <c r="G140" s="13" t="s">
        <v>355</v>
      </c>
    </row>
    <row r="141" customFormat="false" ht="26.85" hidden="false" customHeight="false" outlineLevel="0" collapsed="false">
      <c r="A141" s="2" t="s">
        <v>356</v>
      </c>
      <c r="B141" s="13" t="s">
        <v>354</v>
      </c>
      <c r="C141" s="2" t="s">
        <v>45</v>
      </c>
      <c r="D141" s="15" t="n">
        <v>30</v>
      </c>
      <c r="E141" s="2" t="s">
        <v>206</v>
      </c>
      <c r="F141" s="2" t="s">
        <v>66</v>
      </c>
      <c r="G141" s="13" t="s">
        <v>355</v>
      </c>
    </row>
    <row r="142" customFormat="false" ht="26.85" hidden="false" customHeight="false" outlineLevel="0" collapsed="false">
      <c r="A142" s="2" t="s">
        <v>357</v>
      </c>
      <c r="B142" s="13" t="s">
        <v>354</v>
      </c>
      <c r="C142" s="2" t="s">
        <v>55</v>
      </c>
      <c r="D142" s="15" t="n">
        <v>10</v>
      </c>
      <c r="E142" s="2" t="s">
        <v>206</v>
      </c>
      <c r="F142" s="2" t="s">
        <v>66</v>
      </c>
      <c r="G142" s="13" t="s">
        <v>355</v>
      </c>
    </row>
    <row r="143" customFormat="false" ht="26.85" hidden="false" customHeight="false" outlineLevel="0" collapsed="false">
      <c r="A143" s="2" t="s">
        <v>358</v>
      </c>
      <c r="B143" s="13" t="s">
        <v>354</v>
      </c>
      <c r="C143" s="2" t="s">
        <v>57</v>
      </c>
      <c r="D143" s="15" t="n">
        <v>8</v>
      </c>
      <c r="E143" s="2" t="s">
        <v>206</v>
      </c>
      <c r="F143" s="2" t="s">
        <v>66</v>
      </c>
      <c r="G143" s="13" t="s">
        <v>355</v>
      </c>
    </row>
    <row r="144" customFormat="false" ht="15" hidden="false" customHeight="false" outlineLevel="0" collapsed="false">
      <c r="A144" s="2" t="s">
        <v>359</v>
      </c>
      <c r="B144" s="13" t="s">
        <v>360</v>
      </c>
      <c r="C144" s="2" t="s">
        <v>31</v>
      </c>
      <c r="D144" s="16" t="n">
        <v>0.45</v>
      </c>
      <c r="E144" s="2" t="s">
        <v>46</v>
      </c>
      <c r="F144" s="2" t="s">
        <v>66</v>
      </c>
      <c r="G144" s="13" t="s">
        <v>361</v>
      </c>
    </row>
    <row r="145" customFormat="false" ht="26.85" hidden="false" customHeight="false" outlineLevel="0" collapsed="false">
      <c r="A145" s="2" t="s">
        <v>362</v>
      </c>
      <c r="B145" s="13" t="s">
        <v>363</v>
      </c>
      <c r="C145" s="2" t="s">
        <v>31</v>
      </c>
      <c r="D145" s="19" t="n">
        <v>0.5</v>
      </c>
      <c r="E145" s="2" t="s">
        <v>127</v>
      </c>
      <c r="F145" s="2" t="s">
        <v>66</v>
      </c>
      <c r="G145" s="13" t="s">
        <v>364</v>
      </c>
    </row>
    <row r="146" customFormat="false" ht="26.85" hidden="false" customHeight="false" outlineLevel="0" collapsed="false">
      <c r="A146" s="2" t="s">
        <v>365</v>
      </c>
      <c r="B146" s="13" t="s">
        <v>366</v>
      </c>
      <c r="C146" s="2" t="s">
        <v>31</v>
      </c>
      <c r="D146" s="17" t="n">
        <v>1000</v>
      </c>
      <c r="E146" s="2" t="s">
        <v>127</v>
      </c>
      <c r="F146" s="2" t="s">
        <v>66</v>
      </c>
      <c r="G146" s="13" t="s">
        <v>367</v>
      </c>
    </row>
    <row r="147" customFormat="false" ht="26.85" hidden="false" customHeight="false" outlineLevel="0" collapsed="false">
      <c r="A147" s="2" t="s">
        <v>368</v>
      </c>
      <c r="B147" s="13" t="s">
        <v>369</v>
      </c>
      <c r="C147" s="2" t="s">
        <v>31</v>
      </c>
      <c r="D147" s="20" t="n">
        <v>1.15</v>
      </c>
      <c r="E147" s="2" t="s">
        <v>370</v>
      </c>
      <c r="F147" s="2" t="s">
        <v>66</v>
      </c>
      <c r="G147" s="13" t="s">
        <v>371</v>
      </c>
    </row>
    <row r="148" customFormat="false" ht="52.2" hidden="false" customHeight="false" outlineLevel="0" collapsed="false">
      <c r="A148" s="2" t="s">
        <v>372</v>
      </c>
      <c r="B148" s="13" t="s">
        <v>373</v>
      </c>
      <c r="C148" s="2" t="s">
        <v>50</v>
      </c>
      <c r="D148" s="15" t="n">
        <v>12000</v>
      </c>
      <c r="E148" s="2" t="s">
        <v>179</v>
      </c>
      <c r="F148" s="2" t="s">
        <v>66</v>
      </c>
      <c r="G148" s="13" t="s">
        <v>374</v>
      </c>
    </row>
    <row r="149" customFormat="false" ht="26.85" hidden="false" customHeight="false" outlineLevel="0" collapsed="false">
      <c r="A149" s="2" t="s">
        <v>375</v>
      </c>
      <c r="B149" s="13" t="s">
        <v>376</v>
      </c>
      <c r="C149" s="2" t="s">
        <v>50</v>
      </c>
      <c r="D149" s="21" t="n">
        <v>0.025</v>
      </c>
      <c r="E149" s="2" t="s">
        <v>46</v>
      </c>
      <c r="F149" s="2" t="s">
        <v>66</v>
      </c>
      <c r="G149" s="13" t="s">
        <v>377</v>
      </c>
    </row>
    <row r="150" customFormat="false" ht="26.85" hidden="false" customHeight="false" outlineLevel="0" collapsed="false">
      <c r="A150" s="2" t="s">
        <v>378</v>
      </c>
      <c r="B150" s="13" t="s">
        <v>379</v>
      </c>
      <c r="C150" s="2" t="s">
        <v>50</v>
      </c>
      <c r="D150" s="17" t="n">
        <v>30</v>
      </c>
      <c r="E150" s="2" t="s">
        <v>127</v>
      </c>
      <c r="F150" s="2" t="s">
        <v>66</v>
      </c>
      <c r="G150" s="13" t="s">
        <v>380</v>
      </c>
    </row>
    <row r="151" customFormat="false" ht="26.85" hidden="false" customHeight="false" outlineLevel="0" collapsed="false">
      <c r="A151" s="2" t="s">
        <v>381</v>
      </c>
      <c r="B151" s="13" t="s">
        <v>382</v>
      </c>
      <c r="C151" s="2" t="s">
        <v>50</v>
      </c>
      <c r="D151" s="16" t="n">
        <v>0.15</v>
      </c>
      <c r="E151" s="2" t="s">
        <v>46</v>
      </c>
      <c r="F151" s="2" t="s">
        <v>66</v>
      </c>
      <c r="G151" s="13" t="s">
        <v>383</v>
      </c>
    </row>
    <row r="152" customFormat="false" ht="15" hidden="false" customHeight="false" outlineLevel="0" collapsed="false">
      <c r="A152" s="2" t="s">
        <v>384</v>
      </c>
      <c r="B152" s="13" t="s">
        <v>385</v>
      </c>
      <c r="C152" s="2" t="s">
        <v>50</v>
      </c>
      <c r="D152" s="20" t="n">
        <v>0.8</v>
      </c>
      <c r="E152" s="2" t="s">
        <v>370</v>
      </c>
      <c r="F152" s="2" t="s">
        <v>66</v>
      </c>
      <c r="G152" s="13" t="s">
        <v>386</v>
      </c>
    </row>
    <row r="153" customFormat="false" ht="26.85" hidden="false" customHeight="false" outlineLevel="0" collapsed="false">
      <c r="A153" s="2" t="s">
        <v>387</v>
      </c>
      <c r="B153" s="13" t="s">
        <v>388</v>
      </c>
      <c r="C153" s="2" t="s">
        <v>50</v>
      </c>
      <c r="D153" s="17" t="n">
        <v>1200</v>
      </c>
      <c r="E153" s="2" t="s">
        <v>127</v>
      </c>
      <c r="F153" s="2" t="s">
        <v>66</v>
      </c>
      <c r="G153" s="13" t="s">
        <v>389</v>
      </c>
    </row>
    <row r="154" customFormat="false" ht="39.55" hidden="false" customHeight="false" outlineLevel="0" collapsed="false">
      <c r="A154" s="2" t="s">
        <v>390</v>
      </c>
      <c r="B154" s="13" t="s">
        <v>391</v>
      </c>
      <c r="C154" s="2" t="s">
        <v>45</v>
      </c>
      <c r="D154" s="17" t="n">
        <v>12</v>
      </c>
      <c r="E154" s="2" t="s">
        <v>127</v>
      </c>
      <c r="F154" s="2" t="s">
        <v>303</v>
      </c>
      <c r="G154" s="13" t="s">
        <v>392</v>
      </c>
    </row>
    <row r="155" customFormat="false" ht="26.85" hidden="false" customHeight="false" outlineLevel="0" collapsed="false">
      <c r="A155" s="2" t="s">
        <v>393</v>
      </c>
      <c r="B155" s="13" t="s">
        <v>394</v>
      </c>
      <c r="C155" s="2" t="s">
        <v>45</v>
      </c>
      <c r="D155" s="16" t="n">
        <v>0.22</v>
      </c>
      <c r="E155" s="2" t="s">
        <v>46</v>
      </c>
      <c r="F155" s="2" t="s">
        <v>66</v>
      </c>
      <c r="G155" s="13" t="s">
        <v>395</v>
      </c>
    </row>
    <row r="156" customFormat="false" ht="15" hidden="false" customHeight="false" outlineLevel="0" collapsed="false">
      <c r="A156" s="2" t="s">
        <v>396</v>
      </c>
      <c r="B156" s="13" t="s">
        <v>397</v>
      </c>
      <c r="C156" s="2" t="s">
        <v>45</v>
      </c>
      <c r="D156" s="15" t="n">
        <v>450</v>
      </c>
      <c r="E156" s="2" t="s">
        <v>206</v>
      </c>
      <c r="F156" s="2" t="s">
        <v>66</v>
      </c>
      <c r="G156" s="13" t="s">
        <v>398</v>
      </c>
    </row>
    <row r="157" customFormat="false" ht="15" hidden="false" customHeight="false" outlineLevel="0" collapsed="false">
      <c r="A157" s="2" t="s">
        <v>399</v>
      </c>
      <c r="B157" s="13" t="s">
        <v>400</v>
      </c>
      <c r="C157" s="2" t="s">
        <v>45</v>
      </c>
      <c r="D157" s="20" t="n">
        <v>1.1</v>
      </c>
      <c r="E157" s="2" t="s">
        <v>370</v>
      </c>
      <c r="F157" s="2" t="s">
        <v>66</v>
      </c>
      <c r="G157" s="13" t="s">
        <v>401</v>
      </c>
    </row>
    <row r="158" customFormat="false" ht="26.85" hidden="false" customHeight="false" outlineLevel="0" collapsed="false">
      <c r="A158" s="2" t="s">
        <v>402</v>
      </c>
      <c r="B158" s="13" t="s">
        <v>403</v>
      </c>
      <c r="C158" s="2" t="s">
        <v>45</v>
      </c>
      <c r="D158" s="15" t="n">
        <v>15</v>
      </c>
      <c r="E158" s="2" t="s">
        <v>404</v>
      </c>
      <c r="F158" s="2" t="s">
        <v>66</v>
      </c>
      <c r="G158" s="13" t="s">
        <v>405</v>
      </c>
    </row>
    <row r="159" customFormat="false" ht="15" hidden="false" customHeight="false" outlineLevel="0" collapsed="false">
      <c r="A159" s="2" t="s">
        <v>406</v>
      </c>
      <c r="B159" s="13" t="s">
        <v>407</v>
      </c>
      <c r="C159" s="2" t="s">
        <v>45</v>
      </c>
      <c r="D159" s="17" t="n">
        <v>30</v>
      </c>
      <c r="E159" s="2" t="s">
        <v>127</v>
      </c>
      <c r="F159" s="2" t="s">
        <v>66</v>
      </c>
      <c r="G159" s="13" t="s">
        <v>408</v>
      </c>
    </row>
    <row r="160" customFormat="false" ht="15" hidden="false" customHeight="false" outlineLevel="0" collapsed="false">
      <c r="A160" s="2" t="s">
        <v>409</v>
      </c>
      <c r="B160" s="13" t="s">
        <v>410</v>
      </c>
      <c r="C160" s="2" t="s">
        <v>45</v>
      </c>
      <c r="D160" s="17" t="n">
        <v>400</v>
      </c>
      <c r="E160" s="2" t="s">
        <v>127</v>
      </c>
      <c r="F160" s="2" t="s">
        <v>66</v>
      </c>
      <c r="G160" s="13" t="s">
        <v>411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412</v>
      </c>
    </row>
    <row r="2" customFormat="false" ht="15" hidden="false" customHeight="false" outlineLevel="0" collapsed="false">
      <c r="A2" s="2" t="s">
        <v>413</v>
      </c>
    </row>
    <row r="4" customFormat="false" ht="48" hidden="false" customHeight="true" outlineLevel="0" collapsed="false">
      <c r="A4" s="12" t="s">
        <v>283</v>
      </c>
      <c r="B4" s="12" t="s">
        <v>49</v>
      </c>
      <c r="C4" s="12" t="s">
        <v>414</v>
      </c>
      <c r="D4" s="12" t="s">
        <v>415</v>
      </c>
      <c r="E4" s="12" t="s">
        <v>416</v>
      </c>
      <c r="F4" s="12" t="s">
        <v>417</v>
      </c>
      <c r="G4" s="12" t="s">
        <v>418</v>
      </c>
      <c r="H4" s="12" t="s">
        <v>419</v>
      </c>
      <c r="I4" s="12" t="s">
        <v>420</v>
      </c>
      <c r="J4" s="12" t="s">
        <v>421</v>
      </c>
      <c r="K4" s="12" t="s">
        <v>422</v>
      </c>
      <c r="L4" s="12" t="s">
        <v>423</v>
      </c>
      <c r="M4" s="12" t="s">
        <v>424</v>
      </c>
      <c r="N4" s="12" t="s">
        <v>425</v>
      </c>
      <c r="O4" s="12" t="s">
        <v>426</v>
      </c>
      <c r="P4" s="12" t="s">
        <v>427</v>
      </c>
    </row>
    <row r="5" customFormat="false" ht="15" hidden="false" customHeight="false" outlineLevel="0" collapsed="false">
      <c r="A5" s="22" t="s">
        <v>50</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B5/F5</f>
        <v>46.1538461538462</v>
      </c>
      <c r="J5" s="26" t="n">
        <f aca="false">I5/E5</f>
        <v>51.2820512820513</v>
      </c>
      <c r="K5" s="26" t="n">
        <f aca="false">J5/D5</f>
        <v>93.2400932400932</v>
      </c>
      <c r="L5" s="23" t="n">
        <f aca="false">K5/C5</f>
        <v>621.600621600622</v>
      </c>
      <c r="M5" s="23" t="n">
        <f aca="false">SUMIFS(Channels!$W:$W,Channels!$C:$C,A5)</f>
        <v>643.272533022533</v>
      </c>
      <c r="N5" s="25" t="n">
        <f aca="false">IF(M5&gt;0,O5/M5,0)</f>
        <v>0.15351594879403</v>
      </c>
      <c r="O5" s="26" t="n">
        <f aca="false">SUMIFS(Channels!$V:$V,Channels!$C:$C,A5)</f>
        <v>98.7525932400932</v>
      </c>
      <c r="P5" s="25" t="n">
        <f aca="false">O5/$B$22</f>
        <v>0.306549069924901</v>
      </c>
    </row>
    <row r="6" customFormat="false" ht="15" hidden="false" customHeight="false" outlineLevel="0" collapsed="false">
      <c r="A6" s="22" t="s">
        <v>45</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B6/F6</f>
        <v>60</v>
      </c>
      <c r="J6" s="26" t="n">
        <f aca="false">I6/E6</f>
        <v>66.6666666666667</v>
      </c>
      <c r="K6" s="26" t="n">
        <f aca="false">J6/D6</f>
        <v>111.111111111111</v>
      </c>
      <c r="L6" s="23" t="n">
        <f aca="false">K6/C6</f>
        <v>505.050505050505</v>
      </c>
      <c r="M6" s="23" t="n">
        <f aca="false">SUMIFS(Channels!$W:$W,Channels!$C:$C,A6)</f>
        <v>494.399595124802</v>
      </c>
      <c r="N6" s="25" t="n">
        <f aca="false">IF(M6&gt;0,O6/M6,0)</f>
        <v>0.213013564446348</v>
      </c>
      <c r="O6" s="26" t="n">
        <f aca="false">SUMIFS(Channels!$V:$V,Channels!$C:$C,A6)</f>
        <v>105.313820018365</v>
      </c>
      <c r="P6" s="25" t="n">
        <f aca="false">O6/$B$22</f>
        <v>0.326916514469427</v>
      </c>
    </row>
    <row r="7" customFormat="false" ht="15" hidden="false" customHeight="false" outlineLevel="0" collapsed="false">
      <c r="A7" s="22" t="s">
        <v>55</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B7/F7</f>
        <v>23.0769230769231</v>
      </c>
      <c r="J7" s="26" t="n">
        <f aca="false">I7/E7</f>
        <v>25.6410256410256</v>
      </c>
      <c r="K7" s="26" t="n">
        <f aca="false">J7/D7</f>
        <v>51.2820512820513</v>
      </c>
      <c r="L7" s="23" t="n">
        <f aca="false">K7/C7</f>
        <v>427.350427350427</v>
      </c>
      <c r="M7" s="23" t="n">
        <f aca="false">SUMIFS(Channels!$W:$W,Channels!$C:$C,A7)</f>
        <v>252.620326340326</v>
      </c>
      <c r="N7" s="25" t="n">
        <f aca="false">IF(M7&gt;0,O7/M7,0)</f>
        <v>0.198725304528424</v>
      </c>
      <c r="O7" s="26" t="n">
        <f aca="false">SUMIFS(Channels!$V:$V,Channels!$C:$C,A7)</f>
        <v>50.2020512820513</v>
      </c>
      <c r="P7" s="25" t="n">
        <f aca="false">O7/$B$22</f>
        <v>0.155837853203707</v>
      </c>
    </row>
    <row r="8" customFormat="false" ht="15" hidden="false" customHeight="false" outlineLevel="0" collapsed="false">
      <c r="A8" s="22" t="s">
        <v>57</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B8/F8</f>
        <v>14.2857142857143</v>
      </c>
      <c r="J8" s="26" t="n">
        <f aca="false">I8/E8</f>
        <v>16.8067226890756</v>
      </c>
      <c r="K8" s="26" t="n">
        <f aca="false">J8/D8</f>
        <v>37.3482726423903</v>
      </c>
      <c r="L8" s="23" t="n">
        <f aca="false">K8/C8</f>
        <v>373.482726423903</v>
      </c>
      <c r="M8" s="23" t="n">
        <f aca="false">SUMIFS(Channels!$W:$W,Channels!$C:$C,A8)</f>
        <v>220.461680582056</v>
      </c>
      <c r="N8" s="25" t="n">
        <f aca="false">IF(M8&gt;0,O8/M8,0)</f>
        <v>0.16515924934237</v>
      </c>
      <c r="O8" s="26" t="n">
        <f aca="false">SUMIFS(Channels!$V:$V,Channels!$C:$C,A8)</f>
        <v>36.4112856736898</v>
      </c>
      <c r="P8" s="25" t="n">
        <f aca="false">O8/$B$22</f>
        <v>0.113028381248704</v>
      </c>
    </row>
    <row r="9" customFormat="false" ht="15" hidden="false" customHeight="false" outlineLevel="0" collapsed="false">
      <c r="A9" s="22" t="s">
        <v>428</v>
      </c>
      <c r="B9" s="27" t="n">
        <f aca="false">SUM(B5:B8)</f>
        <v>100</v>
      </c>
      <c r="G9" s="28" t="n">
        <f aca="false">B9/K9</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O9/M9</f>
        <v>0.180461899110145</v>
      </c>
      <c r="O9" s="29" t="n">
        <f aca="false">SUM(O5:O8)</f>
        <v>290.6797502142</v>
      </c>
      <c r="P9" s="28" t="n">
        <f aca="false">O9/$B$22</f>
        <v>0.90233181884674</v>
      </c>
    </row>
    <row r="10" customFormat="false" ht="15" hidden="false" customHeight="false" outlineLevel="0" collapsed="false">
      <c r="A10" s="2" t="s">
        <v>429</v>
      </c>
    </row>
    <row r="12" customFormat="false" ht="15" hidden="false" customHeight="false" outlineLevel="0" collapsed="false">
      <c r="A12" s="22" t="s">
        <v>430</v>
      </c>
    </row>
    <row r="13" customFormat="false" ht="15" hidden="false" customHeight="false" outlineLevel="0" collapsed="false">
      <c r="A13" s="2" t="s">
        <v>431</v>
      </c>
      <c r="B13" s="30" t="n">
        <f aca="false">Assumptions!$D$7+Assumptions!$D$19</f>
        <v>46317</v>
      </c>
    </row>
    <row r="14" customFormat="false" ht="15" hidden="false" customHeight="false" outlineLevel="0" collapsed="false">
      <c r="A14" s="2" t="s">
        <v>432</v>
      </c>
      <c r="B14" s="30" t="n">
        <f aca="false">Assumptions!$D$20</f>
        <v>46374</v>
      </c>
    </row>
    <row r="15" customFormat="false" ht="15" hidden="false" customHeight="false" outlineLevel="0" collapsed="false">
      <c r="A15" s="2" t="s">
        <v>433</v>
      </c>
      <c r="B15" s="23" t="n">
        <f aca="false">Assumptions!$D$22+Assumptions!$D$23+Assumptions!$D$24</f>
        <v>17</v>
      </c>
    </row>
    <row r="16" customFormat="false" ht="15" hidden="false" customHeight="false" outlineLevel="0" collapsed="false">
      <c r="A16" s="2" t="s">
        <v>434</v>
      </c>
      <c r="B16" s="23" t="n">
        <f aca="false">B15+Assumptions!$D$25</f>
        <v>24</v>
      </c>
    </row>
    <row r="17" customFormat="false" ht="15" hidden="false" customHeight="false" outlineLevel="0" collapsed="false">
      <c r="A17" s="2" t="s">
        <v>435</v>
      </c>
      <c r="B17" s="30" t="n">
        <f aca="false">B14-B15</f>
        <v>46357</v>
      </c>
    </row>
    <row r="18" customFormat="false" ht="15" hidden="false" customHeight="false" outlineLevel="0" collapsed="false">
      <c r="A18" s="2" t="s">
        <v>436</v>
      </c>
      <c r="B18" s="30" t="n">
        <f aca="false">B14-B16</f>
        <v>46350</v>
      </c>
    </row>
    <row r="19" customFormat="false" ht="15" hidden="false" customHeight="false" outlineLevel="0" collapsed="false">
      <c r="A19" s="2" t="s">
        <v>12</v>
      </c>
      <c r="B19" s="31" t="n">
        <f aca="false">B17-Assumptions!$D$21</f>
        <v>46353</v>
      </c>
    </row>
    <row r="20" customFormat="false" ht="15" hidden="false" customHeight="false" outlineLevel="0" collapsed="false">
      <c r="A20" s="2" t="s">
        <v>13</v>
      </c>
      <c r="B20" s="30" t="n">
        <f aca="false">B18-Assumptions!$D$21</f>
        <v>46346</v>
      </c>
    </row>
    <row r="21" customFormat="false" ht="15" hidden="false" customHeight="false" outlineLevel="0" collapsed="false">
      <c r="A21" s="2" t="s">
        <v>437</v>
      </c>
      <c r="B21" s="23" t="n">
        <f aca="false">B17-B13+1</f>
        <v>41</v>
      </c>
    </row>
    <row r="22" customFormat="false" ht="15" hidden="false" customHeight="false" outlineLevel="0" collapsed="false">
      <c r="A22" s="2" t="s">
        <v>10</v>
      </c>
      <c r="B22" s="32" t="n">
        <f aca="false">Assumptions!$D$9*B21/7</f>
        <v>322.142857142857</v>
      </c>
    </row>
    <row r="23" customFormat="false" ht="15" hidden="false" customHeight="false" outlineLevel="0" collapsed="false">
      <c r="A23" s="2" t="s">
        <v>438</v>
      </c>
      <c r="B23" s="23" t="n">
        <f aca="false">O9</f>
        <v>290.6797502142</v>
      </c>
    </row>
    <row r="24" customFormat="false" ht="15" hidden="false" customHeight="false" outlineLevel="0" collapsed="false">
      <c r="A24" s="2" t="s">
        <v>11</v>
      </c>
      <c r="B24" s="33" t="n">
        <f aca="false">B23/B22</f>
        <v>0.90233181884674</v>
      </c>
      <c r="C24" s="22" t="str">
        <f aca="false">IF(B24&gt;1,"OVER CAPACITY – plan cannot be assessed",IF(B24&gt;Assumptions!$D$105,"Tight: little headroom","OK"))</f>
        <v>Tight: little headroom</v>
      </c>
    </row>
    <row r="25" customFormat="false" ht="15" hidden="false" customHeight="false" outlineLevel="0" collapsed="false">
      <c r="A25" s="2" t="s">
        <v>439</v>
      </c>
      <c r="B25" s="25" t="n">
        <f aca="false">B9/O9</f>
        <v>0.344021212094447</v>
      </c>
    </row>
    <row r="26" customFormat="false" ht="15" hidden="false" customHeight="false" outlineLevel="0" collapsed="false">
      <c r="A26" s="2" t="s">
        <v>440</v>
      </c>
      <c r="B26" s="32" t="n">
        <f aca="false">B22*B25</f>
        <v>110.823976181854</v>
      </c>
      <c r="C26" s="2" t="s">
        <v>441</v>
      </c>
    </row>
    <row r="28" customFormat="false" ht="15" hidden="false" customHeight="false" outlineLevel="0" collapsed="false">
      <c r="A28" s="22" t="s">
        <v>442</v>
      </c>
    </row>
    <row r="29" customFormat="false" ht="60" hidden="false" customHeight="true" outlineLevel="0" collapsed="false">
      <c r="A29" s="12" t="s">
        <v>283</v>
      </c>
      <c r="B29" s="12" t="s">
        <v>49</v>
      </c>
      <c r="C29" s="12" t="s">
        <v>443</v>
      </c>
      <c r="D29" s="12" t="s">
        <v>444</v>
      </c>
      <c r="E29" s="12" t="s">
        <v>445</v>
      </c>
      <c r="F29" s="12" t="s">
        <v>446</v>
      </c>
      <c r="G29" s="12" t="s">
        <v>447</v>
      </c>
      <c r="H29" s="12" t="s">
        <v>448</v>
      </c>
      <c r="I29" s="12" t="s">
        <v>449</v>
      </c>
      <c r="J29" s="12" t="s">
        <v>450</v>
      </c>
      <c r="K29" s="12" t="s">
        <v>451</v>
      </c>
    </row>
    <row r="30" customFormat="false" ht="15" hidden="false" customHeight="false" outlineLevel="0" collapsed="false">
      <c r="A30" s="22" t="s">
        <v>50</v>
      </c>
      <c r="B30" s="23" t="n">
        <f aca="false">B5</f>
        <v>30</v>
      </c>
      <c r="C30" s="26" t="n">
        <f aca="false">O5</f>
        <v>98.7525932400932</v>
      </c>
      <c r="D30" s="26" t="n">
        <f aca="false">SUMIFS(Channels!$N:$N,Channels!$C:$C,A30)</f>
        <v>56.060915625</v>
      </c>
      <c r="E30" s="34" t="n">
        <f aca="false">D30/B30</f>
        <v>1.8686971875</v>
      </c>
      <c r="F30" s="23" t="n">
        <f aca="false">Pool!F5</f>
        <v>570</v>
      </c>
      <c r="G30" s="25" t="n">
        <f aca="false">C30/F30</f>
        <v>0.173250163579111</v>
      </c>
      <c r="H30" s="35" t="n">
        <f aca="false">_xlfn.MAXIFS(Channels!$P:$P,Channels!$C:$C,A30,Channels!$AI:$AI,"&gt;0")</f>
        <v>1000.777000777</v>
      </c>
      <c r="I30" s="2" t="s">
        <v>452</v>
      </c>
      <c r="J30" s="2" t="s">
        <v>453</v>
      </c>
      <c r="K30" s="34" t="n">
        <f aca="false">(D30-SUMIFS(Channels!$N:$N,Channels!$A:$A,"I2-E",Channels!$C:$C,A30))/B30</f>
        <v>1.4825971875</v>
      </c>
    </row>
    <row r="31" customFormat="false" ht="15" hidden="false" customHeight="false" outlineLevel="0" collapsed="false">
      <c r="A31" s="22" t="s">
        <v>45</v>
      </c>
      <c r="B31" s="23" t="n">
        <f aca="false">B6</f>
        <v>45</v>
      </c>
      <c r="C31" s="26" t="n">
        <f aca="false">O6</f>
        <v>105.313820018365</v>
      </c>
      <c r="D31" s="26" t="n">
        <f aca="false">SUMIFS(Channels!$N:$N,Channels!$C:$C,A31)</f>
        <v>145.767375</v>
      </c>
      <c r="E31" s="34" t="n">
        <f aca="false">D31/B31</f>
        <v>3.239275</v>
      </c>
      <c r="F31" s="23" t="n">
        <f aca="false">Pool!F6</f>
        <v>1920</v>
      </c>
      <c r="G31" s="25" t="n">
        <f aca="false">C31/F31</f>
        <v>0.054850947926232</v>
      </c>
      <c r="H31" s="35" t="n">
        <f aca="false">_xlfn.MAXIFS(Channels!$P:$P,Channels!$C:$C,A31,Channels!$AI:$AI,"&gt;0")</f>
        <v>221.181512090603</v>
      </c>
      <c r="I31" s="2" t="s">
        <v>454</v>
      </c>
      <c r="J31" s="2" t="s">
        <v>455</v>
      </c>
      <c r="K31" s="34" t="n">
        <f aca="false">(D31-SUMIFS(Channels!$N:$N,Channels!$A:$A,"I2-E",Channels!$C:$C,A31))/B31</f>
        <v>3.239275</v>
      </c>
    </row>
    <row r="32" customFormat="false" ht="15" hidden="false" customHeight="false" outlineLevel="0" collapsed="false">
      <c r="A32" s="22" t="s">
        <v>55</v>
      </c>
      <c r="B32" s="23" t="n">
        <f aca="false">B7</f>
        <v>15</v>
      </c>
      <c r="C32" s="26" t="n">
        <f aca="false">O7</f>
        <v>50.2020512820513</v>
      </c>
      <c r="D32" s="26" t="n">
        <f aca="false">SUMIFS(Channels!$N:$N,Channels!$C:$C,A32)</f>
        <v>29.9680875</v>
      </c>
      <c r="E32" s="34" t="n">
        <f aca="false">D32/B32</f>
        <v>1.9978725</v>
      </c>
      <c r="F32" s="23" t="n">
        <f aca="false">Pool!F7</f>
        <v>550</v>
      </c>
      <c r="G32" s="25" t="n">
        <f aca="false">C32/F32</f>
        <v>0.0912764568764569</v>
      </c>
      <c r="H32" s="35" t="n">
        <f aca="false">_xlfn.MAXIFS(Channels!$P:$P,Channels!$C:$C,A32,Channels!$AI:$AI,"&gt;0")</f>
        <v>598.290598290598</v>
      </c>
      <c r="I32" s="2" t="s">
        <v>452</v>
      </c>
      <c r="J32" s="2" t="s">
        <v>455</v>
      </c>
      <c r="K32" s="34" t="n">
        <f aca="false">(D32-SUMIFS(Channels!$N:$N,Channels!$A:$A,"I2-E",Channels!$C:$C,A32))/B32</f>
        <v>1.9978725</v>
      </c>
    </row>
    <row r="33" customFormat="false" ht="15" hidden="false" customHeight="false" outlineLevel="0" collapsed="false">
      <c r="A33" s="22" t="s">
        <v>57</v>
      </c>
      <c r="B33" s="23" t="n">
        <f aca="false">B8</f>
        <v>10</v>
      </c>
      <c r="C33" s="26" t="n">
        <f aca="false">O8</f>
        <v>36.4112856736898</v>
      </c>
      <c r="D33" s="26" t="n">
        <f aca="false">SUMIFS(Channels!$N:$N,Channels!$C:$C,A33)</f>
        <v>17.55369</v>
      </c>
      <c r="E33" s="34" t="n">
        <f aca="false">D33/B33</f>
        <v>1.755369</v>
      </c>
      <c r="F33" s="23" t="n">
        <f aca="false">Pool!F8</f>
        <v>220</v>
      </c>
      <c r="G33" s="25" t="n">
        <f aca="false">C33/F33</f>
        <v>0.165505843971317</v>
      </c>
      <c r="H33" s="35" t="n">
        <f aca="false">_xlfn.MAXIFS(Channels!$P:$P,Channels!$C:$C,A33,Channels!$AI:$AI,"&gt;0")</f>
        <v>1000</v>
      </c>
      <c r="I33" s="2" t="s">
        <v>452</v>
      </c>
      <c r="J33" s="2" t="s">
        <v>455</v>
      </c>
      <c r="K33" s="34" t="n">
        <f aca="false">(D33-SUMIFS(Channels!$N:$N,Channels!$A:$A,"I2-E",Channels!$C:$C,A33))/B33</f>
        <v>1.755369</v>
      </c>
    </row>
    <row r="35" customFormat="false" ht="30" hidden="false" customHeight="true" outlineLevel="0" collapsed="false">
      <c r="A35" s="9" t="s">
        <v>456</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457</v>
      </c>
    </row>
    <row r="40" customFormat="false" ht="15" hidden="false" customHeight="false" outlineLevel="0" collapsed="false">
      <c r="A40" s="2" t="s">
        <v>458</v>
      </c>
      <c r="B40" s="24" t="n">
        <f aca="false">Assumptions!$D$66</f>
        <v>0.3</v>
      </c>
    </row>
    <row r="41" customFormat="false" ht="45" hidden="false" customHeight="true" outlineLevel="0" collapsed="false">
      <c r="A41" s="12" t="s">
        <v>459</v>
      </c>
      <c r="B41" s="12" t="s">
        <v>460</v>
      </c>
      <c r="C41" s="12" t="s">
        <v>11</v>
      </c>
      <c r="D41" s="12" t="s">
        <v>461</v>
      </c>
      <c r="E41" s="12" t="s">
        <v>462</v>
      </c>
      <c r="F41" s="12" t="s">
        <v>463</v>
      </c>
      <c r="G41" s="12" t="s">
        <v>464</v>
      </c>
      <c r="H41" s="12" t="s">
        <v>465</v>
      </c>
    </row>
    <row r="42" customFormat="false" ht="30" hidden="false" customHeight="true" outlineLevel="0" collapsed="false">
      <c r="A42" s="13" t="s">
        <v>466</v>
      </c>
      <c r="B42" s="23" t="n">
        <f aca="false">O9</f>
        <v>290.6797502142</v>
      </c>
      <c r="C42" s="24" t="n">
        <f aca="false">B42/($B$22)</f>
        <v>0.90233181884674</v>
      </c>
      <c r="D42" s="32" t="n">
        <f aca="false">MIN($B$9,$B$22/B42*$B$9,MIN(B5,D30*1)+MIN(B6,D31*1)+MIN(B7,D32*1)+MIN(B8,D33*1))</f>
        <v>100</v>
      </c>
      <c r="E42" s="23" t="n">
        <f aca="false">$B$9-D42</f>
        <v>0</v>
      </c>
      <c r="F42" s="35" t="n">
        <f aca="false">Budget!$C$7*1</f>
        <v>38733.4681977991</v>
      </c>
      <c r="G42" s="24" t="n">
        <f aca="false">F42/Budget!$C$7-1</f>
        <v>0</v>
      </c>
      <c r="H42" s="13" t="s">
        <v>467</v>
      </c>
    </row>
    <row r="43" customFormat="false" ht="30" hidden="false" customHeight="true" outlineLevel="0" collapsed="false">
      <c r="A43" s="13" t="s">
        <v>468</v>
      </c>
      <c r="B43" s="23" t="n">
        <f aca="false">O9/(1-$B$40)</f>
        <v>415.256786020285</v>
      </c>
      <c r="C43" s="24" t="n">
        <f aca="false">B43/($B$22)</f>
        <v>1.28904545549534</v>
      </c>
      <c r="D43" s="32" t="n">
        <f aca="false">MIN($B$9,$B$22/B43*$B$9,MIN(B5,D30*(1-$B$40))+MIN(B6,D31*(1-$B$40))+MIN(B7,D32*(1-$B$40))+MIN(B8,D33*(1-$B$40)))</f>
        <v>77.5767833272977</v>
      </c>
      <c r="E43" s="23" t="n">
        <f aca="false">$B$9-D43</f>
        <v>22.4232166727023</v>
      </c>
      <c r="F43" s="35" t="n">
        <f aca="false">Budget!$C$7*1/(1-$B$40)</f>
        <v>55333.5259968559</v>
      </c>
      <c r="G43" s="24" t="n">
        <f aca="false">F43/Budget!$C$7-1</f>
        <v>0.428571428571429</v>
      </c>
      <c r="H43" s="13" t="s">
        <v>469</v>
      </c>
    </row>
    <row r="44" customFormat="false" ht="30" hidden="false" customHeight="true" outlineLevel="0" collapsed="false">
      <c r="A44" s="13" t="s">
        <v>470</v>
      </c>
      <c r="B44" s="23" t="n">
        <f aca="false">O9/(1-$B$40)</f>
        <v>415.256786020285</v>
      </c>
      <c r="C44" s="24" t="n">
        <f aca="false">B44/($B$22)</f>
        <v>1.28904545549534</v>
      </c>
      <c r="D44" s="32" t="n">
        <f aca="false">MIN($B$9,$B$22/B44*$B$9,MIN(B5,D30*(1-$B$40))+MIN(B6,D31*(1-$B$40))+MIN(B7,D32*(1-$B$40))+MIN(B8,D33*(1-$B$40)))</f>
        <v>77.5767833272977</v>
      </c>
      <c r="E44" s="23" t="n">
        <f aca="false">$B$9-D44</f>
        <v>22.4232166727023</v>
      </c>
      <c r="F44" s="35" t="n">
        <f aca="false">Budget!$C$7*1/(1-$B$40)</f>
        <v>55333.5259968559</v>
      </c>
      <c r="G44" s="24" t="n">
        <f aca="false">F44/Budget!$C$7-1</f>
        <v>0.428571428571429</v>
      </c>
      <c r="H44" s="13" t="s">
        <v>471</v>
      </c>
    </row>
    <row r="45" customFormat="false" ht="30" hidden="false" customHeight="true" outlineLevel="0" collapsed="false">
      <c r="A45" s="13" t="s">
        <v>472</v>
      </c>
      <c r="B45" s="23" t="n">
        <f aca="false">O9</f>
        <v>290.6797502142</v>
      </c>
      <c r="C45" s="24" t="n">
        <f aca="false">B45/($B$22)</f>
        <v>0.90233181884674</v>
      </c>
      <c r="D45" s="32" t="n">
        <f aca="false">MIN($B$9,$B$22/B45*$B$9,MIN(B5,D30*(1-$B$40))+MIN(B6,D31*(1-$B$40))+MIN(B7,D32*(1-$B$40))+MIN(B8,D33*(1-$B$40)))</f>
        <v>100</v>
      </c>
      <c r="E45" s="23" t="n">
        <f aca="false">$B$9-D45</f>
        <v>0</v>
      </c>
      <c r="F45" s="35" t="n">
        <f aca="false">Budget!$C$7*1/(1-$B$40)</f>
        <v>55333.5259968559</v>
      </c>
      <c r="G45" s="24" t="n">
        <f aca="false">F45/Budget!$C$7-1</f>
        <v>0.428571428571429</v>
      </c>
      <c r="H45" s="13" t="s">
        <v>473</v>
      </c>
    </row>
    <row r="46" customFormat="false" ht="30" hidden="false" customHeight="true" outlineLevel="0" collapsed="false">
      <c r="A46" s="13" t="s">
        <v>474</v>
      </c>
      <c r="B46" s="23" t="n">
        <f aca="false">O9</f>
        <v>290.6797502142</v>
      </c>
      <c r="C46" s="24" t="n">
        <f aca="false">B46/($B$22)</f>
        <v>0.90233181884674</v>
      </c>
      <c r="D46" s="32" t="n">
        <f aca="false">MIN($B$9,$B$22/B46*$B$9,MIN(B5,D30*1)+MIN(B6,D31*1)+MIN(B7,D32*1)+MIN(B8,D33*1))</f>
        <v>100</v>
      </c>
      <c r="E46" s="23" t="n">
        <f aca="false">$B$9-D46</f>
        <v>0</v>
      </c>
      <c r="F46" s="35" t="n">
        <f aca="false">Budget!$C$7*(1+$B$40)</f>
        <v>50353.5086571388</v>
      </c>
      <c r="G46" s="24" t="n">
        <f aca="false">F46/Budget!$C$7-1</f>
        <v>0.3</v>
      </c>
      <c r="H46" s="13" t="s">
        <v>475</v>
      </c>
    </row>
    <row r="47" customFormat="false" ht="30" hidden="false" customHeight="true" outlineLevel="0" collapsed="false">
      <c r="A47" s="13" t="s">
        <v>476</v>
      </c>
      <c r="B47" s="23" t="n">
        <f aca="false">O9</f>
        <v>290.6797502142</v>
      </c>
      <c r="C47" s="24" t="n">
        <f aca="false">B47/($B$22*(1-$B$40))</f>
        <v>1.28904545549534</v>
      </c>
      <c r="D47" s="32" t="n">
        <f aca="false">MIN($B$9,$B$22*(1-$B$40)/B47*$B$9,MIN(B5,D30*1)+MIN(B6,D31*1)+MIN(B7,D32*1)+MIN(B8,D33*1))</f>
        <v>77.5767833272977</v>
      </c>
      <c r="E47" s="23" t="n">
        <f aca="false">$B$9-D47</f>
        <v>22.4232166727023</v>
      </c>
      <c r="F47" s="35" t="n">
        <f aca="false">Budget!$C$7*1</f>
        <v>38733.4681977991</v>
      </c>
      <c r="G47" s="24" t="n">
        <f aca="false">F47/Budget!$C$7-1</f>
        <v>0</v>
      </c>
      <c r="H47" s="13" t="s">
        <v>477</v>
      </c>
    </row>
    <row r="49" customFormat="false" ht="15" hidden="false" customHeight="false" outlineLevel="0" collapsed="false">
      <c r="A49" s="22" t="s">
        <v>478</v>
      </c>
      <c r="D49" s="8" t="str">
        <f aca="false">INDEX(A43:A47,MATCH(MAX(E43:E47),E43:E47,0))</f>
        <v>Qualified → signed (assessment pass rate) ×0.7</v>
      </c>
    </row>
    <row r="50" customFormat="false" ht="15" hidden="false" customHeight="true" outlineLevel="0" collapsed="false">
      <c r="A50" s="9" t="s">
        <v>479</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480</v>
      </c>
    </row>
    <row r="4" customFormat="false" ht="45" hidden="false" customHeight="true" outlineLevel="0" collapsed="false">
      <c r="A4" s="12" t="s">
        <v>283</v>
      </c>
      <c r="B4" s="12" t="s">
        <v>481</v>
      </c>
      <c r="C4" s="12" t="s">
        <v>482</v>
      </c>
      <c r="D4" s="12" t="s">
        <v>483</v>
      </c>
      <c r="E4" s="12" t="s">
        <v>484</v>
      </c>
      <c r="F4" s="12" t="s">
        <v>485</v>
      </c>
      <c r="G4" s="12" t="s">
        <v>486</v>
      </c>
      <c r="H4" s="12" t="s">
        <v>487</v>
      </c>
      <c r="I4" s="12" t="s">
        <v>488</v>
      </c>
      <c r="J4" s="12" t="s">
        <v>489</v>
      </c>
      <c r="K4" s="12" t="s">
        <v>490</v>
      </c>
    </row>
    <row r="5" customFormat="false" ht="15" hidden="false" customHeight="false" outlineLevel="0" collapsed="false">
      <c r="A5" s="22" t="s">
        <v>50</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G5/F5</f>
        <v>0.0943027951580583</v>
      </c>
      <c r="I5" s="23" t="n">
        <f aca="false">SUMIFS(Channels!$K:$K,Channels!$C:$C,A5)-SUMIFS(Channels!$K:$K,Channels!$A:$A,"I2-E",Channels!$C:$C,A5)</f>
        <v>134.75</v>
      </c>
      <c r="J5" s="24" t="n">
        <f aca="false">I5/F5</f>
        <v>0.23640350877193</v>
      </c>
      <c r="K5" s="2" t="str">
        <f aca="false">IF(H5&gt;Assumptions!$D$103,"Very hard",IF(H5&gt;Assumptions!$D$104,"Tight","Comfortable"))</f>
        <v>Comfortable</v>
      </c>
    </row>
    <row r="6" customFormat="false" ht="15" hidden="false" customHeight="false" outlineLevel="0" collapsed="false">
      <c r="A6" s="22" t="s">
        <v>45</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G6/F6</f>
        <v>0.054850947926232</v>
      </c>
      <c r="I6" s="23" t="n">
        <f aca="false">SUMIFS(Channels!$K:$K,Channels!$C:$C,A6)-SUMIFS(Channels!$K:$K,Channels!$A:$A,"I2-E",Channels!$C:$C,A6)</f>
        <v>409.75</v>
      </c>
      <c r="J6" s="24" t="n">
        <f aca="false">I6/F6</f>
        <v>0.213411458333333</v>
      </c>
      <c r="K6" s="2" t="str">
        <f aca="false">IF(H6&gt;Assumptions!$D$103,"Very hard",IF(H6&gt;Assumptions!$D$104,"Tight","Comfortable"))</f>
        <v>Comfortable</v>
      </c>
    </row>
    <row r="7" customFormat="false" ht="15" hidden="false" customHeight="false" outlineLevel="0" collapsed="false">
      <c r="A7" s="22" t="s">
        <v>55</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G7/F7</f>
        <v>0.0912764568764569</v>
      </c>
      <c r="I7" s="23" t="n">
        <f aca="false">SUMIFS(Channels!$K:$K,Channels!$C:$C,A7)-SUMIFS(Channels!$K:$K,Channels!$A:$A,"I2-E",Channels!$C:$C,A7)</f>
        <v>100.7</v>
      </c>
      <c r="J7" s="24" t="n">
        <f aca="false">I7/F7</f>
        <v>0.183090909090909</v>
      </c>
      <c r="K7" s="2" t="str">
        <f aca="false">IF(H7&gt;Assumptions!$D$103,"Very hard",IF(H7&gt;Assumptions!$D$104,"Tight","Comfortable"))</f>
        <v>Comfortable</v>
      </c>
    </row>
    <row r="8" customFormat="false" ht="15" hidden="false" customHeight="false" outlineLevel="0" collapsed="false">
      <c r="A8" s="22" t="s">
        <v>57</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G8/F8</f>
        <v>0.165505843971317</v>
      </c>
      <c r="I8" s="23" t="n">
        <f aca="false">SUMIFS(Channels!$K:$K,Channels!$C:$C,A8)-SUMIFS(Channels!$K:$K,Channels!$A:$A,"I2-E",Channels!$C:$C,A8)</f>
        <v>64.3</v>
      </c>
      <c r="J8" s="24" t="n">
        <f aca="false">I8/F8</f>
        <v>0.292272727272727</v>
      </c>
      <c r="K8" s="2" t="str">
        <f aca="false">IF(H8&gt;Assumptions!$D$103,"Very hard",IF(H8&gt;Assumptions!$D$104,"Tight","Comfortable"))</f>
        <v>Tight</v>
      </c>
    </row>
    <row r="10" customFormat="false" ht="15" hidden="false" customHeight="true" outlineLevel="0" collapsed="false">
      <c r="A10" s="9" t="s">
        <v>491</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492</v>
      </c>
    </row>
    <row r="3" customFormat="false" ht="15" hidden="false" customHeight="false" outlineLevel="0" collapsed="false">
      <c r="A3" s="22" t="s">
        <v>493</v>
      </c>
    </row>
    <row r="4" customFormat="false" ht="15" hidden="false" customHeight="false" outlineLevel="0" collapsed="false">
      <c r="A4" s="12" t="s">
        <v>494</v>
      </c>
      <c r="B4" s="12" t="s">
        <v>50</v>
      </c>
      <c r="C4" s="12" t="s">
        <v>45</v>
      </c>
      <c r="D4" s="12" t="s">
        <v>55</v>
      </c>
      <c r="E4" s="12" t="s">
        <v>57</v>
      </c>
      <c r="F4" s="12" t="s">
        <v>428</v>
      </c>
    </row>
    <row r="5" customFormat="false" ht="15" hidden="false" customHeight="false" outlineLevel="0" collapsed="false">
      <c r="A5" s="2" t="s">
        <v>495</v>
      </c>
      <c r="B5" s="23" t="n">
        <f aca="false">Assumptions!$D$134</f>
        <v>200</v>
      </c>
      <c r="C5" s="23" t="n">
        <f aca="false">Assumptions!$D$135</f>
        <v>300</v>
      </c>
      <c r="D5" s="23" t="n">
        <f aca="false">Assumptions!$D$136</f>
        <v>120</v>
      </c>
      <c r="E5" s="23" t="n">
        <f aca="false">Assumptions!$D$137</f>
        <v>80</v>
      </c>
      <c r="F5" s="27" t="n">
        <f aca="false">SUM(B5:E5)</f>
        <v>700</v>
      </c>
    </row>
    <row r="6" customFormat="false" ht="15" hidden="false" customHeight="false" outlineLevel="0" collapsed="false">
      <c r="A6" s="2" t="s">
        <v>496</v>
      </c>
      <c r="B6" s="24" t="n">
        <f aca="false">Assumptions!$D$138</f>
        <v>0.12</v>
      </c>
      <c r="C6" s="24" t="n">
        <f aca="false">Assumptions!$D$138</f>
        <v>0.12</v>
      </c>
      <c r="D6" s="24" t="n">
        <f aca="false">Assumptions!$D$138</f>
        <v>0.12</v>
      </c>
      <c r="E6" s="24" t="n">
        <f aca="false">Assumptions!$D$138</f>
        <v>0.12</v>
      </c>
    </row>
    <row r="7" customFormat="false" ht="15" hidden="false" customHeight="false" outlineLevel="0" collapsed="false">
      <c r="A7" s="2" t="s">
        <v>497</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498</v>
      </c>
      <c r="B8" s="24" t="n">
        <f aca="false">Assumptions!$D$139</f>
        <v>0.5</v>
      </c>
      <c r="C8" s="24" t="n">
        <f aca="false">Assumptions!$D$139</f>
        <v>0.5</v>
      </c>
      <c r="D8" s="24" t="n">
        <f aca="false">Assumptions!$D$139</f>
        <v>0.5</v>
      </c>
      <c r="E8" s="24" t="n">
        <f aca="false">Assumptions!$D$139</f>
        <v>0.5</v>
      </c>
    </row>
    <row r="9" customFormat="false" ht="15" hidden="false" customHeight="false" outlineLevel="0" collapsed="false">
      <c r="A9" s="2" t="s">
        <v>499</v>
      </c>
      <c r="B9" s="25" t="n">
        <f aca="false">Funnel!$G$5*Assumptions!$D$147</f>
        <v>0.3700125</v>
      </c>
      <c r="C9" s="25" t="n">
        <f aca="false">Funnel!$G$6*Assumptions!$D$147</f>
        <v>0.46575</v>
      </c>
      <c r="D9" s="25" t="n">
        <f aca="false">Funnel!$G$7*Assumptions!$D$147</f>
        <v>0.336375</v>
      </c>
      <c r="E9" s="25" t="n">
        <f aca="false">Funnel!$G$8*Assumptions!$D$147</f>
        <v>0.3079125</v>
      </c>
    </row>
    <row r="10" customFormat="false" ht="15" hidden="false" customHeight="false" outlineLevel="0" collapsed="false">
      <c r="A10" s="2" t="s">
        <v>500</v>
      </c>
      <c r="B10" s="35" t="n">
        <f aca="false">B5*Assumptions!$D$145</f>
        <v>100</v>
      </c>
      <c r="C10" s="35" t="n">
        <f aca="false">C5*Assumptions!$D$145</f>
        <v>150</v>
      </c>
      <c r="D10" s="35" t="n">
        <f aca="false">D5*Assumptions!$D$145</f>
        <v>60</v>
      </c>
      <c r="E10" s="35" t="n">
        <f aca="false">E5*Assumptions!$D$145</f>
        <v>40</v>
      </c>
      <c r="F10" s="36" t="n">
        <f aca="false">SUM(B10:E10)</f>
        <v>350</v>
      </c>
    </row>
    <row r="11" customFormat="false" ht="26.85" hidden="false" customHeight="false" outlineLevel="0" collapsed="false">
      <c r="A11" s="2" t="s">
        <v>501</v>
      </c>
      <c r="B11" s="37" t="n">
        <f aca="false">B10/B7</f>
        <v>4.16666666666667</v>
      </c>
      <c r="C11" s="37" t="n">
        <f aca="false">C10/C7</f>
        <v>4.16666666666667</v>
      </c>
      <c r="D11" s="37" t="n">
        <f aca="false">D10/D7</f>
        <v>4.16666666666667</v>
      </c>
      <c r="E11" s="37" t="n">
        <f aca="false">E10/E7</f>
        <v>4.16666666666667</v>
      </c>
      <c r="G11" s="13" t="s">
        <v>502</v>
      </c>
    </row>
    <row r="12" customFormat="false" ht="15" hidden="false" customHeight="false" outlineLevel="0" collapsed="false">
      <c r="A12" s="2" t="s">
        <v>503</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504</v>
      </c>
      <c r="B13" s="26" t="n">
        <f aca="false">Assumptions!$D$140</f>
        <v>25</v>
      </c>
      <c r="C13" s="26" t="n">
        <f aca="false">Assumptions!$D$141</f>
        <v>30</v>
      </c>
      <c r="D13" s="26" t="n">
        <f aca="false">Assumptions!$D$142</f>
        <v>10</v>
      </c>
      <c r="E13" s="26" t="n">
        <f aca="false">Assumptions!$D$143</f>
        <v>8</v>
      </c>
      <c r="F13" s="29" t="n">
        <f aca="false">SUM(B13:E13)</f>
        <v>73</v>
      </c>
    </row>
    <row r="14" customFormat="false" ht="15" hidden="false" customHeight="false" outlineLevel="0" collapsed="false">
      <c r="A14" s="2" t="s">
        <v>505</v>
      </c>
      <c r="B14" s="24" t="n">
        <f aca="false">Assumptions!$D$144</f>
        <v>0.45</v>
      </c>
      <c r="C14" s="24" t="n">
        <f aca="false">Assumptions!$D$144</f>
        <v>0.45</v>
      </c>
      <c r="D14" s="24" t="n">
        <f aca="false">Assumptions!$D$144</f>
        <v>0.45</v>
      </c>
      <c r="E14" s="24" t="n">
        <f aca="false">Assumptions!$D$144</f>
        <v>0.45</v>
      </c>
    </row>
    <row r="15" customFormat="false" ht="15" hidden="false" customHeight="false" outlineLevel="0" collapsed="false">
      <c r="A15" s="2" t="s">
        <v>506</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507</v>
      </c>
      <c r="B16" s="35" t="n">
        <f aca="false">B15*Assumptions!$D$146</f>
        <v>4162.640625</v>
      </c>
      <c r="C16" s="35" t="n">
        <f aca="false">C15*Assumptions!$D$146</f>
        <v>6287.625</v>
      </c>
      <c r="D16" s="35" t="n">
        <f aca="false">D15*Assumptions!$D$146</f>
        <v>1513.6875</v>
      </c>
      <c r="E16" s="35" t="n">
        <f aca="false">E15*Assumptions!$D$146</f>
        <v>1108.485</v>
      </c>
      <c r="F16" s="36" t="n">
        <f aca="false">SUM(B16:E16)</f>
        <v>13072.438125</v>
      </c>
    </row>
    <row r="17" customFormat="false" ht="26.85" hidden="false" customHeight="false" outlineLevel="0" collapsed="false">
      <c r="A17" s="2" t="s">
        <v>508</v>
      </c>
      <c r="B17" s="37" t="n">
        <f aca="false">B16/B13</f>
        <v>166.505625</v>
      </c>
      <c r="C17" s="37" t="n">
        <f aca="false">C16/C13</f>
        <v>209.5875</v>
      </c>
      <c r="D17" s="37" t="n">
        <f aca="false">D16/D13</f>
        <v>151.36875</v>
      </c>
      <c r="E17" s="37" t="n">
        <f aca="false">E16/E13</f>
        <v>138.560625</v>
      </c>
      <c r="G17" s="13" t="s">
        <v>509</v>
      </c>
    </row>
    <row r="18" customFormat="false" ht="15" hidden="false" customHeight="false" outlineLevel="0" collapsed="false">
      <c r="A18" s="2" t="s">
        <v>510</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511</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512</v>
      </c>
      <c r="B20" s="35" t="n">
        <f aca="false">B19/B18</f>
        <v>495.49510278823</v>
      </c>
      <c r="C20" s="35" t="n">
        <f aca="false">C19/C18</f>
        <v>438.795593384965</v>
      </c>
      <c r="D20" s="35" t="n">
        <f aca="false">D19/D18</f>
        <v>399.860884810718</v>
      </c>
      <c r="E20" s="35" t="n">
        <f aca="false">E19/E18</f>
        <v>444.036551818795</v>
      </c>
      <c r="F20" s="36" t="n">
        <f aca="false">F19/F18</f>
        <v>450.47833548117</v>
      </c>
    </row>
    <row r="23" customFormat="false" ht="15" hidden="false" customHeight="false" outlineLevel="0" collapsed="false">
      <c r="A23" s="22" t="s">
        <v>513</v>
      </c>
    </row>
    <row r="24" customFormat="false" ht="15" hidden="false" customHeight="false" outlineLevel="0" collapsed="false">
      <c r="A24" s="2" t="s">
        <v>514</v>
      </c>
      <c r="B24" s="23" t="n">
        <f aca="false">Assumptions!$D$148</f>
        <v>12000</v>
      </c>
    </row>
    <row r="25" customFormat="false" ht="15" hidden="false" customHeight="false" outlineLevel="0" collapsed="false">
      <c r="A25" s="2" t="s">
        <v>515</v>
      </c>
      <c r="B25" s="25" t="n">
        <f aca="false">Assumptions!$D$149</f>
        <v>0.025</v>
      </c>
    </row>
    <row r="26" customFormat="false" ht="15" hidden="false" customHeight="false" outlineLevel="0" collapsed="false">
      <c r="A26" s="2" t="s">
        <v>516</v>
      </c>
      <c r="B26" s="23" t="n">
        <f aca="false">B24*B25</f>
        <v>300</v>
      </c>
    </row>
    <row r="27" customFormat="false" ht="15" hidden="false" customHeight="false" outlineLevel="0" collapsed="false">
      <c r="A27" s="2" t="s">
        <v>517</v>
      </c>
      <c r="B27" s="35" t="n">
        <f aca="false">Assumptions!$D$150</f>
        <v>30</v>
      </c>
    </row>
    <row r="28" customFormat="false" ht="15" hidden="false" customHeight="false" outlineLevel="0" collapsed="false">
      <c r="A28" s="2" t="s">
        <v>518</v>
      </c>
      <c r="B28" s="24" t="n">
        <f aca="false">Assumptions!$D$151</f>
        <v>0.15</v>
      </c>
    </row>
    <row r="29" customFormat="false" ht="15" hidden="false" customHeight="false" outlineLevel="0" collapsed="false">
      <c r="A29" s="2" t="s">
        <v>519</v>
      </c>
      <c r="B29" s="26" t="n">
        <f aca="false">B26*B28</f>
        <v>45</v>
      </c>
    </row>
    <row r="30" customFormat="false" ht="15" hidden="false" customHeight="false" outlineLevel="0" collapsed="false">
      <c r="A30" s="2" t="s">
        <v>520</v>
      </c>
      <c r="B30" s="25" t="n">
        <f aca="false">Funnel!$G$5*Assumptions!$D$152</f>
        <v>0.2574</v>
      </c>
    </row>
    <row r="31" customFormat="false" ht="15" hidden="false" customHeight="false" outlineLevel="0" collapsed="false">
      <c r="A31" s="2" t="s">
        <v>521</v>
      </c>
      <c r="B31" s="26" t="n">
        <f aca="false">B29*B30</f>
        <v>11.583</v>
      </c>
    </row>
    <row r="32" customFormat="false" ht="15" hidden="false" customHeight="false" outlineLevel="0" collapsed="false">
      <c r="A32" s="2" t="s">
        <v>522</v>
      </c>
      <c r="B32" s="35" t="n">
        <f aca="false">B26*B27</f>
        <v>9000</v>
      </c>
    </row>
    <row r="33" customFormat="false" ht="15" hidden="false" customHeight="false" outlineLevel="0" collapsed="false">
      <c r="A33" s="2" t="s">
        <v>523</v>
      </c>
      <c r="B33" s="35" t="n">
        <f aca="false">Assumptions!$D$153</f>
        <v>1200</v>
      </c>
    </row>
    <row r="34" customFormat="false" ht="15" hidden="false" customHeight="false" outlineLevel="0" collapsed="false">
      <c r="A34" s="2" t="s">
        <v>524</v>
      </c>
      <c r="B34" s="35" t="n">
        <f aca="false">(B32+B33)/B31</f>
        <v>880.600880600881</v>
      </c>
    </row>
    <row r="37" customFormat="false" ht="15" hidden="false" customHeight="false" outlineLevel="0" collapsed="false">
      <c r="A37" s="22" t="s">
        <v>525</v>
      </c>
    </row>
    <row r="38" customFormat="false" ht="15" hidden="false" customHeight="false" outlineLevel="0" collapsed="false">
      <c r="A38" s="2" t="s">
        <v>526</v>
      </c>
      <c r="B38" s="37" t="n">
        <f aca="false">B44+B45</f>
        <v>19.5</v>
      </c>
    </row>
    <row r="39" customFormat="false" ht="15" hidden="false" customHeight="false" outlineLevel="0" collapsed="false">
      <c r="A39" s="2" t="s">
        <v>527</v>
      </c>
      <c r="B39" s="24" t="n">
        <f aca="false">Assumptions!$D$155</f>
        <v>0.22</v>
      </c>
    </row>
    <row r="40" customFormat="false" ht="15" hidden="false" customHeight="false" outlineLevel="0" collapsed="false">
      <c r="A40" s="2" t="s">
        <v>516</v>
      </c>
      <c r="B40" s="23" t="n">
        <f aca="false">Assumptions!$D$156</f>
        <v>450</v>
      </c>
    </row>
    <row r="41" customFormat="false" ht="15" hidden="false" customHeight="false" outlineLevel="0" collapsed="false">
      <c r="A41" s="2" t="s">
        <v>528</v>
      </c>
      <c r="B41" s="25" t="n">
        <f aca="false">Funnel!$G$6*Assumptions!$D$157</f>
        <v>0.4455</v>
      </c>
    </row>
    <row r="42" customFormat="false" ht="15" hidden="false" customHeight="false" outlineLevel="0" collapsed="false">
      <c r="A42" s="2" t="s">
        <v>529</v>
      </c>
      <c r="B42" s="26" t="n">
        <f aca="false">Assumptions!$D$10*Assumptions!$D$12</f>
        <v>18</v>
      </c>
    </row>
    <row r="43" customFormat="false" ht="15" hidden="false" customHeight="false" outlineLevel="0" collapsed="false">
      <c r="A43" s="2" t="s">
        <v>530</v>
      </c>
      <c r="B43" s="26" t="n">
        <f aca="false">MIN(B40*B39*B41,B42)</f>
        <v>18</v>
      </c>
    </row>
    <row r="44" customFormat="false" ht="15" hidden="false" customHeight="false" outlineLevel="0" collapsed="false">
      <c r="A44" s="2" t="s">
        <v>531</v>
      </c>
      <c r="B44" s="37" t="n">
        <f aca="false">Assumptions!$D$154</f>
        <v>12</v>
      </c>
    </row>
    <row r="45" customFormat="false" ht="15" hidden="false" customHeight="false" outlineLevel="0" collapsed="false">
      <c r="A45" s="2" t="s">
        <v>532</v>
      </c>
      <c r="B45" s="37" t="n">
        <f aca="false">Assumptions!$D$158/60*Assumptions!$D$159</f>
        <v>7.5</v>
      </c>
    </row>
    <row r="46" customFormat="false" ht="15" hidden="false" customHeight="false" outlineLevel="0" collapsed="false">
      <c r="A46" s="2" t="s">
        <v>533</v>
      </c>
      <c r="B46" s="35" t="n">
        <f aca="false">Assumptions!$D$160</f>
        <v>400</v>
      </c>
    </row>
    <row r="47" customFormat="false" ht="15" hidden="false" customHeight="false" outlineLevel="0" collapsed="false">
      <c r="A47" s="2" t="s">
        <v>534</v>
      </c>
      <c r="B47" s="23" t="n">
        <f aca="false">B43/B41/B39</f>
        <v>183.654729109275</v>
      </c>
    </row>
    <row r="48" customFormat="false" ht="15" hidden="false" customHeight="false" outlineLevel="0" collapsed="false">
      <c r="A48" s="2" t="s">
        <v>535</v>
      </c>
      <c r="B48" s="35" t="n">
        <f aca="false">(B47*B38+B46)/B43</f>
        <v>221.181512090603</v>
      </c>
    </row>
    <row r="51" customFormat="false" ht="15" hidden="false" customHeight="false" outlineLevel="0" collapsed="false">
      <c r="A51" s="22" t="s">
        <v>536</v>
      </c>
    </row>
    <row r="52" customFormat="false" ht="60" hidden="false" customHeight="true" outlineLevel="0" collapsed="false">
      <c r="A52" s="12" t="s">
        <v>537</v>
      </c>
      <c r="B52" s="12" t="s">
        <v>538</v>
      </c>
      <c r="C52" s="12" t="s">
        <v>539</v>
      </c>
      <c r="D52" s="12" t="s">
        <v>540</v>
      </c>
      <c r="E52" s="12" t="s">
        <v>541</v>
      </c>
      <c r="F52" s="12" t="s">
        <v>542</v>
      </c>
      <c r="G52" s="12" t="s">
        <v>543</v>
      </c>
      <c r="H52" s="12" t="s">
        <v>544</v>
      </c>
      <c r="I52" s="12" t="s">
        <v>545</v>
      </c>
      <c r="J52" s="12" t="s">
        <v>546</v>
      </c>
      <c r="K52" s="12" t="s">
        <v>547</v>
      </c>
    </row>
    <row r="53" customFormat="false" ht="48" hidden="false" customHeight="true" outlineLevel="0" collapsed="false">
      <c r="A53" s="22" t="s">
        <v>548</v>
      </c>
      <c r="B53" s="13" t="s">
        <v>549</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550</v>
      </c>
      <c r="G53" s="23" t="n">
        <f aca="false">MAX(1,ROUNDDOWN(E53*Assumptions!$D$93,0))</f>
        <v>19</v>
      </c>
      <c r="H53" s="2" t="s">
        <v>551</v>
      </c>
      <c r="I53" s="23" t="n">
        <f aca="false">MAX(1,ROUNDUP(E53*Assumptions!$D$95,0))</f>
        <v>10</v>
      </c>
      <c r="J53" s="2" t="s">
        <v>551</v>
      </c>
      <c r="K53" s="13" t="s">
        <v>552</v>
      </c>
    </row>
    <row r="54" customFormat="false" ht="48" hidden="false" customHeight="true" outlineLevel="0" collapsed="false">
      <c r="A54" s="22" t="s">
        <v>553</v>
      </c>
      <c r="B54" s="13" t="s">
        <v>554</v>
      </c>
      <c r="C54" s="24" t="n">
        <f aca="false">(Assumptions!$D$55+Assumptions!$D$56+Assumptions!$D$57)</f>
        <v>0.28</v>
      </c>
      <c r="D54" s="35" t="n">
        <f aca="false">B33+SUMIFS(Channels!$X:$X,Channels!$A:$A,"I2-E")*(Assumptions!$D$55+Assumptions!$D$56+Assumptions!$D$57)</f>
        <v>3720</v>
      </c>
      <c r="E54" s="26" t="n">
        <f aca="false">SUMIFS(Channels!$V:$V,Channels!$A:$A,"I2-E")*(Assumptions!$D$55+Assumptions!$D$56+Assumptions!$D$57)</f>
        <v>12.6</v>
      </c>
      <c r="F54" s="35" t="n">
        <f aca="false">B27/B28</f>
        <v>200</v>
      </c>
      <c r="G54" s="23" t="n">
        <f aca="false">MAX(1,ROUNDDOWN(E54*Assumptions!$D$93,0))</f>
        <v>7</v>
      </c>
      <c r="H54" s="35" t="n">
        <f aca="false">ROUND(F54*Assumptions!$D$94/10,0)*10</f>
        <v>250</v>
      </c>
      <c r="I54" s="23" t="n">
        <f aca="false">MAX(1,ROUNDUP(E54*Assumptions!$D$95,0))</f>
        <v>4</v>
      </c>
      <c r="J54" s="35" t="n">
        <f aca="false">ROUND(F54*Assumptions!$D$96/10,0)*10</f>
        <v>300</v>
      </c>
      <c r="K54" s="13" t="s">
        <v>555</v>
      </c>
    </row>
    <row r="55" customFormat="false" ht="48" hidden="false" customHeight="true" outlineLevel="0" collapsed="false">
      <c r="A55" s="22" t="s">
        <v>556</v>
      </c>
      <c r="B55" s="13" t="s">
        <v>557</v>
      </c>
      <c r="C55" s="24" t="n">
        <f aca="false">(Assumptions!$D$55+Assumptions!$D$56+Assumptions!$D$57)</f>
        <v>0.28</v>
      </c>
      <c r="D55" s="35" t="n">
        <f aca="false">B46+SUMIFS(Channels!$X:$X,Channels!$A:$A,"I3-M")*(Assumptions!$D$55+Assumptions!$D$56+Assumptions!$D$57)</f>
        <v>1168.69133483596</v>
      </c>
      <c r="E55" s="26" t="n">
        <f aca="false">SUMIFS(Channels!$V:$V,Channels!$A:$A,"I3-M")*(Assumptions!$D$55+Assumptions!$D$56+Assumptions!$D$57)</f>
        <v>8.67241505968779</v>
      </c>
      <c r="F55" s="35" t="n">
        <f aca="false">B38/B39</f>
        <v>88.6363636363636</v>
      </c>
      <c r="G55" s="23" t="n">
        <f aca="false">MAX(1,ROUNDDOWN(E55*Assumptions!$D$93,0))</f>
        <v>5</v>
      </c>
      <c r="H55" s="35" t="n">
        <f aca="false">ROUND(F55*Assumptions!$D$94/10,0)*10</f>
        <v>110</v>
      </c>
      <c r="I55" s="23" t="n">
        <f aca="false">MAX(1,ROUNDUP(E55*Assumptions!$D$95,0))</f>
        <v>3</v>
      </c>
      <c r="J55" s="35" t="n">
        <f aca="false">ROUND(F55*Assumptions!$D$96/10,0)*10</f>
        <v>130</v>
      </c>
      <c r="K55" s="13" t="s">
        <v>558</v>
      </c>
    </row>
    <row r="57" customFormat="false" ht="15" hidden="false" customHeight="false" outlineLevel="0" collapsed="false">
      <c r="A57" s="2" t="s">
        <v>559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560</v>
      </c>
    </row>
    <row r="2" customFormat="false" ht="15" hidden="false" customHeight="false" outlineLevel="0" collapsed="false">
      <c r="A2" s="2" t="s">
        <v>561</v>
      </c>
    </row>
    <row r="3" customFormat="false" ht="15" hidden="false" customHeight="false" outlineLevel="0" collapsed="false">
      <c r="A3" s="2" t="s">
        <v>562</v>
      </c>
    </row>
    <row r="4" customFormat="false" ht="60" hidden="false" customHeight="true" outlineLevel="0" collapsed="false">
      <c r="A4" s="12" t="s">
        <v>22</v>
      </c>
      <c r="B4" s="12" t="s">
        <v>282</v>
      </c>
      <c r="C4" s="12" t="s">
        <v>283</v>
      </c>
      <c r="D4" s="12" t="s">
        <v>563</v>
      </c>
      <c r="E4" s="12" t="s">
        <v>284</v>
      </c>
      <c r="F4" s="12" t="s">
        <v>564</v>
      </c>
      <c r="G4" s="12" t="s">
        <v>565</v>
      </c>
      <c r="H4" s="12" t="s">
        <v>517</v>
      </c>
      <c r="I4" s="12" t="s">
        <v>287</v>
      </c>
      <c r="J4" s="12" t="s">
        <v>516</v>
      </c>
      <c r="K4" s="12" t="s">
        <v>566</v>
      </c>
      <c r="L4" s="12" t="s">
        <v>418</v>
      </c>
      <c r="M4" s="12" t="s">
        <v>567</v>
      </c>
      <c r="N4" s="12" t="s">
        <v>568</v>
      </c>
      <c r="O4" s="12" t="s">
        <v>569</v>
      </c>
      <c r="P4" s="12" t="s">
        <v>570</v>
      </c>
      <c r="Q4" s="12" t="s">
        <v>571</v>
      </c>
      <c r="R4" s="12" t="s">
        <v>572</v>
      </c>
      <c r="S4" s="12" t="s">
        <v>573</v>
      </c>
      <c r="T4" s="12" t="s">
        <v>574</v>
      </c>
      <c r="U4" s="12" t="s">
        <v>575</v>
      </c>
      <c r="V4" s="12" t="s">
        <v>576</v>
      </c>
      <c r="W4" s="12" t="s">
        <v>577</v>
      </c>
      <c r="X4" s="12" t="s">
        <v>578</v>
      </c>
      <c r="Y4" s="12" t="s">
        <v>579</v>
      </c>
      <c r="Z4" s="12" t="s">
        <v>580</v>
      </c>
      <c r="AA4" s="12" t="s">
        <v>581</v>
      </c>
      <c r="AB4" s="12" t="s">
        <v>582</v>
      </c>
      <c r="AC4" s="12" t="s">
        <v>583</v>
      </c>
      <c r="AD4" s="12" t="s">
        <v>584</v>
      </c>
      <c r="AE4" s="12" t="s">
        <v>585</v>
      </c>
      <c r="AF4" s="12" t="s">
        <v>586</v>
      </c>
      <c r="AG4" s="12" t="s">
        <v>587</v>
      </c>
      <c r="AH4" s="12" t="s">
        <v>588</v>
      </c>
      <c r="AI4" s="12" t="s">
        <v>589</v>
      </c>
    </row>
    <row r="5" customFormat="false" ht="15" hidden="false" customHeight="false" outlineLevel="0" collapsed="false">
      <c r="A5" s="2" t="str">
        <f aca="false">Assumptions!A111</f>
        <v>C01</v>
      </c>
      <c r="B5" s="2" t="str">
        <f aca="false">Assumptions!B111</f>
        <v>Organic (Tesla careers, BA Jobbörse, Google for Jobs)</v>
      </c>
      <c r="C5" s="2" t="str">
        <f aca="false">Assumptions!C111</f>
        <v>Electricians</v>
      </c>
      <c r="D5" s="2" t="s">
        <v>282</v>
      </c>
      <c r="E5" s="2" t="str">
        <f aca="false">Assumptions!D111</f>
        <v>Free</v>
      </c>
      <c r="F5" s="37" t="n">
        <f aca="false">Assumptions!E111</f>
        <v>0</v>
      </c>
      <c r="G5" s="23" t="str">
        <f aca="false">IF(E5="Free","",Assumptions!F111)</f>
        <v/>
      </c>
      <c r="H5" s="37" t="n">
        <f aca="false">IF(E5="CPC",F5/G5,IF(E5="Slot",F5/G5,F5))</f>
        <v>0</v>
      </c>
      <c r="I5" s="24" t="n">
        <f aca="false">Assumptions!G111</f>
        <v>0.08</v>
      </c>
      <c r="J5" s="23" t="n">
        <f aca="false">IF(E5="Slot",Assumptions!H111*G5,Assumptions!H111)</f>
        <v>150</v>
      </c>
      <c r="K5" s="26" t="n">
        <f aca="false">J5*I5</f>
        <v>12</v>
      </c>
      <c r="L5" s="25" t="n">
        <f aca="false">INDEX(Funnel!$G$5:$G$8,MATCH(C5,Funnel!$A$5:$A$8,0))*M5</f>
        <v>0.32175</v>
      </c>
      <c r="M5" s="38" t="n">
        <f aca="false">Assumptions!I111</f>
        <v>1</v>
      </c>
      <c r="N5" s="26" t="n">
        <f aca="false">K5*L5</f>
        <v>3.861</v>
      </c>
      <c r="O5" s="35" t="n">
        <f aca="false">IF(I5&gt;0,H5/I5,0)</f>
        <v>0</v>
      </c>
      <c r="P5" s="35" t="n">
        <f aca="false">IF(N5&gt;0,(N5/L5/I5*H5+Assumptions!J111)/N5,0)</f>
        <v>0</v>
      </c>
      <c r="Q5" s="39" t="n">
        <f aca="false">P5+ROW()/1000000</f>
        <v>5E-006</v>
      </c>
      <c r="R5" s="23" t="n">
        <f aca="false">COUNTIFS($C$5:$C$34,C5,$Q$5:$Q$34,"&lt;"&amp;Q5)+1</f>
        <v>1</v>
      </c>
      <c r="S5" s="26" t="n">
        <f aca="false">SUMIFS($AH$5:$AH$34,$C$5:$C$34,C5,$Q$5:$Q$34,"&lt;"&amp;Q5)</f>
        <v>0</v>
      </c>
      <c r="T5" s="26" t="n">
        <f aca="false">INDEX(Funnel!$B$5:$B$8,MATCH(C5,Funnel!$A$5:$A$8,0))-SUMIFS($AG$5:$AG$34,$C$5:$C$34,C5)</f>
        <v>27.6712125</v>
      </c>
      <c r="U5" s="40" t="n">
        <f aca="false">AG5+AI5</f>
        <v>3.861</v>
      </c>
      <c r="V5" s="26" t="n">
        <f aca="false">IF(L5&gt;0,U5/L5,0)</f>
        <v>12</v>
      </c>
      <c r="W5" s="23" t="n">
        <f aca="false">IF(I5&gt;0,V5/I5,0)</f>
        <v>150</v>
      </c>
      <c r="X5" s="35" t="n">
        <f aca="false">IF(E5="Slot",ROUNDUP(W5/G5,0)*F5,W5*H5)</f>
        <v>0</v>
      </c>
      <c r="Y5" s="35" t="n">
        <f aca="false">IF(U5&gt;0,Assumptions!J111,0)</f>
        <v>0</v>
      </c>
      <c r="Z5" s="35" t="n">
        <f aca="false">IF(AND(D5="Channel",OR(E5="CPC",E5="CPA")),MIN(Assumptions!$D$49,J5*H5),0)</f>
        <v>0</v>
      </c>
      <c r="AA5" s="35" t="n">
        <f aca="false">X5+Y5</f>
        <v>0</v>
      </c>
      <c r="AB5" s="35" t="n">
        <f aca="false">IF(U5&gt;0,(X5+Y5)/U5,"–")</f>
        <v>0</v>
      </c>
      <c r="AC5" s="23" t="n">
        <f aca="false">COUNTIF($Q$5:$Q$34,"&lt;"&amp;Q5)+1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Assumptions!A112</f>
        <v>C02</v>
      </c>
      <c r="B6" s="2" t="str">
        <f aca="false">Assumptions!B112</f>
        <v>Organic (Tesla careers, BA Jobbörse, Google for Jobs)</v>
      </c>
      <c r="C6" s="2" t="str">
        <f aca="false">Assumptions!C112</f>
        <v>Mechatronics</v>
      </c>
      <c r="D6" s="2" t="s">
        <v>282</v>
      </c>
      <c r="E6" s="2" t="str">
        <f aca="false">Assumptions!D112</f>
        <v>Free</v>
      </c>
      <c r="F6" s="37" t="n">
        <f aca="false">Assumptions!E112</f>
        <v>0</v>
      </c>
      <c r="G6" s="23" t="str">
        <f aca="false">IF(E6="Free","",Assumptions!F112)</f>
        <v/>
      </c>
      <c r="H6" s="37" t="n">
        <f aca="false">IF(E6="CPC",F6/G6,IF(E6="Slot",F6/G6,F6))</f>
        <v>0</v>
      </c>
      <c r="I6" s="24" t="n">
        <f aca="false">Assumptions!G112</f>
        <v>0.18</v>
      </c>
      <c r="J6" s="23" t="n">
        <f aca="false">IF(E6="Slot",Assumptions!H112*G6,Assumptions!H112)</f>
        <v>200</v>
      </c>
      <c r="K6" s="26" t="n">
        <f aca="false">J6*I6</f>
        <v>36</v>
      </c>
      <c r="L6" s="25" t="n">
        <f aca="false">INDEX(Funnel!$G$5:$G$8,MATCH(C6,Funnel!$A$5:$A$8,0))*M6</f>
        <v>0.405</v>
      </c>
      <c r="M6" s="38" t="n">
        <f aca="false">Assumptions!I112</f>
        <v>1</v>
      </c>
      <c r="N6" s="26" t="n">
        <f aca="false">K6*L6</f>
        <v>14.58</v>
      </c>
      <c r="O6" s="35" t="n">
        <f aca="false">IF(I6&gt;0,H6/I6,0)</f>
        <v>0</v>
      </c>
      <c r="P6" s="35" t="n">
        <f aca="false">IF(N6&gt;0,(N6/L6/I6*H6+Assumptions!J112)/N6,0)</f>
        <v>0</v>
      </c>
      <c r="Q6" s="39" t="n">
        <f aca="false">P6+ROW()/1000000</f>
        <v>6E-006</v>
      </c>
      <c r="R6" s="23" t="n">
        <f aca="false">COUNTIFS($C$5:$C$34,C6,$Q$5:$Q$34,"&lt;"&amp;Q6)+1</f>
        <v>1</v>
      </c>
      <c r="S6" s="26" t="n">
        <f aca="false">SUMIFS($AH$5:$AH$34,$C$5:$C$34,C6,$Q$5:$Q$34,"&lt;"&amp;Q6)</f>
        <v>0</v>
      </c>
      <c r="T6" s="26" t="n">
        <f aca="false">INDEX(Funnel!$B$5:$B$8,MATCH(C6,Funnel!$A$5:$A$8,0))-SUMIFS($AG$5:$AG$34,$C$5:$C$34,C6)</f>
        <v>36.7619318181818</v>
      </c>
      <c r="U6" s="40" t="n">
        <f aca="false">AG6+AI6</f>
        <v>14.58</v>
      </c>
      <c r="V6" s="26" t="n">
        <f aca="false">IF(L6&gt;0,U6/L6,0)</f>
        <v>36</v>
      </c>
      <c r="W6" s="23" t="n">
        <f aca="false">IF(I6&gt;0,V6/I6,0)</f>
        <v>200</v>
      </c>
      <c r="X6" s="35" t="n">
        <f aca="false">IF(E6="Slot",ROUNDUP(W6/G6,0)*F6,W6*H6)</f>
        <v>0</v>
      </c>
      <c r="Y6" s="35" t="n">
        <f aca="false">IF(U6&gt;0,Assumptions!J112,0)</f>
        <v>0</v>
      </c>
      <c r="Z6" s="35" t="n">
        <f aca="false">IF(AND(D6="Channel",OR(E6="CPC",E6="CPA")),MIN(Assumptions!$D$49,J6*H6),0)</f>
        <v>0</v>
      </c>
      <c r="AA6" s="35" t="n">
        <f aca="false">X6+Y6</f>
        <v>0</v>
      </c>
      <c r="AB6" s="35" t="n">
        <f aca="false">IF(U6&gt;0,(X6+Y6)/U6,"–")</f>
        <v>0</v>
      </c>
      <c r="AC6" s="23" t="n">
        <f aca="false">COUNTIF($Q$5:$Q$34,"&lt;"&amp;Q6)+1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Assumptions!A113</f>
        <v>C03</v>
      </c>
      <c r="B7" s="2" t="str">
        <f aca="false">Assumptions!B113</f>
        <v>Organic (Tesla careers, BA Jobbörse, Google for Jobs)</v>
      </c>
      <c r="C7" s="2" t="str">
        <f aca="false">Assumptions!C113</f>
        <v>Automation</v>
      </c>
      <c r="D7" s="2" t="s">
        <v>282</v>
      </c>
      <c r="E7" s="2" t="str">
        <f aca="false">Assumptions!D113</f>
        <v>Free</v>
      </c>
      <c r="F7" s="37" t="n">
        <f aca="false">Assumptions!E113</f>
        <v>0</v>
      </c>
      <c r="G7" s="23" t="str">
        <f aca="false">IF(E7="Free","",Assumptions!F113)</f>
        <v/>
      </c>
      <c r="H7" s="37" t="n">
        <f aca="false">IF(E7="CPC",F7/G7,IF(E7="Slot",F7/G7,F7))</f>
        <v>0</v>
      </c>
      <c r="I7" s="24" t="n">
        <f aca="false">Assumptions!G113</f>
        <v>0.1</v>
      </c>
      <c r="J7" s="23" t="n">
        <f aca="false">IF(E7="Slot",Assumptions!H113*G7,Assumptions!H113)</f>
        <v>80</v>
      </c>
      <c r="K7" s="26" t="n">
        <f aca="false">J7*I7</f>
        <v>8</v>
      </c>
      <c r="L7" s="25" t="n">
        <f aca="false">INDEX(Funnel!$G$5:$G$8,MATCH(C7,Funnel!$A$5:$A$8,0))*M7</f>
        <v>0.2925</v>
      </c>
      <c r="M7" s="38" t="n">
        <f aca="false">Assumptions!I113</f>
        <v>1</v>
      </c>
      <c r="N7" s="26" t="n">
        <f aca="false">K7*L7</f>
        <v>2.34</v>
      </c>
      <c r="O7" s="35" t="n">
        <f aca="false">IF(I7&gt;0,H7/I7,0)</f>
        <v>0</v>
      </c>
      <c r="P7" s="35" t="n">
        <f aca="false">IF(N7&gt;0,(N7/L7/I7*H7+Assumptions!J113)/N7,0)</f>
        <v>0</v>
      </c>
      <c r="Q7" s="39" t="n">
        <f aca="false">P7+ROW()/1000000</f>
        <v>7E-006</v>
      </c>
      <c r="R7" s="23" t="n">
        <f aca="false">COUNTIFS($C$5:$C$34,C7,$Q$5:$Q$34,"&lt;"&amp;Q7)+1</f>
        <v>1</v>
      </c>
      <c r="S7" s="26" t="n">
        <f aca="false">SUMIFS($AH$5:$AH$34,$C$5:$C$34,C7,$Q$5:$Q$34,"&lt;"&amp;Q7)</f>
        <v>0</v>
      </c>
      <c r="T7" s="26" t="n">
        <f aca="false">INDEX(Funnel!$B$5:$B$8,MATCH(C7,Funnel!$A$5:$A$8,0))-SUMIFS($AG$5:$AG$34,$C$5:$C$34,C7)</f>
        <v>12.114411525974</v>
      </c>
      <c r="U7" s="40" t="n">
        <f aca="false">AG7+AI7</f>
        <v>2.34</v>
      </c>
      <c r="V7" s="26" t="n">
        <f aca="false">IF(L7&gt;0,U7/L7,0)</f>
        <v>8</v>
      </c>
      <c r="W7" s="23" t="n">
        <f aca="false">IF(I7&gt;0,V7/I7,0)</f>
        <v>80</v>
      </c>
      <c r="X7" s="35" t="n">
        <f aca="false">IF(E7="Slot",ROUNDUP(W7/G7,0)*F7,W7*H7)</f>
        <v>0</v>
      </c>
      <c r="Y7" s="35" t="n">
        <f aca="false">IF(U7&gt;0,Assumptions!J113,0)</f>
        <v>0</v>
      </c>
      <c r="Z7" s="35" t="n">
        <f aca="false">IF(AND(D7="Channel",OR(E7="CPC",E7="CPA")),MIN(Assumptions!$D$49,J7*H7),0)</f>
        <v>0</v>
      </c>
      <c r="AA7" s="35" t="n">
        <f aca="false">X7+Y7</f>
        <v>0</v>
      </c>
      <c r="AB7" s="35" t="n">
        <f aca="false">IF(U7&gt;0,(X7+Y7)/U7,"–")</f>
        <v>0</v>
      </c>
      <c r="AC7" s="23" t="n">
        <f aca="false">COUNTIF($Q$5:$Q$34,"&lt;"&amp;Q7)+1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Assumptions!A114</f>
        <v>C04</v>
      </c>
      <c r="B8" s="2" t="str">
        <f aca="false">Assumptions!B114</f>
        <v>Organic (Tesla careers, BA Jobbörse, Google for Jobs)</v>
      </c>
      <c r="C8" s="2" t="str">
        <f aca="false">Assumptions!C114</f>
        <v>Supervisors</v>
      </c>
      <c r="D8" s="2" t="s">
        <v>282</v>
      </c>
      <c r="E8" s="2" t="str">
        <f aca="false">Assumptions!D114</f>
        <v>Free</v>
      </c>
      <c r="F8" s="37" t="n">
        <f aca="false">Assumptions!E114</f>
        <v>0</v>
      </c>
      <c r="G8" s="23" t="str">
        <f aca="false">IF(E8="Free","",Assumptions!F114)</f>
        <v/>
      </c>
      <c r="H8" s="37" t="n">
        <f aca="false">IF(E8="CPC",F8/G8,IF(E8="Slot",F8/G8,F8))</f>
        <v>0</v>
      </c>
      <c r="I8" s="24" t="n">
        <f aca="false">Assumptions!G114</f>
        <v>0.08</v>
      </c>
      <c r="J8" s="23" t="n">
        <f aca="false">IF(E8="Slot",Assumptions!H114*G8,Assumptions!H114)</f>
        <v>60</v>
      </c>
      <c r="K8" s="26" t="n">
        <f aca="false">J8*I8</f>
        <v>4.8</v>
      </c>
      <c r="L8" s="25" t="n">
        <f aca="false">INDEX(Funnel!$G$5:$G$8,MATCH(C8,Funnel!$A$5:$A$8,0))*M8</f>
        <v>0.26775</v>
      </c>
      <c r="M8" s="38" t="n">
        <f aca="false">Assumptions!I114</f>
        <v>1</v>
      </c>
      <c r="N8" s="26" t="n">
        <f aca="false">K8*L8</f>
        <v>1.2852</v>
      </c>
      <c r="O8" s="35" t="n">
        <f aca="false">IF(I8&gt;0,H8/I8,0)</f>
        <v>0</v>
      </c>
      <c r="P8" s="35" t="n">
        <f aca="false">IF(N8&gt;0,(N8/L8/I8*H8+Assumptions!J114)/N8,0)</f>
        <v>0</v>
      </c>
      <c r="Q8" s="39" t="n">
        <f aca="false">P8+ROW()/1000000</f>
        <v>8E-006</v>
      </c>
      <c r="R8" s="23" t="n">
        <f aca="false">COUNTIFS($C$5:$C$34,C8,$Q$5:$Q$34,"&lt;"&amp;Q8)+1</f>
        <v>1</v>
      </c>
      <c r="S8" s="26" t="n">
        <f aca="false">SUMIFS($AH$5:$AH$34,$C$5:$C$34,C8,$Q$5:$Q$34,"&lt;"&amp;Q8)</f>
        <v>0</v>
      </c>
      <c r="T8" s="26" t="n">
        <f aca="false">INDEX(Funnel!$B$5:$B$8,MATCH(C8,Funnel!$A$5:$A$8,0))-SUMIFS($AG$5:$AG$34,$C$5:$C$34,C8)</f>
        <v>7.84276136363636</v>
      </c>
      <c r="U8" s="40" t="n">
        <f aca="false">AG8+AI8</f>
        <v>1.2852</v>
      </c>
      <c r="V8" s="26" t="n">
        <f aca="false">IF(L8&gt;0,U8/L8,0)</f>
        <v>4.8</v>
      </c>
      <c r="W8" s="23" t="n">
        <f aca="false">IF(I8&gt;0,V8/I8,0)</f>
        <v>60</v>
      </c>
      <c r="X8" s="35" t="n">
        <f aca="false">IF(E8="Slot",ROUNDUP(W8/G8,0)*F8,W8*H8)</f>
        <v>0</v>
      </c>
      <c r="Y8" s="35" t="n">
        <f aca="false">IF(U8&gt;0,Assumptions!J114,0)</f>
        <v>0</v>
      </c>
      <c r="Z8" s="35" t="n">
        <f aca="false">IF(AND(D8="Channel",OR(E8="CPC",E8="CPA")),MIN(Assumptions!$D$49,J8*H8),0)</f>
        <v>0</v>
      </c>
      <c r="AA8" s="35" t="n">
        <f aca="false">X8+Y8</f>
        <v>0</v>
      </c>
      <c r="AB8" s="35" t="n">
        <f aca="false">IF(U8&gt;0,(X8+Y8)/U8,"–")</f>
        <v>0</v>
      </c>
      <c r="AC8" s="23" t="n">
        <f aca="false">COUNTIF($Q$5:$Q$34,"&lt;"&amp;Q8)+1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Assumptions!A115</f>
        <v>C05</v>
      </c>
      <c r="B9" s="2" t="str">
        <f aca="false">Assumptions!B115</f>
        <v>Programmatic job ads (Joveo: Indeed, Jooble, Talent.com, Kimeta, meinestadt…)</v>
      </c>
      <c r="C9" s="2" t="str">
        <f aca="false">Assumptions!C115</f>
        <v>Electricians</v>
      </c>
      <c r="D9" s="2" t="s">
        <v>282</v>
      </c>
      <c r="E9" s="2" t="str">
        <f aca="false">Assumptions!D115</f>
        <v>CPC</v>
      </c>
      <c r="F9" s="37" t="n">
        <f aca="false">Assumptions!E115</f>
        <v>2</v>
      </c>
      <c r="G9" s="25" t="n">
        <f aca="false">IF(E9="Free","",Assumptions!F115)</f>
        <v>0.035</v>
      </c>
      <c r="H9" s="37" t="n">
        <f aca="false">IF(E9="CPC",F9/G9,IF(E9="Slot",F9/G9,F9))</f>
        <v>57.1428571428571</v>
      </c>
      <c r="I9" s="24" t="n">
        <f aca="false">Assumptions!G115</f>
        <v>0.12</v>
      </c>
      <c r="J9" s="23" t="n">
        <f aca="false">IF(E9="Slot",Assumptions!H115*G9,Assumptions!H115)</f>
        <v>450</v>
      </c>
      <c r="K9" s="26" t="n">
        <f aca="false">J9*I9</f>
        <v>54</v>
      </c>
      <c r="L9" s="25" t="n">
        <f aca="false">INDEX(Funnel!$G$5:$G$8,MATCH(C9,Funnel!$A$5:$A$8,0))*M9</f>
        <v>0.32175</v>
      </c>
      <c r="M9" s="38" t="n">
        <f aca="false">Assumptions!I115</f>
        <v>1</v>
      </c>
      <c r="N9" s="26" t="n">
        <f aca="false">K9*L9</f>
        <v>17.3745</v>
      </c>
      <c r="O9" s="35" t="n">
        <f aca="false">IF(I9&gt;0,H9/I9,0)</f>
        <v>476.190476190476</v>
      </c>
      <c r="P9" s="35" t="n">
        <f aca="false">IF(N9&gt;0,(N9/L9/I9*H9+Assumptions!J115)/N9,0)</f>
        <v>1480.00148000148</v>
      </c>
      <c r="Q9" s="39" t="n">
        <f aca="false">P9+ROW()/1000000</f>
        <v>1480.00148900148</v>
      </c>
      <c r="R9" s="23" t="n">
        <f aca="false">COUNTIFS($C$5:$C$34,C9,$Q$5:$Q$34,"&lt;"&amp;Q9)+1</f>
        <v>8</v>
      </c>
      <c r="S9" s="26" t="n">
        <f aca="false">SUMIFS($AH$5:$AH$34,$C$5:$C$34,C9,$Q$5:$Q$34,"&lt;"&amp;Q9)</f>
        <v>36.864384375</v>
      </c>
      <c r="T9" s="26" t="n">
        <f aca="false">INDEX(Funnel!$B$5:$B$8,MATCH(C9,Funnel!$A$5:$A$8,0))-SUMIFS($AG$5:$AG$34,$C$5:$C$34,C9)</f>
        <v>27.6712125</v>
      </c>
      <c r="U9" s="40" t="n">
        <f aca="false">AG9+AI9</f>
        <v>0.50675625</v>
      </c>
      <c r="V9" s="26" t="n">
        <f aca="false">IF(L9&gt;0,U9/L9,0)</f>
        <v>1.575</v>
      </c>
      <c r="W9" s="23" t="n">
        <f aca="false">IF(I9&gt;0,V9/I9,0)</f>
        <v>13.125</v>
      </c>
      <c r="X9" s="35" t="n">
        <f aca="false">IF(E9="Slot",ROUNDUP(W9/G9,0)*F9,W9*H9)</f>
        <v>750</v>
      </c>
      <c r="Y9" s="35" t="n">
        <f aca="false">IF(U9&gt;0,Assumptions!J115,0)</f>
        <v>0</v>
      </c>
      <c r="Z9" s="35" t="n">
        <f aca="false">IF(AND(D9="Channel",OR(E9="CPC",E9="CPA")),MIN(Assumptions!$D$49,J9*H9),0)</f>
        <v>750</v>
      </c>
      <c r="AA9" s="35" t="n">
        <f aca="false">X9+Y9</f>
        <v>750</v>
      </c>
      <c r="AB9" s="35" t="n">
        <f aca="false">IF(U9&gt;0,(X9+Y9)/U9,"–")</f>
        <v>1480.00148000148</v>
      </c>
      <c r="AC9" s="23" t="n">
        <f aca="false">COUNTIF($Q$5:$Q$34,"&lt;"&amp;Q9)+1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Assumptions!A116</f>
        <v>C06</v>
      </c>
      <c r="B10" s="2" t="str">
        <f aca="false">Assumptions!B116</f>
        <v>Programmatic job ads (Joveo: Indeed, Jooble, Talent.com, Kimeta, meinestadt…)</v>
      </c>
      <c r="C10" s="2" t="str">
        <f aca="false">Assumptions!C116</f>
        <v>Mechatronics</v>
      </c>
      <c r="D10" s="2" t="s">
        <v>282</v>
      </c>
      <c r="E10" s="2" t="str">
        <f aca="false">Assumptions!D116</f>
        <v>CPC</v>
      </c>
      <c r="F10" s="37" t="n">
        <f aca="false">Assumptions!E116</f>
        <v>1.2</v>
      </c>
      <c r="G10" s="25" t="n">
        <f aca="false">IF(E10="Free","",Assumptions!F116)</f>
        <v>0.05</v>
      </c>
      <c r="H10" s="37" t="n">
        <f aca="false">IF(E10="CPC",F10/G10,IF(E10="Slot",F10/G10,F10))</f>
        <v>24</v>
      </c>
      <c r="I10" s="24" t="n">
        <f aca="false">Assumptions!G116</f>
        <v>0.22</v>
      </c>
      <c r="J10" s="23" t="n">
        <f aca="false">IF(E10="Slot",Assumptions!H116*G10,Assumptions!H116)</f>
        <v>600</v>
      </c>
      <c r="K10" s="26" t="n">
        <f aca="false">J10*I10</f>
        <v>132</v>
      </c>
      <c r="L10" s="25" t="n">
        <f aca="false">INDEX(Funnel!$G$5:$G$8,MATCH(C10,Funnel!$A$5:$A$8,0))*M10</f>
        <v>0.405</v>
      </c>
      <c r="M10" s="38" t="n">
        <f aca="false">Assumptions!I116</f>
        <v>1</v>
      </c>
      <c r="N10" s="26" t="n">
        <f aca="false">K10*L10</f>
        <v>53.46</v>
      </c>
      <c r="O10" s="35" t="n">
        <f aca="false">IF(I10&gt;0,H10/I10,0)</f>
        <v>109.090909090909</v>
      </c>
      <c r="P10" s="35" t="n">
        <f aca="false">IF(N10&gt;0,(N10/L10/I10*H10+Assumptions!J116)/N10,0)</f>
        <v>269.360269360269</v>
      </c>
      <c r="Q10" s="39" t="n">
        <f aca="false">P10+ROW()/1000000</f>
        <v>269.360279360269</v>
      </c>
      <c r="R10" s="23" t="n">
        <f aca="false">COUNTIFS($C$5:$C$34,C10,$Q$5:$Q$34,"&lt;"&amp;Q10)+1</f>
        <v>5</v>
      </c>
      <c r="S10" s="26" t="n">
        <f aca="false">SUMIFS($AH$5:$AH$34,$C$5:$C$34,C10,$Q$5:$Q$34,"&lt;"&amp;Q10)</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IF(E10="Slot",ROUNDUP(W10/G10,0)*F10,W10*H10)</f>
        <v>750</v>
      </c>
      <c r="Y10" s="35" t="n">
        <f aca="false">IF(U10&gt;0,Assumptions!J116,0)</f>
        <v>0</v>
      </c>
      <c r="Z10" s="35" t="n">
        <f aca="false">IF(AND(D10="Channel",OR(E10="CPC",E10="CPA")),MIN(Assumptions!$D$49,J10*H10),0)</f>
        <v>750</v>
      </c>
      <c r="AA10" s="35" t="n">
        <f aca="false">X10+Y10</f>
        <v>750</v>
      </c>
      <c r="AB10" s="35" t="n">
        <f aca="false">IF(U10&gt;0,(X10+Y10)/U10,"–")</f>
        <v>269.360269360269</v>
      </c>
      <c r="AC10" s="23" t="n">
        <f aca="false">COUNTIF($Q$5:$Q$34,"&lt;"&amp;Q10)+1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Assumptions!A117</f>
        <v>C07</v>
      </c>
      <c r="B11" s="2" t="str">
        <f aca="false">Assumptions!B117</f>
        <v>Programmatic job ads (Joveo: Indeed, Jooble, Talent.com, Kimeta, meinestadt…)</v>
      </c>
      <c r="C11" s="2" t="str">
        <f aca="false">Assumptions!C117</f>
        <v>Automation</v>
      </c>
      <c r="D11" s="2" t="s">
        <v>282</v>
      </c>
      <c r="E11" s="2" t="str">
        <f aca="false">Assumptions!D117</f>
        <v>CPC</v>
      </c>
      <c r="F11" s="37" t="n">
        <f aca="false">Assumptions!E117</f>
        <v>1.8</v>
      </c>
      <c r="G11" s="25" t="n">
        <f aca="false">IF(E11="Free","",Assumptions!F117)</f>
        <v>0.04</v>
      </c>
      <c r="H11" s="37" t="n">
        <f aca="false">IF(E11="CPC",F11/G11,IF(E11="Slot",F11/G11,F11))</f>
        <v>45</v>
      </c>
      <c r="I11" s="24" t="n">
        <f aca="false">Assumptions!G117</f>
        <v>0.12</v>
      </c>
      <c r="J11" s="23" t="n">
        <f aca="false">IF(E11="Slot",Assumptions!H117*G11,Assumptions!H117)</f>
        <v>250</v>
      </c>
      <c r="K11" s="26" t="n">
        <f aca="false">J11*I11</f>
        <v>30</v>
      </c>
      <c r="L11" s="25" t="n">
        <f aca="false">INDEX(Funnel!$G$5:$G$8,MATCH(C11,Funnel!$A$5:$A$8,0))*M11</f>
        <v>0.2925</v>
      </c>
      <c r="M11" s="38" t="n">
        <f aca="false">Assumptions!I117</f>
        <v>1</v>
      </c>
      <c r="N11" s="26" t="n">
        <f aca="false">K11*L11</f>
        <v>8.775</v>
      </c>
      <c r="O11" s="35" t="n">
        <f aca="false">IF(I11&gt;0,H11/I11,0)</f>
        <v>375</v>
      </c>
      <c r="P11" s="35" t="n">
        <f aca="false">IF(N11&gt;0,(N11/L11/I11*H11+Assumptions!J117)/N11,0)</f>
        <v>1282.05128205128</v>
      </c>
      <c r="Q11" s="39" t="n">
        <f aca="false">P11+ROW()/1000000</f>
        <v>1282.05129305128</v>
      </c>
      <c r="R11" s="23" t="n">
        <f aca="false">COUNTIFS($C$5:$C$34,C11,$Q$5:$Q$34,"&lt;"&amp;Q11)+1</f>
        <v>6</v>
      </c>
      <c r="S11" s="26" t="n">
        <f aca="false">SUMIFS($AH$5:$AH$34,$C$5:$C$34,C11,$Q$5:$Q$34,"&lt;"&amp;Q11)</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IF(E11="Slot",ROUNDUP(W11/G11,0)*F11,W11*H11)</f>
        <v>750</v>
      </c>
      <c r="Y11" s="35" t="n">
        <f aca="false">IF(U11&gt;0,Assumptions!J117,0)</f>
        <v>0</v>
      </c>
      <c r="Z11" s="35" t="n">
        <f aca="false">IF(AND(D11="Channel",OR(E11="CPC",E11="CPA")),MIN(Assumptions!$D$49,J11*H11),0)</f>
        <v>750</v>
      </c>
      <c r="AA11" s="35" t="n">
        <f aca="false">X11+Y11</f>
        <v>750</v>
      </c>
      <c r="AB11" s="35" t="n">
        <f aca="false">IF(U11&gt;0,(X11+Y11)/U11,"–")</f>
        <v>1282.05128205128</v>
      </c>
      <c r="AC11" s="23" t="n">
        <f aca="false">COUNTIF($Q$5:$Q$34,"&lt;"&amp;Q11)+1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Assumptions!A118</f>
        <v>C08</v>
      </c>
      <c r="B12" s="2" t="str">
        <f aca="false">Assumptions!B118</f>
        <v>Programmatic job ads (Joveo: Indeed, Jooble, Talent.com, Kimeta, meinestadt…)</v>
      </c>
      <c r="C12" s="2" t="str">
        <f aca="false">Assumptions!C118</f>
        <v>Supervisors</v>
      </c>
      <c r="D12" s="2" t="s">
        <v>282</v>
      </c>
      <c r="E12" s="2" t="str">
        <f aca="false">Assumptions!D118</f>
        <v>CPC</v>
      </c>
      <c r="F12" s="37" t="n">
        <f aca="false">Assumptions!E118</f>
        <v>1.7</v>
      </c>
      <c r="G12" s="25" t="n">
        <f aca="false">IF(E12="Free","",Assumptions!F118)</f>
        <v>0.04</v>
      </c>
      <c r="H12" s="37" t="n">
        <f aca="false">IF(E12="CPC",F12/G12,IF(E12="Slot",F12/G12,F12))</f>
        <v>42.5</v>
      </c>
      <c r="I12" s="24" t="n">
        <f aca="false">Assumptions!G118</f>
        <v>0.1</v>
      </c>
      <c r="J12" s="23" t="n">
        <f aca="false">IF(E12="Slot",Assumptions!H118*G12,Assumptions!H118)</f>
        <v>200</v>
      </c>
      <c r="K12" s="26" t="n">
        <f aca="false">J12*I12</f>
        <v>20</v>
      </c>
      <c r="L12" s="25" t="n">
        <f aca="false">INDEX(Funnel!$G$5:$G$8,MATCH(C12,Funnel!$A$5:$A$8,0))*M12</f>
        <v>0.26775</v>
      </c>
      <c r="M12" s="38" t="n">
        <f aca="false">Assumptions!I118</f>
        <v>1</v>
      </c>
      <c r="N12" s="26" t="n">
        <f aca="false">K12*L12</f>
        <v>5.355</v>
      </c>
      <c r="O12" s="35" t="n">
        <f aca="false">IF(I12&gt;0,H12/I12,0)</f>
        <v>425</v>
      </c>
      <c r="P12" s="35" t="n">
        <f aca="false">IF(N12&gt;0,(N12/L12/I12*H12+Assumptions!J118)/N12,0)</f>
        <v>1587.30158730159</v>
      </c>
      <c r="Q12" s="39" t="n">
        <f aca="false">P12+ROW()/1000000</f>
        <v>1587.30159930159</v>
      </c>
      <c r="R12" s="23" t="n">
        <f aca="false">COUNTIFS($C$5:$C$34,C12,$Q$5:$Q$34,"&lt;"&amp;Q12)+1</f>
        <v>7</v>
      </c>
      <c r="S12" s="26" t="n">
        <f aca="false">SUMIFS($AH$5:$AH$34,$C$5:$C$34,C12,$Q$5:$Q$34,"&lt;"&amp;Q12)</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IF(E12="Slot",ROUNDUP(W12/G12,0)*F12,W12*H12)</f>
        <v>750</v>
      </c>
      <c r="Y12" s="35" t="n">
        <f aca="false">IF(U12&gt;0,Assumptions!J118,0)</f>
        <v>0</v>
      </c>
      <c r="Z12" s="35" t="n">
        <f aca="false">IF(AND(D12="Channel",OR(E12="CPC",E12="CPA")),MIN(Assumptions!$D$49,J12*H12),0)</f>
        <v>750</v>
      </c>
      <c r="AA12" s="35" t="n">
        <f aca="false">X12+Y12</f>
        <v>750</v>
      </c>
      <c r="AB12" s="35" t="n">
        <f aca="false">IF(U12&gt;0,(X12+Y12)/U12,"–")</f>
        <v>1587.30158730159</v>
      </c>
      <c r="AC12" s="23" t="n">
        <f aca="false">COUNTIF($Q$5:$Q$34,"&lt;"&amp;Q12)+1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Assumptions!A119</f>
        <v>C09</v>
      </c>
      <c r="B13" s="2" t="str">
        <f aca="false">Assumptions!B119</f>
        <v>StepStone (30-day single ad)</v>
      </c>
      <c r="C13" s="2" t="str">
        <f aca="false">Assumptions!C119</f>
        <v>Electricians</v>
      </c>
      <c r="D13" s="2" t="s">
        <v>282</v>
      </c>
      <c r="E13" s="2" t="str">
        <f aca="false">Assumptions!D119</f>
        <v>Slot</v>
      </c>
      <c r="F13" s="37" t="n">
        <f aca="false">Assumptions!E119</f>
        <v>1449</v>
      </c>
      <c r="G13" s="23" t="n">
        <f aca="false">IF(E13="Free","",Assumptions!F119)</f>
        <v>15</v>
      </c>
      <c r="H13" s="37" t="n">
        <f aca="false">IF(E13="CPC",F13/G13,IF(E13="Slot",F13/G13,F13))</f>
        <v>96.6</v>
      </c>
      <c r="I13" s="24" t="n">
        <f aca="false">Assumptions!G119</f>
        <v>0.3</v>
      </c>
      <c r="J13" s="23" t="n">
        <f aca="false">IF(E13="Slot",Assumptions!H119*G13,Assumptions!H119)</f>
        <v>45</v>
      </c>
      <c r="K13" s="26" t="n">
        <f aca="false">J13*I13</f>
        <v>13.5</v>
      </c>
      <c r="L13" s="25" t="n">
        <f aca="false">INDEX(Funnel!$G$5:$G$8,MATCH(C13,Funnel!$A$5:$A$8,0))*M13</f>
        <v>0.32175</v>
      </c>
      <c r="M13" s="38" t="n">
        <f aca="false">Assumptions!I119</f>
        <v>1</v>
      </c>
      <c r="N13" s="26" t="n">
        <f aca="false">K13*L13</f>
        <v>4.343625</v>
      </c>
      <c r="O13" s="35" t="n">
        <f aca="false">IF(I13&gt;0,H13/I13,0)</f>
        <v>322</v>
      </c>
      <c r="P13" s="35" t="n">
        <f aca="false">IF(N13&gt;0,(N13/L13/I13*H13+Assumptions!J119)/N13,0)</f>
        <v>1000.777000777</v>
      </c>
      <c r="Q13" s="39" t="n">
        <f aca="false">P13+ROW()/1000000</f>
        <v>1000.777013777</v>
      </c>
      <c r="R13" s="23" t="n">
        <f aca="false">COUNTIFS($C$5:$C$34,C13,$Q$5:$Q$34,"&lt;"&amp;Q13)+1</f>
        <v>6</v>
      </c>
      <c r="S13" s="26" t="n">
        <f aca="false">SUMIFS($AH$5:$AH$34,$C$5:$C$34,C13,$Q$5:$Q$34,"&lt;"&amp;Q13)</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IF(E13="Slot",ROUNDUP(W13/G13,0)*F13,W13*H13)</f>
        <v>1449</v>
      </c>
      <c r="Y13" s="35" t="n">
        <f aca="false">IF(U13&gt;0,Assumptions!J119,0)</f>
        <v>0</v>
      </c>
      <c r="Z13" s="35" t="n">
        <f aca="false">IF(AND(D13="Channel",OR(E13="CPC",E13="CPA")),MIN(Assumptions!$D$49,J13*H13),0)</f>
        <v>0</v>
      </c>
      <c r="AA13" s="35" t="n">
        <f aca="false">X13+Y13</f>
        <v>1449</v>
      </c>
      <c r="AB13" s="35" t="n">
        <f aca="false">IF(U13&gt;0,(X13+Y13)/U13,"–")</f>
        <v>1583.36321262101</v>
      </c>
      <c r="AC13" s="23" t="n">
        <f aca="false">COUNTIF($Q$5:$Q$34,"&lt;"&amp;Q13)+1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Assumptions!A120</f>
        <v>C10</v>
      </c>
      <c r="B14" s="2" t="str">
        <f aca="false">Assumptions!B120</f>
        <v>StepStone (30-day single ad)</v>
      </c>
      <c r="C14" s="2" t="str">
        <f aca="false">Assumptions!C120</f>
        <v>Mechatronics</v>
      </c>
      <c r="D14" s="2" t="s">
        <v>282</v>
      </c>
      <c r="E14" s="2" t="str">
        <f aca="false">Assumptions!D120</f>
        <v>Slot</v>
      </c>
      <c r="F14" s="37" t="n">
        <f aca="false">Assumptions!E120</f>
        <v>1449</v>
      </c>
      <c r="G14" s="23" t="n">
        <f aca="false">IF(E14="Free","",Assumptions!F120)</f>
        <v>25</v>
      </c>
      <c r="H14" s="37" t="n">
        <f aca="false">IF(E14="CPC",F14/G14,IF(E14="Slot",F14/G14,F14))</f>
        <v>57.96</v>
      </c>
      <c r="I14" s="24" t="n">
        <f aca="false">Assumptions!G120</f>
        <v>0.35</v>
      </c>
      <c r="J14" s="23" t="n">
        <f aca="false">IF(E14="Slot",Assumptions!H120*G14,Assumptions!H120)</f>
        <v>75</v>
      </c>
      <c r="K14" s="26" t="n">
        <f aca="false">J14*I14</f>
        <v>26.25</v>
      </c>
      <c r="L14" s="25" t="n">
        <f aca="false">INDEX(Funnel!$G$5:$G$8,MATCH(C14,Funnel!$A$5:$A$8,0))*M14</f>
        <v>0.405</v>
      </c>
      <c r="M14" s="38" t="n">
        <f aca="false">Assumptions!I120</f>
        <v>1</v>
      </c>
      <c r="N14" s="26" t="n">
        <f aca="false">K14*L14</f>
        <v>10.63125</v>
      </c>
      <c r="O14" s="35" t="n">
        <f aca="false">IF(I14&gt;0,H14/I14,0)</f>
        <v>165.6</v>
      </c>
      <c r="P14" s="35" t="n">
        <f aca="false">IF(N14&gt;0,(N14/L14/I14*H14+Assumptions!J120)/N14,0)</f>
        <v>408.888888888889</v>
      </c>
      <c r="Q14" s="39" t="n">
        <f aca="false">P14+ROW()/1000000</f>
        <v>408.888902888889</v>
      </c>
      <c r="R14" s="23" t="n">
        <f aca="false">COUNTIFS($C$5:$C$34,C14,$Q$5:$Q$34,"&lt;"&amp;Q14)+1</f>
        <v>7</v>
      </c>
      <c r="S14" s="26" t="n">
        <f aca="false">SUMIFS($AH$5:$AH$34,$C$5:$C$34,C14,$Q$5:$Q$34,"&lt;"&amp;Q14)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IF(E14="Slot",ROUNDUP(W14/G14,0)*F14,W14*H14)</f>
        <v>0</v>
      </c>
      <c r="Y14" s="35" t="n">
        <f aca="false">IF(U14&gt;0,Assumptions!J120,0)</f>
        <v>0</v>
      </c>
      <c r="Z14" s="35" t="n">
        <f aca="false">IF(AND(D14="Channel",OR(E14="CPC",E14="CPA")),MIN(Assumptions!$D$49,J14*H14),0)</f>
        <v>0</v>
      </c>
      <c r="AA14" s="35" t="n">
        <f aca="false">X14+Y14</f>
        <v>0</v>
      </c>
      <c r="AB14" s="35" t="str">
        <f aca="false">IF(U14&gt;0,(X14+Y14)/U14,"–")</f>
        <v>–</v>
      </c>
      <c r="AC14" s="23" t="n">
        <f aca="false">COUNTIF($Q$5:$Q$34,"&lt;"&amp;Q14)+1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Assumptions!A121</f>
        <v>C11</v>
      </c>
      <c r="B15" s="2" t="str">
        <f aca="false">Assumptions!B121</f>
        <v>StepStone (30-day single ad)</v>
      </c>
      <c r="C15" s="2" t="str">
        <f aca="false">Assumptions!C121</f>
        <v>Automation</v>
      </c>
      <c r="D15" s="2" t="s">
        <v>282</v>
      </c>
      <c r="E15" s="2" t="str">
        <f aca="false">Assumptions!D121</f>
        <v>Slot</v>
      </c>
      <c r="F15" s="37" t="n">
        <f aca="false">Assumptions!E121</f>
        <v>1449</v>
      </c>
      <c r="G15" s="23" t="n">
        <f aca="false">IF(E15="Free","",Assumptions!F121)</f>
        <v>15</v>
      </c>
      <c r="H15" s="37" t="n">
        <f aca="false">IF(E15="CPC",F15/G15,IF(E15="Slot",F15/G15,F15))</f>
        <v>96.6</v>
      </c>
      <c r="I15" s="24" t="n">
        <f aca="false">Assumptions!G121</f>
        <v>0.25</v>
      </c>
      <c r="J15" s="23" t="n">
        <f aca="false">IF(E15="Slot",Assumptions!H121*G15,Assumptions!H121)</f>
        <v>30</v>
      </c>
      <c r="K15" s="26" t="n">
        <f aca="false">J15*I15</f>
        <v>7.5</v>
      </c>
      <c r="L15" s="25" t="n">
        <f aca="false">INDEX(Funnel!$G$5:$G$8,MATCH(C15,Funnel!$A$5:$A$8,0))*M15</f>
        <v>0.2925</v>
      </c>
      <c r="M15" s="38" t="n">
        <f aca="false">Assumptions!I121</f>
        <v>1</v>
      </c>
      <c r="N15" s="26" t="n">
        <f aca="false">K15*L15</f>
        <v>2.19375</v>
      </c>
      <c r="O15" s="35" t="n">
        <f aca="false">IF(I15&gt;0,H15/I15,0)</f>
        <v>386.4</v>
      </c>
      <c r="P15" s="35" t="n">
        <f aca="false">IF(N15&gt;0,(N15/L15/I15*H15+Assumptions!J121)/N15,0)</f>
        <v>1321.02564102564</v>
      </c>
      <c r="Q15" s="39" t="n">
        <f aca="false">P15+ROW()/1000000</f>
        <v>1321.02565602564</v>
      </c>
      <c r="R15" s="23" t="n">
        <f aca="false">COUNTIFS($C$5:$C$34,C15,$Q$5:$Q$34,"&lt;"&amp;Q15)+1</f>
        <v>7</v>
      </c>
      <c r="S15" s="26" t="n">
        <f aca="false">SUMIFS($AH$5:$AH$34,$C$5:$C$34,C15,$Q$5:$Q$34,"&lt;"&amp;Q15)</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IF(E15="Slot",ROUNDUP(W15/G15,0)*F15,W15*H15)</f>
        <v>0</v>
      </c>
      <c r="Y15" s="35" t="n">
        <f aca="false">IF(U15&gt;0,Assumptions!J121,0)</f>
        <v>0</v>
      </c>
      <c r="Z15" s="35" t="n">
        <f aca="false">IF(AND(D15="Channel",OR(E15="CPC",E15="CPA")),MIN(Assumptions!$D$49,J15*H15),0)</f>
        <v>0</v>
      </c>
      <c r="AA15" s="35" t="n">
        <f aca="false">X15+Y15</f>
        <v>0</v>
      </c>
      <c r="AB15" s="35" t="str">
        <f aca="false">IF(U15&gt;0,(X15+Y15)/U15,"–")</f>
        <v>–</v>
      </c>
      <c r="AC15" s="23" t="n">
        <f aca="false">COUNTIF($Q$5:$Q$34,"&lt;"&amp;Q15)+1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Assumptions!A122</f>
        <v>C12</v>
      </c>
      <c r="B16" s="2" t="str">
        <f aca="false">Assumptions!B122</f>
        <v>StepStone (30-day single ad)</v>
      </c>
      <c r="C16" s="2" t="str">
        <f aca="false">Assumptions!C122</f>
        <v>Supervisors</v>
      </c>
      <c r="D16" s="2" t="s">
        <v>282</v>
      </c>
      <c r="E16" s="2" t="str">
        <f aca="false">Assumptions!D122</f>
        <v>Slot</v>
      </c>
      <c r="F16" s="37" t="n">
        <f aca="false">Assumptions!E122</f>
        <v>1449</v>
      </c>
      <c r="G16" s="23" t="n">
        <f aca="false">IF(E16="Free","",Assumptions!F122)</f>
        <v>15</v>
      </c>
      <c r="H16" s="37" t="n">
        <f aca="false">IF(E16="CPC",F16/G16,IF(E16="Slot",F16/G16,F16))</f>
        <v>96.6</v>
      </c>
      <c r="I16" s="24" t="n">
        <f aca="false">Assumptions!G122</f>
        <v>0.25</v>
      </c>
      <c r="J16" s="23" t="n">
        <f aca="false">IF(E16="Slot",Assumptions!H122*G16,Assumptions!H122)</f>
        <v>30</v>
      </c>
      <c r="K16" s="26" t="n">
        <f aca="false">J16*I16</f>
        <v>7.5</v>
      </c>
      <c r="L16" s="25" t="n">
        <f aca="false">INDEX(Funnel!$G$5:$G$8,MATCH(C16,Funnel!$A$5:$A$8,0))*M16</f>
        <v>0.26775</v>
      </c>
      <c r="M16" s="38" t="n">
        <f aca="false">Assumptions!I122</f>
        <v>1</v>
      </c>
      <c r="N16" s="26" t="n">
        <f aca="false">K16*L16</f>
        <v>2.008125</v>
      </c>
      <c r="O16" s="35" t="n">
        <f aca="false">IF(I16&gt;0,H16/I16,0)</f>
        <v>386.4</v>
      </c>
      <c r="P16" s="35" t="n">
        <f aca="false">IF(N16&gt;0,(N16/L16/I16*H16+Assumptions!J122)/N16,0)</f>
        <v>1443.13725490196</v>
      </c>
      <c r="Q16" s="39" t="n">
        <f aca="false">P16+ROW()/1000000</f>
        <v>1443.13727090196</v>
      </c>
      <c r="R16" s="23" t="n">
        <f aca="false">COUNTIFS($C$5:$C$34,C16,$Q$5:$Q$34,"&lt;"&amp;Q16)+1</f>
        <v>6</v>
      </c>
      <c r="S16" s="26" t="n">
        <f aca="false">SUMIFS($AH$5:$AH$34,$C$5:$C$34,C16,$Q$5:$Q$34,"&lt;"&amp;Q16)</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IF(E16="Slot",ROUNDUP(W16/G16,0)*F16,W16*H16)</f>
        <v>0</v>
      </c>
      <c r="Y16" s="35" t="n">
        <f aca="false">IF(U16&gt;0,Assumptions!J122,0)</f>
        <v>0</v>
      </c>
      <c r="Z16" s="35" t="n">
        <f aca="false">IF(AND(D16="Channel",OR(E16="CPC",E16="CPA")),MIN(Assumptions!$D$49,J16*H16),0)</f>
        <v>0</v>
      </c>
      <c r="AA16" s="35" t="n">
        <f aca="false">X16+Y16</f>
        <v>0</v>
      </c>
      <c r="AB16" s="35" t="str">
        <f aca="false">IF(U16&gt;0,(X16+Y16)/U16,"–")</f>
        <v>–</v>
      </c>
      <c r="AC16" s="23" t="n">
        <f aca="false">COUNTIF($Q$5:$Q$34,"&lt;"&amp;Q16)+1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Assumptions!A123</f>
        <v>C13</v>
      </c>
      <c r="B17" s="2" t="str">
        <f aca="false">Assumptions!B123</f>
        <v>LinkedIn (promoted jobs + InMail)</v>
      </c>
      <c r="C17" s="2" t="str">
        <f aca="false">Assumptions!C123</f>
        <v>Automation</v>
      </c>
      <c r="D17" s="2" t="s">
        <v>282</v>
      </c>
      <c r="E17" s="2" t="str">
        <f aca="false">Assumptions!D123</f>
        <v>CPC</v>
      </c>
      <c r="F17" s="37" t="n">
        <f aca="false">Assumptions!E123</f>
        <v>3.5</v>
      </c>
      <c r="G17" s="25" t="n">
        <f aca="false">IF(E17="Free","",Assumptions!F123)</f>
        <v>0.08</v>
      </c>
      <c r="H17" s="37" t="n">
        <f aca="false">IF(E17="CPC",F17/G17,IF(E17="Slot",F17/G17,F17))</f>
        <v>43.75</v>
      </c>
      <c r="I17" s="24" t="n">
        <f aca="false">Assumptions!G123</f>
        <v>0.25</v>
      </c>
      <c r="J17" s="23" t="n">
        <f aca="false">IF(E17="Slot",Assumptions!H123*G17,Assumptions!H123)</f>
        <v>150</v>
      </c>
      <c r="K17" s="26" t="n">
        <f aca="false">J17*I17</f>
        <v>37.5</v>
      </c>
      <c r="L17" s="25" t="n">
        <f aca="false">INDEX(Funnel!$G$5:$G$8,MATCH(C17,Funnel!$A$5:$A$8,0))*M17</f>
        <v>0.2925</v>
      </c>
      <c r="M17" s="38" t="n">
        <f aca="false">Assumptions!I123</f>
        <v>1</v>
      </c>
      <c r="N17" s="26" t="n">
        <f aca="false">K17*L17</f>
        <v>10.96875</v>
      </c>
      <c r="O17" s="35" t="n">
        <f aca="false">IF(I17&gt;0,H17/I17,0)</f>
        <v>175</v>
      </c>
      <c r="P17" s="35" t="n">
        <f aca="false">IF(N17&gt;0,(N17/L17/I17*H17+Assumptions!J123)/N17,0)</f>
        <v>598.290598290598</v>
      </c>
      <c r="Q17" s="39" t="n">
        <f aca="false">P17+ROW()/1000000</f>
        <v>598.290615290598</v>
      </c>
      <c r="R17" s="23" t="n">
        <f aca="false">COUNTIFS($C$5:$C$34,C17,$Q$5:$Q$34,"&lt;"&amp;Q17)+1</f>
        <v>3</v>
      </c>
      <c r="S17" s="26" t="n">
        <f aca="false">SUMIFS($AH$5:$AH$34,$C$5:$C$34,C17,$Q$5:$Q$34,"&lt;"&amp;Q17)</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IF(E17="Slot",ROUNDUP(W17/G17,0)*F17,W17*H17)</f>
        <v>5148.93851981352</v>
      </c>
      <c r="Y17" s="35" t="n">
        <f aca="false">IF(U17&gt;0,Assumptions!J123,0)</f>
        <v>0</v>
      </c>
      <c r="Z17" s="35" t="n">
        <f aca="false">IF(AND(D17="Channel",OR(E17="CPC",E17="CPA")),MIN(Assumptions!$D$49,J17*H17),0)</f>
        <v>750</v>
      </c>
      <c r="AA17" s="35" t="n">
        <f aca="false">X17+Y17</f>
        <v>5148.93851981352</v>
      </c>
      <c r="AB17" s="35" t="n">
        <f aca="false">IF(U17&gt;0,(X17+Y17)/U17,"–")</f>
        <v>598.290598290598</v>
      </c>
      <c r="AC17" s="23" t="n">
        <f aca="false">COUNTIF($Q$5:$Q$34,"&lt;"&amp;Q17)+1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Assumptions!A124</f>
        <v>C14</v>
      </c>
      <c r="B18" s="2" t="str">
        <f aca="false">Assumptions!B124</f>
        <v>LinkedIn (promoted jobs + InMail)</v>
      </c>
      <c r="C18" s="2" t="str">
        <f aca="false">Assumptions!C124</f>
        <v>Supervisors</v>
      </c>
      <c r="D18" s="2" t="s">
        <v>282</v>
      </c>
      <c r="E18" s="2" t="str">
        <f aca="false">Assumptions!D124</f>
        <v>CPC</v>
      </c>
      <c r="F18" s="37" t="n">
        <f aca="false">Assumptions!E124</f>
        <v>3.5</v>
      </c>
      <c r="G18" s="25" t="n">
        <f aca="false">IF(E18="Free","",Assumptions!F124)</f>
        <v>0.08</v>
      </c>
      <c r="H18" s="37" t="n">
        <f aca="false">IF(E18="CPC",F18/G18,IF(E18="Slot",F18/G18,F18))</f>
        <v>43.75</v>
      </c>
      <c r="I18" s="24" t="n">
        <f aca="false">Assumptions!G124</f>
        <v>0.2</v>
      </c>
      <c r="J18" s="23" t="n">
        <f aca="false">IF(E18="Slot",Assumptions!H124*G18,Assumptions!H124)</f>
        <v>100</v>
      </c>
      <c r="K18" s="26" t="n">
        <f aca="false">J18*I18</f>
        <v>20</v>
      </c>
      <c r="L18" s="25" t="n">
        <f aca="false">INDEX(Funnel!$G$5:$G$8,MATCH(C18,Funnel!$A$5:$A$8,0))*M18</f>
        <v>0.26775</v>
      </c>
      <c r="M18" s="38" t="n">
        <f aca="false">Assumptions!I124</f>
        <v>1</v>
      </c>
      <c r="N18" s="26" t="n">
        <f aca="false">K18*L18</f>
        <v>5.355</v>
      </c>
      <c r="O18" s="35" t="n">
        <f aca="false">IF(I18&gt;0,H18/I18,0)</f>
        <v>218.75</v>
      </c>
      <c r="P18" s="35" t="n">
        <f aca="false">IF(N18&gt;0,(N18/L18/I18*H18+Assumptions!J124)/N18,0)</f>
        <v>816.993464052288</v>
      </c>
      <c r="Q18" s="39" t="n">
        <f aca="false">P18+ROW()/1000000</f>
        <v>816.993482052288</v>
      </c>
      <c r="R18" s="23" t="n">
        <f aca="false">COUNTIFS($C$5:$C$34,C18,$Q$5:$Q$34,"&lt;"&amp;Q18)+1</f>
        <v>3</v>
      </c>
      <c r="S18" s="26" t="n">
        <f aca="false">SUMIFS($AH$5:$AH$34,$C$5:$C$34,C18,$Q$5:$Q$34,"&lt;"&amp;Q18)</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IF(E18="Slot",ROUNDUP(W18/G18,0)*F18,W18*H18)</f>
        <v>4375</v>
      </c>
      <c r="Y18" s="35" t="n">
        <f aca="false">IF(U18&gt;0,Assumptions!J124,0)</f>
        <v>0</v>
      </c>
      <c r="Z18" s="35" t="n">
        <f aca="false">IF(AND(D18="Channel",OR(E18="CPC",E18="CPA")),MIN(Assumptions!$D$49,J18*H18),0)</f>
        <v>750</v>
      </c>
      <c r="AA18" s="35" t="n">
        <f aca="false">X18+Y18</f>
        <v>4375</v>
      </c>
      <c r="AB18" s="35" t="n">
        <f aca="false">IF(U18&gt;0,(X18+Y18)/U18,"–")</f>
        <v>816.993464052288</v>
      </c>
      <c r="AC18" s="23" t="n">
        <f aca="false">COUNTIF($Q$5:$Q$34,"&lt;"&amp;Q18)+1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Assumptions!A125</f>
        <v>C15</v>
      </c>
      <c r="B19" s="2" t="str">
        <f aca="false">Assumptions!B125</f>
        <v>Meta social (FB/IG lead ads, 75 km geo)</v>
      </c>
      <c r="C19" s="2" t="str">
        <f aca="false">Assumptions!C125</f>
        <v>Electricians</v>
      </c>
      <c r="D19" s="2" t="s">
        <v>282</v>
      </c>
      <c r="E19" s="2" t="str">
        <f aca="false">Assumptions!D125</f>
        <v>CPA</v>
      </c>
      <c r="F19" s="37" t="n">
        <f aca="false">Assumptions!E125</f>
        <v>18</v>
      </c>
      <c r="G19" s="23" t="n">
        <f aca="false">IF(E19="Free","",Assumptions!F125)</f>
        <v>0</v>
      </c>
      <c r="H19" s="37" t="n">
        <f aca="false">IF(E19="CPC",F19/G19,IF(E19="Slot",F19/G19,F19))</f>
        <v>18</v>
      </c>
      <c r="I19" s="24" t="n">
        <f aca="false">Assumptions!G125</f>
        <v>0.05</v>
      </c>
      <c r="J19" s="23" t="n">
        <f aca="false">IF(E19="Slot",Assumptions!H125*G19,Assumptions!H125)</f>
        <v>400</v>
      </c>
      <c r="K19" s="26" t="n">
        <f aca="false">J19*I19</f>
        <v>20</v>
      </c>
      <c r="L19" s="25" t="n">
        <f aca="false">INDEX(Funnel!$G$5:$G$8,MATCH(C19,Funnel!$A$5:$A$8,0))*M19</f>
        <v>0.32175</v>
      </c>
      <c r="M19" s="38" t="n">
        <f aca="false">Assumptions!I125</f>
        <v>1</v>
      </c>
      <c r="N19" s="26" t="n">
        <f aca="false">K19*L19</f>
        <v>6.435</v>
      </c>
      <c r="O19" s="35" t="n">
        <f aca="false">IF(I19&gt;0,H19/I19,0)</f>
        <v>360</v>
      </c>
      <c r="P19" s="35" t="n">
        <f aca="false">IF(N19&gt;0,(N19/L19/I19*H19+Assumptions!J125)/N19,0)</f>
        <v>1118.88111888112</v>
      </c>
      <c r="Q19" s="39" t="n">
        <f aca="false">P19+ROW()/1000000</f>
        <v>1118.88113788112</v>
      </c>
      <c r="R19" s="23" t="n">
        <f aca="false">COUNTIFS($C$5:$C$34,C19,$Q$5:$Q$34,"&lt;"&amp;Q19)+1</f>
        <v>7</v>
      </c>
      <c r="S19" s="26" t="n">
        <f aca="false">SUMIFS($AH$5:$AH$34,$C$5:$C$34,C19,$Q$5:$Q$34,"&lt;"&amp;Q19)</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IF(E19="Slot",ROUNDUP(W19/G19,0)*F19,W19*H19)</f>
        <v>750</v>
      </c>
      <c r="Y19" s="35" t="n">
        <f aca="false">IF(U19&gt;0,Assumptions!J125,0)</f>
        <v>0</v>
      </c>
      <c r="Z19" s="35" t="n">
        <f aca="false">IF(AND(D19="Channel",OR(E19="CPC",E19="CPA")),MIN(Assumptions!$D$49,J19*H19),0)</f>
        <v>750</v>
      </c>
      <c r="AA19" s="35" t="n">
        <f aca="false">X19+Y19</f>
        <v>750</v>
      </c>
      <c r="AB19" s="35" t="n">
        <f aca="false">IF(U19&gt;0,(X19+Y19)/U19,"–")</f>
        <v>1118.88111888112</v>
      </c>
      <c r="AC19" s="23" t="n">
        <f aca="false">COUNTIF($Q$5:$Q$34,"&lt;"&amp;Q19)+1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Assumptions!A126</f>
        <v>C16</v>
      </c>
      <c r="B20" s="2" t="str">
        <f aca="false">Assumptions!B126</f>
        <v>Meta social (FB/IG lead ads, 75 km geo)</v>
      </c>
      <c r="C20" s="2" t="str">
        <f aca="false">Assumptions!C126</f>
        <v>Mechatronics</v>
      </c>
      <c r="D20" s="2" t="s">
        <v>282</v>
      </c>
      <c r="E20" s="2" t="str">
        <f aca="false">Assumptions!D126</f>
        <v>CPA</v>
      </c>
      <c r="F20" s="37" t="n">
        <f aca="false">Assumptions!E126</f>
        <v>12</v>
      </c>
      <c r="G20" s="23" t="n">
        <f aca="false">IF(E20="Free","",Assumptions!F126)</f>
        <v>0</v>
      </c>
      <c r="H20" s="37" t="n">
        <f aca="false">IF(E20="CPC",F20/G20,IF(E20="Slot",F20/G20,F20))</f>
        <v>12</v>
      </c>
      <c r="I20" s="24" t="n">
        <f aca="false">Assumptions!G126</f>
        <v>0.12</v>
      </c>
      <c r="J20" s="23" t="n">
        <f aca="false">IF(E20="Slot",Assumptions!H126*G20,Assumptions!H126)</f>
        <v>500</v>
      </c>
      <c r="K20" s="26" t="n">
        <f aca="false">J20*I20</f>
        <v>60</v>
      </c>
      <c r="L20" s="25" t="n">
        <f aca="false">INDEX(Funnel!$G$5:$G$8,MATCH(C20,Funnel!$A$5:$A$8,0))*M20</f>
        <v>0.405</v>
      </c>
      <c r="M20" s="38" t="n">
        <f aca="false">Assumptions!I126</f>
        <v>1</v>
      </c>
      <c r="N20" s="26" t="n">
        <f aca="false">K20*L20</f>
        <v>24.3</v>
      </c>
      <c r="O20" s="35" t="n">
        <f aca="false">IF(I20&gt;0,H20/I20,0)</f>
        <v>100</v>
      </c>
      <c r="P20" s="35" t="n">
        <f aca="false">IF(N20&gt;0,(N20/L20/I20*H20+Assumptions!J126)/N20,0)</f>
        <v>246.913580246914</v>
      </c>
      <c r="Q20" s="39" t="n">
        <f aca="false">P20+ROW()/1000000</f>
        <v>246.913600246914</v>
      </c>
      <c r="R20" s="23" t="n">
        <f aca="false">COUNTIFS($C$5:$C$34,C20,$Q$5:$Q$34,"&lt;"&amp;Q20)+1</f>
        <v>4</v>
      </c>
      <c r="S20" s="26" t="n">
        <f aca="false">SUMIFS($AH$5:$AH$34,$C$5:$C$34,C20,$Q$5:$Q$34,"&lt;"&amp;Q20)</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IF(E20="Slot",ROUNDUP(W20/G20,0)*F20,W20*H20)</f>
        <v>750</v>
      </c>
      <c r="Y20" s="35" t="n">
        <f aca="false">IF(U20&gt;0,Assumptions!J126,0)</f>
        <v>0</v>
      </c>
      <c r="Z20" s="35" t="n">
        <f aca="false">IF(AND(D20="Channel",OR(E20="CPC",E20="CPA")),MIN(Assumptions!$D$49,J20*H20),0)</f>
        <v>750</v>
      </c>
      <c r="AA20" s="35" t="n">
        <f aca="false">X20+Y20</f>
        <v>750</v>
      </c>
      <c r="AB20" s="35" t="n">
        <f aca="false">IF(U20&gt;0,(X20+Y20)/U20,"–")</f>
        <v>246.913580246914</v>
      </c>
      <c r="AC20" s="23" t="n">
        <f aca="false">COUNTIF($Q$5:$Q$34,"&lt;"&amp;Q20)+1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Assumptions!A127</f>
        <v>C17</v>
      </c>
      <c r="B21" s="2" t="str">
        <f aca="false">Assumptions!B127</f>
        <v>Google Search ads (job-intent keywords)</v>
      </c>
      <c r="C21" s="2" t="str">
        <f aca="false">Assumptions!C127</f>
        <v>Electricians</v>
      </c>
      <c r="D21" s="2" t="s">
        <v>282</v>
      </c>
      <c r="E21" s="2" t="str">
        <f aca="false">Assumptions!D127</f>
        <v>CPC</v>
      </c>
      <c r="F21" s="37" t="n">
        <f aca="false">Assumptions!E127</f>
        <v>2.2</v>
      </c>
      <c r="G21" s="25" t="n">
        <f aca="false">IF(E21="Free","",Assumptions!F127)</f>
        <v>0.07</v>
      </c>
      <c r="H21" s="37" t="n">
        <f aca="false">IF(E21="CPC",F21/G21,IF(E21="Slot",F21/G21,F21))</f>
        <v>31.4285714285714</v>
      </c>
      <c r="I21" s="24" t="n">
        <f aca="false">Assumptions!G127</f>
        <v>0.15</v>
      </c>
      <c r="J21" s="23" t="n">
        <f aca="false">IF(E21="Slot",Assumptions!H127*G21,Assumptions!H127)</f>
        <v>80</v>
      </c>
      <c r="K21" s="26" t="n">
        <f aca="false">J21*I21</f>
        <v>12</v>
      </c>
      <c r="L21" s="25" t="n">
        <f aca="false">INDEX(Funnel!$G$5:$G$8,MATCH(C21,Funnel!$A$5:$A$8,0))*M21</f>
        <v>0.32175</v>
      </c>
      <c r="M21" s="38" t="n">
        <f aca="false">Assumptions!I127</f>
        <v>1</v>
      </c>
      <c r="N21" s="26" t="n">
        <f aca="false">K21*L21</f>
        <v>3.861</v>
      </c>
      <c r="O21" s="35" t="n">
        <f aca="false">IF(I21&gt;0,H21/I21,0)</f>
        <v>209.52380952381</v>
      </c>
      <c r="P21" s="35" t="n">
        <f aca="false">IF(N21&gt;0,(N21/L21/I21*H21+Assumptions!J127)/N21,0)</f>
        <v>651.200651200651</v>
      </c>
      <c r="Q21" s="39" t="n">
        <f aca="false">P21+ROW()/1000000</f>
        <v>651.200672200651</v>
      </c>
      <c r="R21" s="23" t="n">
        <f aca="false">COUNTIFS($C$5:$C$34,C21,$Q$5:$Q$34,"&lt;"&amp;Q21)+1</f>
        <v>3</v>
      </c>
      <c r="S21" s="26" t="n">
        <f aca="false">SUMIFS($AH$5:$AH$34,$C$5:$C$34,C21,$Q$5:$Q$34,"&lt;"&amp;Q21)</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IF(E21="Slot",ROUNDUP(W21/G21,0)*F21,W21*H21)</f>
        <v>2514.28571428571</v>
      </c>
      <c r="Y21" s="35" t="n">
        <f aca="false">IF(U21&gt;0,Assumptions!J127,0)</f>
        <v>0</v>
      </c>
      <c r="Z21" s="35" t="n">
        <f aca="false">IF(AND(D21="Channel",OR(E21="CPC",E21="CPA")),MIN(Assumptions!$D$49,J21*H21),0)</f>
        <v>750</v>
      </c>
      <c r="AA21" s="35" t="n">
        <f aca="false">X21+Y21</f>
        <v>2514.28571428571</v>
      </c>
      <c r="AB21" s="35" t="n">
        <f aca="false">IF(U21&gt;0,(X21+Y21)/U21,"–")</f>
        <v>651.200651200651</v>
      </c>
      <c r="AC21" s="23" t="n">
        <f aca="false">COUNTIF($Q$5:$Q$34,"&lt;"&amp;Q21)+1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Assumptions!A128</f>
        <v>C18</v>
      </c>
      <c r="B22" s="2" t="str">
        <f aca="false">Assumptions!B128</f>
        <v>Google Search ads (job-intent keywords)</v>
      </c>
      <c r="C22" s="2" t="str">
        <f aca="false">Assumptions!C128</f>
        <v>Mechatronics</v>
      </c>
      <c r="D22" s="2" t="s">
        <v>282</v>
      </c>
      <c r="E22" s="2" t="str">
        <f aca="false">Assumptions!D128</f>
        <v>CPC</v>
      </c>
      <c r="F22" s="37" t="n">
        <f aca="false">Assumptions!E128</f>
        <v>2.2</v>
      </c>
      <c r="G22" s="25" t="n">
        <f aca="false">IF(E22="Free","",Assumptions!F128)</f>
        <v>0.07</v>
      </c>
      <c r="H22" s="37" t="n">
        <f aca="false">IF(E22="CPC",F22/G22,IF(E22="Slot",F22/G22,F22))</f>
        <v>31.4285714285714</v>
      </c>
      <c r="I22" s="24" t="n">
        <f aca="false">Assumptions!G128</f>
        <v>0.25</v>
      </c>
      <c r="J22" s="23" t="n">
        <f aca="false">IF(E22="Slot",Assumptions!H128*G22,Assumptions!H128)</f>
        <v>100</v>
      </c>
      <c r="K22" s="26" t="n">
        <f aca="false">J22*I22</f>
        <v>25</v>
      </c>
      <c r="L22" s="25" t="n">
        <f aca="false">INDEX(Funnel!$G$5:$G$8,MATCH(C22,Funnel!$A$5:$A$8,0))*M22</f>
        <v>0.405</v>
      </c>
      <c r="M22" s="38" t="n">
        <f aca="false">Assumptions!I128</f>
        <v>1</v>
      </c>
      <c r="N22" s="26" t="n">
        <f aca="false">K22*L22</f>
        <v>10.125</v>
      </c>
      <c r="O22" s="35" t="n">
        <f aca="false">IF(I22&gt;0,H22/I22,0)</f>
        <v>125.714285714286</v>
      </c>
      <c r="P22" s="35" t="n">
        <f aca="false">IF(N22&gt;0,(N22/L22/I22*H22+Assumptions!J128)/N22,0)</f>
        <v>310.405643738977</v>
      </c>
      <c r="Q22" s="39" t="n">
        <f aca="false">P22+ROW()/1000000</f>
        <v>310.405665738977</v>
      </c>
      <c r="R22" s="23" t="n">
        <f aca="false">COUNTIFS($C$5:$C$34,C22,$Q$5:$Q$34,"&lt;"&amp;Q22)+1</f>
        <v>6</v>
      </c>
      <c r="S22" s="26" t="n">
        <f aca="false">SUMIFS($AH$5:$AH$34,$C$5:$C$34,C22,$Q$5:$Q$34,"&lt;"&amp;Q22)</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IF(E22="Slot",ROUNDUP(W22/G22,0)*F22,W22*H22)</f>
        <v>750</v>
      </c>
      <c r="Y22" s="35" t="n">
        <f aca="false">IF(U22&gt;0,Assumptions!J128,0)</f>
        <v>0</v>
      </c>
      <c r="Z22" s="35" t="n">
        <f aca="false">IF(AND(D22="Channel",OR(E22="CPC",E22="CPA")),MIN(Assumptions!$D$49,J22*H22),0)</f>
        <v>750</v>
      </c>
      <c r="AA22" s="35" t="n">
        <f aca="false">X22+Y22</f>
        <v>750</v>
      </c>
      <c r="AB22" s="35" t="n">
        <f aca="false">IF(U22&gt;0,(X22+Y22)/U22,"–")</f>
        <v>310.405643738977</v>
      </c>
      <c r="AC22" s="23" t="n">
        <f aca="false">COUNTIF($Q$5:$Q$34,"&lt;"&amp;Q22)+1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Assumptions!A129</f>
        <v>C19</v>
      </c>
      <c r="B23" s="2" t="str">
        <f aca="false">Assumptions!B129</f>
        <v>Google Search ads (job-intent keywords)</v>
      </c>
      <c r="C23" s="2" t="str">
        <f aca="false">Assumptions!C129</f>
        <v>Automation</v>
      </c>
      <c r="D23" s="2" t="s">
        <v>282</v>
      </c>
      <c r="E23" s="2" t="str">
        <f aca="false">Assumptions!D129</f>
        <v>CPC</v>
      </c>
      <c r="F23" s="37" t="n">
        <f aca="false">Assumptions!E129</f>
        <v>2.2</v>
      </c>
      <c r="G23" s="25" t="n">
        <f aca="false">IF(E23="Free","",Assumptions!F129)</f>
        <v>0.07</v>
      </c>
      <c r="H23" s="37" t="n">
        <f aca="false">IF(E23="CPC",F23/G23,IF(E23="Slot",F23/G23,F23))</f>
        <v>31.4285714285714</v>
      </c>
      <c r="I23" s="24" t="n">
        <f aca="false">Assumptions!G129</f>
        <v>0.15</v>
      </c>
      <c r="J23" s="23" t="n">
        <f aca="false">IF(E23="Slot",Assumptions!H129*G23,Assumptions!H129)</f>
        <v>40</v>
      </c>
      <c r="K23" s="26" t="n">
        <f aca="false">J23*I23</f>
        <v>6</v>
      </c>
      <c r="L23" s="25" t="n">
        <f aca="false">INDEX(Funnel!$G$5:$G$8,MATCH(C23,Funnel!$A$5:$A$8,0))*M23</f>
        <v>0.2925</v>
      </c>
      <c r="M23" s="38" t="n">
        <f aca="false">Assumptions!I129</f>
        <v>1</v>
      </c>
      <c r="N23" s="26" t="n">
        <f aca="false">K23*L23</f>
        <v>1.755</v>
      </c>
      <c r="O23" s="35" t="n">
        <f aca="false">IF(I23&gt;0,H23/I23,0)</f>
        <v>209.52380952381</v>
      </c>
      <c r="P23" s="35" t="n">
        <f aca="false">IF(N23&gt;0,(N23/L23/I23*H23+Assumptions!J129)/N23,0)</f>
        <v>716.320716320716</v>
      </c>
      <c r="Q23" s="39" t="n">
        <f aca="false">P23+ROW()/1000000</f>
        <v>716.320739320716</v>
      </c>
      <c r="R23" s="23" t="n">
        <f aca="false">COUNTIFS($C$5:$C$34,C23,$Q$5:$Q$34,"&lt;"&amp;Q23)+1</f>
        <v>4</v>
      </c>
      <c r="S23" s="26" t="n">
        <f aca="false">SUMIFS($AH$5:$AH$34,$C$5:$C$34,C23,$Q$5:$Q$34,"&lt;"&amp;Q23)</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IF(E23="Slot",ROUNDUP(W23/G23,0)*F23,W23*H23)</f>
        <v>750</v>
      </c>
      <c r="Y23" s="35" t="n">
        <f aca="false">IF(U23&gt;0,Assumptions!J129,0)</f>
        <v>0</v>
      </c>
      <c r="Z23" s="35" t="n">
        <f aca="false">IF(AND(D23="Channel",OR(E23="CPC",E23="CPA")),MIN(Assumptions!$D$49,J23*H23),0)</f>
        <v>750</v>
      </c>
      <c r="AA23" s="35" t="n">
        <f aca="false">X23+Y23</f>
        <v>750</v>
      </c>
      <c r="AB23" s="35" t="n">
        <f aca="false">IF(U23&gt;0,(X23+Y23)/U23,"–")</f>
        <v>716.320716320716</v>
      </c>
      <c r="AC23" s="23" t="n">
        <f aca="false">COUNTIF($Q$5:$Q$34,"&lt;"&amp;Q23)+1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Assumptions!A130</f>
        <v>C20</v>
      </c>
      <c r="B24" s="2" t="str">
        <f aca="false">Assumptions!B130</f>
        <v>Google Search ads (job-intent keywords)</v>
      </c>
      <c r="C24" s="2" t="str">
        <f aca="false">Assumptions!C130</f>
        <v>Supervisors</v>
      </c>
      <c r="D24" s="2" t="s">
        <v>282</v>
      </c>
      <c r="E24" s="2" t="str">
        <f aca="false">Assumptions!D130</f>
        <v>CPC</v>
      </c>
      <c r="F24" s="37" t="n">
        <f aca="false">Assumptions!E130</f>
        <v>2.2</v>
      </c>
      <c r="G24" s="25" t="n">
        <f aca="false">IF(E24="Free","",Assumptions!F130)</f>
        <v>0.07</v>
      </c>
      <c r="H24" s="37" t="n">
        <f aca="false">IF(E24="CPC",F24/G24,IF(E24="Slot",F24/G24,F24))</f>
        <v>31.4285714285714</v>
      </c>
      <c r="I24" s="24" t="n">
        <f aca="false">Assumptions!G130</f>
        <v>0.12</v>
      </c>
      <c r="J24" s="23" t="n">
        <f aca="false">IF(E24="Slot",Assumptions!H130*G24,Assumptions!H130)</f>
        <v>30</v>
      </c>
      <c r="K24" s="26" t="n">
        <f aca="false">J24*I24</f>
        <v>3.6</v>
      </c>
      <c r="L24" s="25" t="n">
        <f aca="false">INDEX(Funnel!$G$5:$G$8,MATCH(C24,Funnel!$A$5:$A$8,0))*M24</f>
        <v>0.26775</v>
      </c>
      <c r="M24" s="38" t="n">
        <f aca="false">Assumptions!I130</f>
        <v>1</v>
      </c>
      <c r="N24" s="26" t="n">
        <f aca="false">K24*L24</f>
        <v>0.9639</v>
      </c>
      <c r="O24" s="35" t="n">
        <f aca="false">IF(I24&gt;0,H24/I24,0)</f>
        <v>261.904761904762</v>
      </c>
      <c r="P24" s="35" t="n">
        <f aca="false">IF(N24&gt;0,(N24/L24/I24*H24+Assumptions!J130)/N24,0)</f>
        <v>978.169045395936</v>
      </c>
      <c r="Q24" s="39" t="n">
        <f aca="false">P24+ROW()/1000000</f>
        <v>978.169069395936</v>
      </c>
      <c r="R24" s="23" t="n">
        <f aca="false">COUNTIFS($C$5:$C$34,C24,$Q$5:$Q$34,"&lt;"&amp;Q24)+1</f>
        <v>4</v>
      </c>
      <c r="S24" s="26" t="n">
        <f aca="false">SUMIFS($AH$5:$AH$34,$C$5:$C$34,C24,$Q$5:$Q$34,"&lt;"&amp;Q24)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IF(E24="Slot",ROUNDUP(W24/G24,0)*F24,W24*H24)</f>
        <v>942.857142857143</v>
      </c>
      <c r="Y24" s="35" t="n">
        <f aca="false">IF(U24&gt;0,Assumptions!J130,0)</f>
        <v>0</v>
      </c>
      <c r="Z24" s="35" t="n">
        <f aca="false">IF(AND(D24="Channel",OR(E24="CPC",E24="CPA")),MIN(Assumptions!$D$49,J24*H24),0)</f>
        <v>750</v>
      </c>
      <c r="AA24" s="35" t="n">
        <f aca="false">X24+Y24</f>
        <v>942.857142857143</v>
      </c>
      <c r="AB24" s="35" t="n">
        <f aca="false">IF(U24&gt;0,(X24+Y24)/U24,"–")</f>
        <v>978.169045395936</v>
      </c>
      <c r="AC24" s="23" t="n">
        <f aca="false">COUNTIF($Q$5:$Q$34,"&lt;"&amp;Q24)+1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590</v>
      </c>
      <c r="B25" s="2" t="s">
        <v>591</v>
      </c>
      <c r="C25" s="2" t="s">
        <v>50</v>
      </c>
      <c r="D25" s="2" t="s">
        <v>537</v>
      </c>
      <c r="E25" s="2" t="s">
        <v>328</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Assumptions!$D$147</f>
        <v>1.15</v>
      </c>
      <c r="N25" s="26" t="n">
        <f aca="false">K25*L25</f>
        <v>4.44015</v>
      </c>
      <c r="O25" s="35" t="n">
        <f aca="false">IF(I25&gt;0,H25/I25,0)</f>
        <v>8.33333333333333</v>
      </c>
      <c r="P25" s="35" t="n">
        <f aca="false">IF(N25&gt;0,(N25/L25/I25*H25+0)/N25,0)</f>
        <v>22.5217616521964</v>
      </c>
      <c r="Q25" s="39" t="n">
        <f aca="false">P25+ROW()/1000000</f>
        <v>22.5217866521964</v>
      </c>
      <c r="R25" s="23" t="n">
        <f aca="false">COUNTIFS($C$5:$C$34,C25,$Q$5:$Q$34,"&lt;"&amp;Q25)+1</f>
        <v>2</v>
      </c>
      <c r="S25" s="26" t="n">
        <f aca="false">SUMIFS($AH$5:$AH$34,$C$5:$C$34,C25,$Q$5:$Q$34,"&lt;"&amp;Q25)</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IF(E25="Slot",ROUNDUP(W25/G25,0)*F25,W25*H25)</f>
        <v>100</v>
      </c>
      <c r="Y25" s="35" t="n">
        <f aca="false">IF(U25&gt;0,0,0)</f>
        <v>0</v>
      </c>
      <c r="Z25" s="35" t="n">
        <f aca="false">IF(AND(D25="Channel",OR(E25="CPC",E25="CPA")),MIN(Assumptions!$D$49,J25*H25),0)</f>
        <v>0</v>
      </c>
      <c r="AA25" s="35" t="n">
        <f aca="false">X25+Y25</f>
        <v>100</v>
      </c>
      <c r="AB25" s="35" t="n">
        <f aca="false">IF(U25&gt;0,(X25+Y25)/U25,"–")</f>
        <v>22.5217616521964</v>
      </c>
      <c r="AC25" s="23" t="n">
        <f aca="false">COUNTIF($Q$5:$Q$34,"&lt;"&amp;Q25)+1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592</v>
      </c>
      <c r="B26" s="2" t="s">
        <v>591</v>
      </c>
      <c r="C26" s="2" t="s">
        <v>45</v>
      </c>
      <c r="D26" s="2" t="s">
        <v>537</v>
      </c>
      <c r="E26" s="2" t="s">
        <v>328</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Assumptions!$D$147</f>
        <v>1.15</v>
      </c>
      <c r="N26" s="26" t="n">
        <f aca="false">K26*L26</f>
        <v>8.3835</v>
      </c>
      <c r="O26" s="35" t="n">
        <f aca="false">IF(I26&gt;0,H26/I26,0)</f>
        <v>8.33333333333333</v>
      </c>
      <c r="P26" s="35" t="n">
        <f aca="false">IF(N26&gt;0,(N26/L26/I26*H26+0)/N26,0)</f>
        <v>17.8922884236894</v>
      </c>
      <c r="Q26" s="39" t="n">
        <f aca="false">P26+ROW()/1000000</f>
        <v>17.8923144236894</v>
      </c>
      <c r="R26" s="23" t="n">
        <f aca="false">COUNTIFS($C$5:$C$34,C26,$Q$5:$Q$34,"&lt;"&amp;Q26)+1</f>
        <v>2</v>
      </c>
      <c r="S26" s="26" t="n">
        <f aca="false">SUMIFS($AH$5:$AH$34,$C$5:$C$34,C26,$Q$5:$Q$34,"&lt;"&amp;Q26)</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IF(E26="Slot",ROUNDUP(W26/G26,0)*F26,W26*H26)</f>
        <v>150</v>
      </c>
      <c r="Y26" s="35" t="n">
        <f aca="false">IF(U26&gt;0,0,0)</f>
        <v>0</v>
      </c>
      <c r="Z26" s="35" t="n">
        <f aca="false">IF(AND(D26="Channel",OR(E26="CPC",E26="CPA")),MIN(Assumptions!$D$49,J26*H26),0)</f>
        <v>0</v>
      </c>
      <c r="AA26" s="35" t="n">
        <f aca="false">X26+Y26</f>
        <v>150</v>
      </c>
      <c r="AB26" s="35" t="n">
        <f aca="false">IF(U26&gt;0,(X26+Y26)/U26,"–")</f>
        <v>17.8922884236894</v>
      </c>
      <c r="AC26" s="23" t="n">
        <f aca="false">COUNTIF($Q$5:$Q$34,"&lt;"&amp;Q26)+1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593</v>
      </c>
      <c r="B27" s="2" t="s">
        <v>591</v>
      </c>
      <c r="C27" s="2" t="s">
        <v>55</v>
      </c>
      <c r="D27" s="2" t="s">
        <v>537</v>
      </c>
      <c r="E27" s="2" t="s">
        <v>328</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Assumptions!$D$147</f>
        <v>1.15</v>
      </c>
      <c r="N27" s="26" t="n">
        <f aca="false">K27*L27</f>
        <v>2.4219</v>
      </c>
      <c r="O27" s="35" t="n">
        <f aca="false">IF(I27&gt;0,H27/I27,0)</f>
        <v>8.33333333333333</v>
      </c>
      <c r="P27" s="35" t="n">
        <f aca="false">IF(N27&gt;0,(N27/L27/I27*H27+0)/N27,0)</f>
        <v>24.7739378174161</v>
      </c>
      <c r="Q27" s="39" t="n">
        <f aca="false">P27+ROW()/1000000</f>
        <v>24.7739648174161</v>
      </c>
      <c r="R27" s="23" t="n">
        <f aca="false">COUNTIFS($C$5:$C$34,C27,$Q$5:$Q$34,"&lt;"&amp;Q27)+1</f>
        <v>2</v>
      </c>
      <c r="S27" s="26" t="n">
        <f aca="false">SUMIFS($AH$5:$AH$34,$C$5:$C$34,C27,$Q$5:$Q$34,"&lt;"&amp;Q27)</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IF(E27="Slot",ROUNDUP(W27/G27,0)*F27,W27*H27)</f>
        <v>60</v>
      </c>
      <c r="Y27" s="35" t="n">
        <f aca="false">IF(U27&gt;0,0,0)</f>
        <v>0</v>
      </c>
      <c r="Z27" s="35" t="n">
        <f aca="false">IF(AND(D27="Channel",OR(E27="CPC",E27="CPA")),MIN(Assumptions!$D$49,J27*H27),0)</f>
        <v>0</v>
      </c>
      <c r="AA27" s="35" t="n">
        <f aca="false">X27+Y27</f>
        <v>60</v>
      </c>
      <c r="AB27" s="35" t="n">
        <f aca="false">IF(U27&gt;0,(X27+Y27)/U27,"–")</f>
        <v>24.7739378174161</v>
      </c>
      <c r="AC27" s="23" t="n">
        <f aca="false">COUNTIF($Q$5:$Q$34,"&lt;"&amp;Q27)+1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594</v>
      </c>
      <c r="B28" s="2" t="s">
        <v>591</v>
      </c>
      <c r="C28" s="2" t="s">
        <v>57</v>
      </c>
      <c r="D28" s="2" t="s">
        <v>537</v>
      </c>
      <c r="E28" s="2" t="s">
        <v>328</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Assumptions!$D$147</f>
        <v>1.15</v>
      </c>
      <c r="N28" s="26" t="n">
        <f aca="false">K28*L28</f>
        <v>1.47798</v>
      </c>
      <c r="O28" s="35" t="n">
        <f aca="false">IF(I28&gt;0,H28/I28,0)</f>
        <v>8.33333333333333</v>
      </c>
      <c r="P28" s="35" t="n">
        <f aca="false">IF(N28&gt;0,(N28/L28/I28*H28+0)/N28,0)</f>
        <v>27.0639656828915</v>
      </c>
      <c r="Q28" s="39" t="n">
        <f aca="false">P28+ROW()/1000000</f>
        <v>27.0639936828915</v>
      </c>
      <c r="R28" s="23" t="n">
        <f aca="false">COUNTIFS($C$5:$C$34,C28,$Q$5:$Q$34,"&lt;"&amp;Q28)+1</f>
        <v>2</v>
      </c>
      <c r="S28" s="26" t="n">
        <f aca="false">SUMIFS($AH$5:$AH$34,$C$5:$C$34,C28,$Q$5:$Q$34,"&lt;"&amp;Q28)</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IF(E28="Slot",ROUNDUP(W28/G28,0)*F28,W28*H28)</f>
        <v>40</v>
      </c>
      <c r="Y28" s="35" t="n">
        <f aca="false">IF(U28&gt;0,0,0)</f>
        <v>0</v>
      </c>
      <c r="Z28" s="35" t="n">
        <f aca="false">IF(AND(D28="Channel",OR(E28="CPC",E28="CPA")),MIN(Assumptions!$D$49,J28*H28),0)</f>
        <v>0</v>
      </c>
      <c r="AA28" s="35" t="n">
        <f aca="false">X28+Y28</f>
        <v>40</v>
      </c>
      <c r="AB28" s="35" t="n">
        <f aca="false">IF(U28&gt;0,(X28+Y28)/U28,"–")</f>
        <v>27.0639656828915</v>
      </c>
      <c r="AC28" s="23" t="n">
        <f aca="false">COUNTIF($Q$5:$Q$34,"&lt;"&amp;Q28)+1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595</v>
      </c>
      <c r="B29" s="2" t="s">
        <v>596</v>
      </c>
      <c r="C29" s="2" t="s">
        <v>50</v>
      </c>
      <c r="D29" s="2" t="s">
        <v>537</v>
      </c>
      <c r="E29" s="2" t="s">
        <v>328</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Assumptions!$D$147</f>
        <v>1.15</v>
      </c>
      <c r="N29" s="26" t="n">
        <f aca="false">K29*L29</f>
        <v>4.162640625</v>
      </c>
      <c r="O29" s="35" t="n">
        <f aca="false">IF(I29&gt;0,H29/I29,0)</f>
        <v>370.0125</v>
      </c>
      <c r="P29" s="35" t="n">
        <f aca="false">IF(N29&gt;0,(N29/L29/I29*H29+0)/N29,0)</f>
        <v>1000</v>
      </c>
      <c r="Q29" s="39" t="n">
        <f aca="false">P29+ROW()/1000000</f>
        <v>1000.000029</v>
      </c>
      <c r="R29" s="23" t="n">
        <f aca="false">COUNTIFS($C$5:$C$34,C29,$Q$5:$Q$34,"&lt;"&amp;Q29)+1</f>
        <v>5</v>
      </c>
      <c r="S29" s="26" t="n">
        <f aca="false">SUMIFS($AH$5:$AH$34,$C$5:$C$34,C29,$Q$5:$Q$34,"&lt;"&amp;Q29)</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IF(E29="Slot",ROUNDUP(W29/G29,0)*F29,W29*H29)</f>
        <v>4162.640625</v>
      </c>
      <c r="Y29" s="35" t="n">
        <f aca="false">IF(U29&gt;0,0,0)</f>
        <v>0</v>
      </c>
      <c r="Z29" s="35" t="n">
        <f aca="false">IF(AND(D29="Channel",OR(E29="CPC",E29="CPA")),MIN(Assumptions!$D$49,J29*H29),0)</f>
        <v>0</v>
      </c>
      <c r="AA29" s="35" t="n">
        <f aca="false">X29+Y29</f>
        <v>4162.640625</v>
      </c>
      <c r="AB29" s="35" t="n">
        <f aca="false">IF(U29&gt;0,(X29+Y29)/U29,"–")</f>
        <v>1000</v>
      </c>
      <c r="AC29" s="23" t="n">
        <f aca="false">COUNTIF($Q$5:$Q$34,"&lt;"&amp;Q29)+1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597</v>
      </c>
      <c r="B30" s="2" t="s">
        <v>596</v>
      </c>
      <c r="C30" s="2" t="s">
        <v>45</v>
      </c>
      <c r="D30" s="2" t="s">
        <v>537</v>
      </c>
      <c r="E30" s="2" t="s">
        <v>328</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Assumptions!$D$147</f>
        <v>1.15</v>
      </c>
      <c r="N30" s="26" t="n">
        <f aca="false">K30*L30</f>
        <v>6.287625</v>
      </c>
      <c r="O30" s="35" t="n">
        <f aca="false">IF(I30&gt;0,H30/I30,0)</f>
        <v>465.75</v>
      </c>
      <c r="P30" s="35" t="n">
        <f aca="false">IF(N30&gt;0,(N30/L30/I30*H30+0)/N30,0)</f>
        <v>1000</v>
      </c>
      <c r="Q30" s="39" t="n">
        <f aca="false">P30+ROW()/1000000</f>
        <v>1000.00003</v>
      </c>
      <c r="R30" s="23" t="n">
        <f aca="false">COUNTIFS($C$5:$C$34,C30,$Q$5:$Q$34,"&lt;"&amp;Q30)+1</f>
        <v>8</v>
      </c>
      <c r="S30" s="26" t="n">
        <f aca="false">SUMIFS($AH$5:$AH$34,$C$5:$C$34,C30,$Q$5:$Q$34,"&lt;"&amp;Q30)</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IF(E30="Slot",ROUNDUP(W30/G30,0)*F30,W30*H30)</f>
        <v>0</v>
      </c>
      <c r="Y30" s="35" t="n">
        <f aca="false">IF(U30&gt;0,0,0)</f>
        <v>0</v>
      </c>
      <c r="Z30" s="35" t="n">
        <f aca="false">IF(AND(D30="Channel",OR(E30="CPC",E30="CPA")),MIN(Assumptions!$D$49,J30*H30),0)</f>
        <v>0</v>
      </c>
      <c r="AA30" s="35" t="n">
        <f aca="false">X30+Y30</f>
        <v>0</v>
      </c>
      <c r="AB30" s="35" t="str">
        <f aca="false">IF(U30&gt;0,(X30+Y30)/U30,"–")</f>
        <v>–</v>
      </c>
      <c r="AC30" s="23" t="n">
        <f aca="false">COUNTIF($Q$5:$Q$34,"&lt;"&amp;Q30)+1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598</v>
      </c>
      <c r="B31" s="2" t="s">
        <v>596</v>
      </c>
      <c r="C31" s="2" t="s">
        <v>55</v>
      </c>
      <c r="D31" s="2" t="s">
        <v>537</v>
      </c>
      <c r="E31" s="2" t="s">
        <v>328</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Assumptions!$D$147</f>
        <v>1.15</v>
      </c>
      <c r="N31" s="26" t="n">
        <f aca="false">K31*L31</f>
        <v>1.5136875</v>
      </c>
      <c r="O31" s="35" t="n">
        <f aca="false">IF(I31&gt;0,H31/I31,0)</f>
        <v>336.375</v>
      </c>
      <c r="P31" s="35" t="n">
        <f aca="false">IF(N31&gt;0,(N31/L31/I31*H31+0)/N31,0)</f>
        <v>1000</v>
      </c>
      <c r="Q31" s="39" t="n">
        <f aca="false">P31+ROW()/1000000</f>
        <v>1000.000031</v>
      </c>
      <c r="R31" s="23" t="n">
        <f aca="false">COUNTIFS($C$5:$C$34,C31,$Q$5:$Q$34,"&lt;"&amp;Q31)+1</f>
        <v>5</v>
      </c>
      <c r="S31" s="26" t="n">
        <f aca="false">SUMIFS($AH$5:$AH$34,$C$5:$C$34,C31,$Q$5:$Q$34,"&lt;"&amp;Q31)</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IF(E31="Slot",ROUNDUP(W31/G31,0)*F31,W31*H31)</f>
        <v>0</v>
      </c>
      <c r="Y31" s="35" t="n">
        <f aca="false">IF(U31&gt;0,0,0)</f>
        <v>0</v>
      </c>
      <c r="Z31" s="35" t="n">
        <f aca="false">IF(AND(D31="Channel",OR(E31="CPC",E31="CPA")),MIN(Assumptions!$D$49,J31*H31),0)</f>
        <v>0</v>
      </c>
      <c r="AA31" s="35" t="n">
        <f aca="false">X31+Y31</f>
        <v>0</v>
      </c>
      <c r="AB31" s="35" t="str">
        <f aca="false">IF(U31&gt;0,(X31+Y31)/U31,"–")</f>
        <v>–</v>
      </c>
      <c r="AC31" s="23" t="n">
        <f aca="false">COUNTIF($Q$5:$Q$34,"&lt;"&amp;Q31)+1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599</v>
      </c>
      <c r="B32" s="2" t="s">
        <v>596</v>
      </c>
      <c r="C32" s="2" t="s">
        <v>57</v>
      </c>
      <c r="D32" s="2" t="s">
        <v>537</v>
      </c>
      <c r="E32" s="2" t="s">
        <v>328</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Assumptions!$D$147</f>
        <v>1.15</v>
      </c>
      <c r="N32" s="26" t="n">
        <f aca="false">K32*L32</f>
        <v>1.108485</v>
      </c>
      <c r="O32" s="35" t="n">
        <f aca="false">IF(I32&gt;0,H32/I32,0)</f>
        <v>307.9125</v>
      </c>
      <c r="P32" s="35" t="n">
        <f aca="false">IF(N32&gt;0,(N32/L32/I32*H32+0)/N32,0)</f>
        <v>1000</v>
      </c>
      <c r="Q32" s="39" t="n">
        <f aca="false">P32+ROW()/1000000</f>
        <v>1000.000032</v>
      </c>
      <c r="R32" s="23" t="n">
        <f aca="false">COUNTIFS($C$5:$C$34,C32,$Q$5:$Q$34,"&lt;"&amp;Q32)+1</f>
        <v>5</v>
      </c>
      <c r="S32" s="26" t="n">
        <f aca="false">SUMIFS($AH$5:$AH$34,$C$5:$C$34,C32,$Q$5:$Q$34,"&lt;"&amp;Q32)</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IF(E32="Slot",ROUNDUP(W32/G32,0)*F32,W32*H32)</f>
        <v>445.42</v>
      </c>
      <c r="Y32" s="35" t="n">
        <f aca="false">IF(U32&gt;0,0,0)</f>
        <v>0</v>
      </c>
      <c r="Z32" s="35" t="n">
        <f aca="false">IF(AND(D32="Channel",OR(E32="CPC",E32="CPA")),MIN(Assumptions!$D$49,J32*H32),0)</f>
        <v>0</v>
      </c>
      <c r="AA32" s="35" t="n">
        <f aca="false">X32+Y32</f>
        <v>445.42</v>
      </c>
      <c r="AB32" s="35" t="n">
        <f aca="false">IF(U32&gt;0,(X32+Y32)/U32,"–")</f>
        <v>1000</v>
      </c>
      <c r="AC32" s="23" t="n">
        <f aca="false">COUNTIF($Q$5:$Q$34,"&lt;"&amp;Q32)+1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600</v>
      </c>
      <c r="B33" s="2" t="s">
        <v>601</v>
      </c>
      <c r="C33" s="2" t="s">
        <v>50</v>
      </c>
      <c r="D33" s="2" t="s">
        <v>537</v>
      </c>
      <c r="E33" s="2" t="s">
        <v>328</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Assumptions!$D$152</f>
        <v>0.8</v>
      </c>
      <c r="N33" s="26" t="n">
        <f aca="false">K33*L33</f>
        <v>11.583</v>
      </c>
      <c r="O33" s="35" t="n">
        <f aca="false">IF(I33&gt;0,H33/I33,0)</f>
        <v>200</v>
      </c>
      <c r="P33" s="35" t="n">
        <f aca="false">IF(N33&gt;0,(N33/L33/I33*H33+Initiatives!B33)/N33,0)</f>
        <v>880.600880600881</v>
      </c>
      <c r="Q33" s="39" t="n">
        <f aca="false">P33+ROW()/1000000</f>
        <v>880.600913600881</v>
      </c>
      <c r="R33" s="23" t="n">
        <f aca="false">COUNTIFS($C$5:$C$34,C33,$Q$5:$Q$34,"&lt;"&amp;Q33)+1</f>
        <v>4</v>
      </c>
      <c r="S33" s="26" t="n">
        <f aca="false">SUMIFS($AH$5:$AH$34,$C$5:$C$34,C33,$Q$5:$Q$34,"&lt;"&amp;Q33)</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IF(E33="Slot",ROUNDUP(W33/G33,0)*F33,W33*H33)</f>
        <v>9000</v>
      </c>
      <c r="Y33" s="35" t="n">
        <f aca="false">IF(U33&gt;0,Initiatives!B33,0)</f>
        <v>1200</v>
      </c>
      <c r="Z33" s="35" t="n">
        <f aca="false">IF(AND(D33="Channel",OR(E33="CPC",E33="CPA")),MIN(Assumptions!$D$49,J33*H33),0)</f>
        <v>0</v>
      </c>
      <c r="AA33" s="35" t="n">
        <f aca="false">X33+Y33</f>
        <v>10200</v>
      </c>
      <c r="AB33" s="35" t="n">
        <f aca="false">IF(U33&gt;0,(X33+Y33)/U33,"–")</f>
        <v>880.600880600881</v>
      </c>
      <c r="AC33" s="23" t="n">
        <f aca="false">COUNTIF($Q$5:$Q$34,"&lt;"&amp;Q33)+1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602</v>
      </c>
      <c r="B34" s="2" t="s">
        <v>603</v>
      </c>
      <c r="C34" s="2" t="s">
        <v>45</v>
      </c>
      <c r="D34" s="2" t="s">
        <v>537</v>
      </c>
      <c r="E34" s="2" t="s">
        <v>328</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Assumptions!$D$157</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COUNTIFS($C$5:$C$34,C34,$Q$5:$Q$34,"&lt;"&amp;Q34)+1</f>
        <v>3</v>
      </c>
      <c r="S34" s="26" t="n">
        <f aca="false">SUMIFS($AH$5:$AH$34,$C$5:$C$34,C34,$Q$5:$Q$34,"&lt;"&amp;Q34)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IF(E34="Slot",ROUNDUP(W34/G34,0)*F34,W34*H34)</f>
        <v>2745.32619584272</v>
      </c>
      <c r="Y34" s="35" t="n">
        <f aca="false">IF(U34&gt;0,Initiatives!B46,0)</f>
        <v>400</v>
      </c>
      <c r="Z34" s="35" t="n">
        <f aca="false">IF(AND(D34="Channel",OR(E34="CPC",E34="CPA")),MIN(Assumptions!$D$49,J34*H34),0)</f>
        <v>0</v>
      </c>
      <c r="AA34" s="35" t="n">
        <f aca="false">X34+Y34</f>
        <v>3145.32619584272</v>
      </c>
      <c r="AB34" s="35" t="n">
        <f aca="false">IF(U34&gt;0,(X34+Y34)/U34,"–")</f>
        <v>227.948091296738</v>
      </c>
      <c r="AC34" s="23" t="n">
        <f aca="false">COUNTIF($Q$5:$Q$34,"&lt;"&amp;Q34)+1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428</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(X35+Y35)/U35</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604</v>
      </c>
    </row>
    <row r="38" customFormat="false" ht="64.9" hidden="false" customHeight="false" outlineLevel="0" collapsed="false">
      <c r="A38" s="12"/>
      <c r="B38" s="12" t="s">
        <v>283</v>
      </c>
      <c r="C38" s="12" t="s">
        <v>49</v>
      </c>
      <c r="D38" s="12" t="s">
        <v>605</v>
      </c>
      <c r="E38" s="12" t="s">
        <v>606</v>
      </c>
    </row>
    <row r="39" customFormat="false" ht="15" hidden="false" customHeight="false" outlineLevel="0" collapsed="false">
      <c r="B39" s="2" t="s">
        <v>50</v>
      </c>
      <c r="C39" s="23" t="n">
        <f aca="false">Funnel!B5</f>
        <v>30</v>
      </c>
      <c r="D39" s="26" t="n">
        <f aca="false">SUMIFS($U$5:$U$34,$C$5:$C$34,B39)</f>
        <v>30</v>
      </c>
      <c r="E39" s="26" t="n">
        <f aca="false">IF(C39-D39&gt;0.05,C39-D39,0)</f>
        <v>0</v>
      </c>
    </row>
    <row r="40" customFormat="false" ht="15" hidden="false" customHeight="false" outlineLevel="0" collapsed="false">
      <c r="B40" s="2" t="s">
        <v>45</v>
      </c>
      <c r="C40" s="23" t="n">
        <f aca="false">Funnel!B6</f>
        <v>45</v>
      </c>
      <c r="D40" s="26" t="n">
        <f aca="false">SUMIFS($U$5:$U$34,$C$5:$C$34,B40)</f>
        <v>45</v>
      </c>
      <c r="E40" s="26" t="n">
        <f aca="false">IF(C40-D40&gt;0.05,C40-D40,0)</f>
        <v>0</v>
      </c>
    </row>
    <row r="41" customFormat="false" ht="15" hidden="false" customHeight="false" outlineLevel="0" collapsed="false">
      <c r="B41" s="2" t="s">
        <v>55</v>
      </c>
      <c r="C41" s="23" t="n">
        <f aca="false">Funnel!B7</f>
        <v>15</v>
      </c>
      <c r="D41" s="26" t="n">
        <f aca="false">SUMIFS($U$5:$U$34,$C$5:$C$34,B41)</f>
        <v>15</v>
      </c>
      <c r="E41" s="26" t="n">
        <f aca="false">IF(C41-D41&gt;0.05,C41-D41,0)</f>
        <v>0</v>
      </c>
    </row>
    <row r="42" customFormat="false" ht="15" hidden="false" customHeight="false" outlineLevel="0" collapsed="false">
      <c r="B42" s="2" t="s">
        <v>57</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607</v>
      </c>
    </row>
    <row r="4" customFormat="false" ht="15" hidden="false" customHeight="false" outlineLevel="0" collapsed="false">
      <c r="B4" s="2" t="s">
        <v>608</v>
      </c>
      <c r="C4" s="35" t="n">
        <f aca="false">SUMIFS(Channels!X5:X34,Channels!D5:D34,"Channel")</f>
        <v>20430.0813769564</v>
      </c>
    </row>
    <row r="5" customFormat="false" ht="15" hidden="false" customHeight="false" outlineLevel="0" collapsed="false">
      <c r="B5" s="2" t="s">
        <v>609</v>
      </c>
      <c r="C5" s="35" t="n">
        <f aca="false">SUMIFS(Channels!X5:X34,Channels!D5:D34,"Initiative")</f>
        <v>16703.3868208427</v>
      </c>
    </row>
    <row r="6" customFormat="false" ht="15" hidden="false" customHeight="false" outlineLevel="0" collapsed="false">
      <c r="B6" s="2" t="s">
        <v>610</v>
      </c>
      <c r="C6" s="35" t="n">
        <f aca="false">Channels!Y35</f>
        <v>1600</v>
      </c>
    </row>
    <row r="7" customFormat="false" ht="15" hidden="false" customHeight="false" outlineLevel="0" collapsed="false">
      <c r="B7" s="2" t="s">
        <v>611</v>
      </c>
      <c r="C7" s="35" t="n">
        <f aca="false">C4+C5+C6</f>
        <v>38733.4681977991</v>
      </c>
    </row>
    <row r="8" customFormat="false" ht="15" hidden="false" customHeight="false" outlineLevel="0" collapsed="false">
      <c r="B8" s="2" t="s">
        <v>612</v>
      </c>
      <c r="C8" s="35" t="n">
        <f aca="false">Channels!Z35</f>
        <v>9000</v>
      </c>
    </row>
    <row r="9" customFormat="false" ht="15" hidden="false" customHeight="false" outlineLevel="0" collapsed="false">
      <c r="B9" s="2" t="s">
        <v>613</v>
      </c>
      <c r="C9" s="35" t="n">
        <f aca="false">C7</f>
        <v>38733.4681977991</v>
      </c>
    </row>
    <row r="10" customFormat="false" ht="15" hidden="false" customHeight="false" outlineLevel="0" collapsed="false">
      <c r="B10" s="2" t="s">
        <v>614</v>
      </c>
      <c r="C10" s="35" t="n">
        <f aca="false">C9/(1-Assumptions!$D$48)*Assumptions!$D$48</f>
        <v>6835.31791725867</v>
      </c>
    </row>
    <row r="11" customFormat="false" ht="15" hidden="false" customHeight="false" outlineLevel="0" collapsed="false">
      <c r="B11" s="2" t="s">
        <v>615</v>
      </c>
      <c r="C11" s="35" t="n">
        <f aca="false">C9+C10</f>
        <v>45568.7861150578</v>
      </c>
    </row>
    <row r="12" customFormat="false" ht="15" hidden="false" customHeight="false" outlineLevel="0" collapsed="false">
      <c r="B12" s="22" t="s">
        <v>616</v>
      </c>
      <c r="C12" s="4" t="n">
        <f aca="false">ROUNDUP(C11/Assumptions!$D$51,0)*Assumptions!$D$51</f>
        <v>47500</v>
      </c>
    </row>
    <row r="13" customFormat="false" ht="15" hidden="false" customHeight="false" outlineLevel="0" collapsed="false">
      <c r="B13" s="2" t="s">
        <v>617</v>
      </c>
      <c r="C13" s="40" t="n">
        <f aca="false">MIN(Channels!U35,Funnel!B26)</f>
        <v>100</v>
      </c>
    </row>
    <row r="14" customFormat="false" ht="15" hidden="false" customHeight="false" outlineLevel="0" collapsed="false">
      <c r="B14" s="2" t="s">
        <v>618</v>
      </c>
      <c r="C14" s="41" t="n">
        <f aca="false">C9/C13</f>
        <v>387.334681977991</v>
      </c>
    </row>
    <row r="15" customFormat="false" ht="15" hidden="false" customHeight="false" outlineLevel="0" collapsed="false">
      <c r="B15" s="2" t="s">
        <v>619</v>
      </c>
      <c r="C15" s="35" t="n">
        <f aca="false">C12/C13</f>
        <v>475</v>
      </c>
    </row>
    <row r="16" customFormat="false" ht="15" hidden="false" customHeight="false" outlineLevel="0" collapsed="false">
      <c r="B16" s="2" t="s">
        <v>620</v>
      </c>
      <c r="C16" s="24" t="n">
        <f aca="false">Weekly!N5/C12</f>
        <v>0.297811868076705</v>
      </c>
    </row>
    <row r="19" customFormat="false" ht="15" hidden="false" customHeight="false" outlineLevel="0" collapsed="false">
      <c r="B19" s="22" t="s">
        <v>621</v>
      </c>
    </row>
    <row r="20" customFormat="false" ht="26.85" hidden="false" customHeight="false" outlineLevel="0" collapsed="false">
      <c r="A20" s="12"/>
      <c r="B20" s="12" t="s">
        <v>283</v>
      </c>
      <c r="C20" s="12" t="s">
        <v>622</v>
      </c>
      <c r="D20" s="12" t="s">
        <v>579</v>
      </c>
      <c r="E20" s="12" t="s">
        <v>623</v>
      </c>
      <c r="F20" s="12" t="s">
        <v>581</v>
      </c>
      <c r="G20" s="12" t="s">
        <v>624</v>
      </c>
      <c r="H20" s="12" t="s">
        <v>625</v>
      </c>
      <c r="I20" s="12" t="s">
        <v>626</v>
      </c>
    </row>
    <row r="21" customFormat="false" ht="15" hidden="false" customHeight="false" outlineLevel="0" collapsed="false">
      <c r="B21" s="2" t="s">
        <v>50</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F21/G21</f>
        <v>664.197544642857</v>
      </c>
      <c r="I21" s="26" t="n">
        <f aca="false">SUMIFS(Channels!$V$5:$V$34,Channels!$C$5:$C$34,B21)</f>
        <v>98.7525932400932</v>
      </c>
    </row>
    <row r="22" customFormat="false" ht="15" hidden="false" customHeight="false" outlineLevel="0" collapsed="false">
      <c r="B22" s="2" t="s">
        <v>45</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F22/G22</f>
        <v>123.229471018727</v>
      </c>
      <c r="I22" s="26" t="n">
        <f aca="false">SUMIFS(Channels!$V$5:$V$34,Channels!$C$5:$C$34,B22)</f>
        <v>105.313820018365</v>
      </c>
    </row>
    <row r="23" customFormat="false" ht="15" hidden="false" customHeight="false" outlineLevel="0" collapsed="false">
      <c r="B23" s="2" t="s">
        <v>55</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F23/G23</f>
        <v>447.262567987568</v>
      </c>
      <c r="I23" s="26" t="n">
        <f aca="false">SUMIFS(Channels!$V$5:$V$34,Channels!$C$5:$C$34,B23)</f>
        <v>50.2020512820513</v>
      </c>
    </row>
    <row r="24" customFormat="false" ht="15" hidden="false" customHeight="false" outlineLevel="0" collapsed="false">
      <c r="B24" s="2" t="s">
        <v>57</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F24/G24</f>
        <v>655.327714285714</v>
      </c>
      <c r="I24" s="26" t="n">
        <f aca="false">SUMIFS(Channels!$V$5:$V$34,Channels!$C$5:$C$34,B24)</f>
        <v>36.4112856736898</v>
      </c>
    </row>
    <row r="25" customFormat="false" ht="15" hidden="false" customHeight="false" outlineLevel="0" collapsed="false">
      <c r="B25" s="22" t="s">
        <v>428</v>
      </c>
      <c r="C25" s="36" t="n">
        <f aca="false">SUM(C21:C24)</f>
        <v>37133.4681977991</v>
      </c>
      <c r="D25" s="36" t="n">
        <f aca="false">SUM(D21:D24)</f>
        <v>1600</v>
      </c>
      <c r="E25" s="36" t="n">
        <f aca="false">SUM(E21:E24)</f>
        <v>9000</v>
      </c>
      <c r="F25" s="36" t="n">
        <f aca="false">SUM(F21:F24)</f>
        <v>38733.4681977991</v>
      </c>
      <c r="G25" s="29" t="n">
        <f aca="false">SUM(G21:G24)</f>
        <v>100</v>
      </c>
      <c r="H25" s="36" t="n">
        <f aca="false">F25/G25</f>
        <v>387.334681977991</v>
      </c>
      <c r="I25" s="29" t="n">
        <f aca="false">SUM(I21:I24)</f>
        <v>290.6797502142</v>
      </c>
    </row>
    <row r="27" customFormat="false" ht="15" hidden="false" customHeight="false" outlineLevel="0" collapsed="false">
      <c r="B27" s="22" t="s">
        <v>627</v>
      </c>
    </row>
    <row r="28" customFormat="false" ht="26.85" hidden="false" customHeight="false" outlineLevel="0" collapsed="false">
      <c r="A28" s="12"/>
      <c r="B28" s="12" t="s">
        <v>282</v>
      </c>
      <c r="C28" s="12" t="s">
        <v>581</v>
      </c>
      <c r="D28" s="12" t="s">
        <v>624</v>
      </c>
      <c r="E28" s="12" t="s">
        <v>625</v>
      </c>
      <c r="F28" s="12" t="s">
        <v>628</v>
      </c>
    </row>
    <row r="29" customFormat="false" ht="15" hidden="false" customHeight="false" outlineLevel="0" collapsed="false">
      <c r="B29" s="2" t="s">
        <v>292</v>
      </c>
      <c r="C29" s="35" t="n">
        <f aca="false">SUMIFS(Channels!$AA$5:$AA$34,Channels!$B$5:$B$34,B29)</f>
        <v>0</v>
      </c>
      <c r="D29" s="26" t="n">
        <f aca="false">SUMIFS(Channels!$U$5:$U$34,Channels!$B$5:$B$34,B29)</f>
        <v>22.0662</v>
      </c>
      <c r="E29" s="35" t="n">
        <f aca="false">IF(D29&gt;0,C29/D29,"–")</f>
        <v>0</v>
      </c>
      <c r="F29" s="24" t="n">
        <f aca="false">C29/$C$9</f>
        <v>0</v>
      </c>
    </row>
    <row r="30" customFormat="false" ht="15" hidden="false" customHeight="false" outlineLevel="0" collapsed="false">
      <c r="B30" s="2" t="s">
        <v>301</v>
      </c>
      <c r="C30" s="35" t="n">
        <f aca="false">SUMIFS(Channels!$AA$5:$AA$34,Channels!$B$5:$B$34,B30)</f>
        <v>3000</v>
      </c>
      <c r="D30" s="26" t="n">
        <f aca="false">SUMIFS(Channels!$U$5:$U$34,Channels!$B$5:$B$34,B30)</f>
        <v>4.34863125</v>
      </c>
      <c r="E30" s="35" t="n">
        <f aca="false">IF(D30&gt;0,C30/D30,"–")</f>
        <v>689.872244283762</v>
      </c>
      <c r="F30" s="24" t="n">
        <f aca="false">C30/$C$9</f>
        <v>0.0774523981348633</v>
      </c>
    </row>
    <row r="31" customFormat="false" ht="15" hidden="false" customHeight="false" outlineLevel="0" collapsed="false">
      <c r="B31" s="2" t="s">
        <v>312</v>
      </c>
      <c r="C31" s="35" t="n">
        <f aca="false">SUMIFS(Channels!$AA$5:$AA$34,Channels!$B$5:$B$34,B31)</f>
        <v>1449</v>
      </c>
      <c r="D31" s="26" t="n">
        <f aca="false">SUMIFS(Channels!$U$5:$U$34,Channels!$B$5:$B$34,B31)</f>
        <v>0.915140624999999</v>
      </c>
      <c r="E31" s="35" t="n">
        <f aca="false">IF(D31&gt;0,C31/D31,"–")</f>
        <v>1583.36321262101</v>
      </c>
      <c r="F31" s="24" t="n">
        <f aca="false">C31/$C$9</f>
        <v>0.037409508299139</v>
      </c>
    </row>
    <row r="32" customFormat="false" ht="15" hidden="false" customHeight="false" outlineLevel="0" collapsed="false">
      <c r="B32" s="2" t="s">
        <v>322</v>
      </c>
      <c r="C32" s="35" t="n">
        <f aca="false">SUMIFS(Channels!$AA$5:$AA$34,Channels!$B$5:$B$34,B32)</f>
        <v>9523.93851981352</v>
      </c>
      <c r="D32" s="26" t="n">
        <f aca="false">SUMIFS(Channels!$U$5:$U$34,Channels!$B$5:$B$34,B32)</f>
        <v>13.9610829545455</v>
      </c>
      <c r="E32" s="35" t="n">
        <f aca="false">IF(D32&gt;0,C32/D32,"–")</f>
        <v>682.177632696661</v>
      </c>
      <c r="F32" s="24" t="n">
        <f aca="false">C32/$C$9</f>
        <v>0.245883959349519</v>
      </c>
    </row>
    <row r="33" customFormat="false" ht="15" hidden="false" customHeight="false" outlineLevel="0" collapsed="false">
      <c r="B33" s="2" t="s">
        <v>327</v>
      </c>
      <c r="C33" s="35" t="n">
        <f aca="false">SUMIFS(Channels!$AA$5:$AA$34,Channels!$B$5:$B$34,B33)</f>
        <v>1500</v>
      </c>
      <c r="D33" s="26" t="n">
        <f aca="false">SUMIFS(Channels!$U$5:$U$34,Channels!$B$5:$B$34,B33)</f>
        <v>3.7078125</v>
      </c>
      <c r="E33" s="35" t="n">
        <f aca="false">IF(D33&gt;0,C33/D33,"–")</f>
        <v>404.551201011378</v>
      </c>
      <c r="F33" s="24" t="n">
        <f aca="false">C33/$C$9</f>
        <v>0.0387261990674316</v>
      </c>
    </row>
    <row r="34" customFormat="false" ht="15" hidden="false" customHeight="false" outlineLevel="0" collapsed="false">
      <c r="B34" s="2" t="s">
        <v>333</v>
      </c>
      <c r="C34" s="35" t="n">
        <f aca="false">SUMIFS(Channels!$AA$5:$AA$34,Channels!$B$5:$B$34,B34)</f>
        <v>4957.14285714286</v>
      </c>
      <c r="D34" s="26" t="n">
        <f aca="false">SUMIFS(Channels!$U$5:$U$34,Channels!$B$5:$B$34,B34)</f>
        <v>8.28811022727273</v>
      </c>
      <c r="E34" s="35" t="n">
        <f aca="false">IF(D34&gt;0,C34/D34,"–")</f>
        <v>598.102911424966</v>
      </c>
      <c r="F34" s="24" t="n">
        <f aca="false">C34/$C$9</f>
        <v>0.127980867394274</v>
      </c>
    </row>
    <row r="35" customFormat="false" ht="15" hidden="false" customHeight="false" outlineLevel="0" collapsed="false">
      <c r="B35" s="2" t="s">
        <v>591</v>
      </c>
      <c r="C35" s="35" t="n">
        <f aca="false">SUMIFS(Channels!$AA$5:$AA$34,Channels!$B$5:$B$34,B35)</f>
        <v>350</v>
      </c>
      <c r="D35" s="26" t="n">
        <f aca="false">SUMIFS(Channels!$U$5:$U$34,Channels!$B$5:$B$34,B35)</f>
        <v>16.72353</v>
      </c>
      <c r="E35" s="35" t="n">
        <f aca="false">IF(D35&gt;0,C35/D35,"–")</f>
        <v>20.9285958167923</v>
      </c>
      <c r="F35" s="24" t="n">
        <f aca="false">C35/$C$9</f>
        <v>0.00903611311573405</v>
      </c>
    </row>
    <row r="36" customFormat="false" ht="15" hidden="false" customHeight="false" outlineLevel="0" collapsed="false">
      <c r="B36" s="2" t="s">
        <v>596</v>
      </c>
      <c r="C36" s="35" t="n">
        <f aca="false">SUMIFS(Channels!$AA$5:$AA$34,Channels!$B$5:$B$34,B36)</f>
        <v>4608.060625</v>
      </c>
      <c r="D36" s="26" t="n">
        <f aca="false">SUMIFS(Channels!$U$5:$U$34,Channels!$B$5:$B$34,B36)</f>
        <v>4.608060625</v>
      </c>
      <c r="E36" s="35" t="n">
        <f aca="false">IF(D36&gt;0,C36/D36,"–")</f>
        <v>1000</v>
      </c>
      <c r="F36" s="24" t="n">
        <f aca="false">C36/$C$9</f>
        <v>0.118968448719029</v>
      </c>
    </row>
    <row r="37" customFormat="false" ht="15" hidden="false" customHeight="false" outlineLevel="0" collapsed="false">
      <c r="B37" s="2" t="s">
        <v>601</v>
      </c>
      <c r="C37" s="35" t="n">
        <f aca="false">SUMIFS(Channels!$AA$5:$AA$34,Channels!$B$5:$B$34,B37)</f>
        <v>10200</v>
      </c>
      <c r="D37" s="26" t="n">
        <f aca="false">SUMIFS(Channels!$U$5:$U$34,Channels!$B$5:$B$34,B37)</f>
        <v>11.583</v>
      </c>
      <c r="E37" s="35" t="n">
        <f aca="false">IF(D37&gt;0,C37/D37,"–")</f>
        <v>880.600880600881</v>
      </c>
      <c r="F37" s="24" t="n">
        <f aca="false">C37/$C$9</f>
        <v>0.263338153658535</v>
      </c>
    </row>
    <row r="38" customFormat="false" ht="15" hidden="false" customHeight="false" outlineLevel="0" collapsed="false">
      <c r="B38" s="2" t="s">
        <v>603</v>
      </c>
      <c r="C38" s="35" t="n">
        <f aca="false">SUMIFS(Channels!$AA$5:$AA$34,Channels!$B$5:$B$34,B38)</f>
        <v>3145.32619584272</v>
      </c>
      <c r="D38" s="26" t="n">
        <f aca="false">SUMIFS(Channels!$U$5:$U$34,Channels!$B$5:$B$34,B38)</f>
        <v>13.7984318181818</v>
      </c>
      <c r="E38" s="35" t="n">
        <f aca="false">IF(D38&gt;0,C38/D38,"–")</f>
        <v>227.948091296738</v>
      </c>
      <c r="F38" s="24" t="n">
        <f aca="false">C38/$C$9</f>
        <v>0.0812043522614752</v>
      </c>
    </row>
    <row r="39" customFormat="false" ht="15" hidden="false" customHeight="false" outlineLevel="0" collapsed="false">
      <c r="B39" s="22" t="s">
        <v>428</v>
      </c>
      <c r="C39" s="36" t="n">
        <f aca="false">SUM(C29:C38)</f>
        <v>38733.4681977991</v>
      </c>
      <c r="D39" s="29" t="n">
        <f aca="false">SUM(D29:D38)</f>
        <v>100</v>
      </c>
    </row>
    <row r="40" customFormat="false" ht="15" hidden="false" customHeight="false" outlineLevel="0" collapsed="false">
      <c r="B40" s="2" t="str">
        <f aca="false">IF(ABS(C39-C9)&lt;1,"✓ ties to planned spend","✗ check: channel totals ≠ planned spend")</f>
        <v>✓ ties to planned spend</v>
      </c>
    </row>
    <row r="42" customFormat="false" ht="15" hidden="false" customHeight="false" outlineLevel="0" collapsed="false">
      <c r="B42" s="22" t="s">
        <v>629</v>
      </c>
    </row>
    <row r="43" customFormat="false" ht="15" hidden="false" customHeight="false" outlineLevel="0" collapsed="false">
      <c r="B43" s="2" t="s">
        <v>630</v>
      </c>
    </row>
    <row r="44" customFormat="false" ht="15" hidden="false" customHeight="false" outlineLevel="0" collapsed="false">
      <c r="A44" s="12"/>
      <c r="B44" s="12" t="s">
        <v>631</v>
      </c>
      <c r="C44" s="12" t="s">
        <v>632</v>
      </c>
      <c r="D44" s="12" t="s">
        <v>50</v>
      </c>
      <c r="E44" s="12" t="s">
        <v>45</v>
      </c>
      <c r="F44" s="12" t="s">
        <v>55</v>
      </c>
      <c r="G44" s="12" t="s">
        <v>57</v>
      </c>
      <c r="H44" s="12" t="s">
        <v>633</v>
      </c>
      <c r="I44" s="12" t="s">
        <v>625</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C45/H45</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C46/H46</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C47/H47</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C48/H48</f>
        <v>295.841171574422</v>
      </c>
    </row>
    <row r="50" customFormat="false" ht="15" hidden="false" customHeight="true" outlineLevel="0" collapsed="false">
      <c r="B50" s="9" t="s">
        <v>634</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635</v>
      </c>
    </row>
    <row r="2" customFormat="false" ht="15" hidden="false" customHeight="false" outlineLevel="0" collapsed="false">
      <c r="A2" s="2" t="s">
        <v>636</v>
      </c>
    </row>
    <row r="3" customFormat="false" ht="15" hidden="false" customHeight="false" outlineLevel="0" collapsed="false">
      <c r="E3" s="22" t="s">
        <v>637</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632</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638</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639</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22</v>
      </c>
      <c r="B7" s="12" t="s">
        <v>283</v>
      </c>
      <c r="C7" s="12" t="s">
        <v>640</v>
      </c>
      <c r="D7" s="12" t="s">
        <v>641</v>
      </c>
      <c r="E7" s="12" t="s">
        <v>624</v>
      </c>
      <c r="F7" s="12" t="s">
        <v>642</v>
      </c>
      <c r="G7" s="12" t="s">
        <v>643</v>
      </c>
      <c r="H7" s="12" t="s">
        <v>644</v>
      </c>
      <c r="I7" s="12" t="s">
        <v>645</v>
      </c>
      <c r="J7" s="12" t="s">
        <v>646</v>
      </c>
      <c r="K7" s="12" t="s">
        <v>647</v>
      </c>
      <c r="L7" s="12" t="s">
        <v>648</v>
      </c>
      <c r="M7" s="12" t="s">
        <v>649</v>
      </c>
      <c r="N7" s="12" t="s">
        <v>622</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MIN(C8,MAX(0,F$6-SUMIFS($C$8:$C$37,$D$8:$D$37,"&gt;"&amp;D8)))</f>
        <v>0</v>
      </c>
      <c r="K8" s="35" t="n">
        <f aca="false">MIN(C8,MAX(0,G$6-SUMIFS($C$8:$C$37,$D$8:$D$37,"&gt;"&amp;D8)))</f>
        <v>0</v>
      </c>
      <c r="L8" s="35" t="n">
        <f aca="false">MIN(C8,MAX(0,H$6-SUMIFS($C$8:$C$37,$D$8:$D$37,"&gt;"&amp;D8)))</f>
        <v>0</v>
      </c>
      <c r="M8" s="35" t="n">
        <f aca="false">MIN(C8,MAX(0,I$6-SUMIFS($C$8:$C$37,$D$8:$D$37,"&gt;"&amp;D8)))</f>
        <v>0</v>
      </c>
      <c r="N8" s="35" t="n">
        <f aca="false">Channels!X5</f>
        <v>0</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MIN(C9,MAX(0,F$6-SUMIFS($C$8:$C$37,$D$8:$D$37,"&gt;"&amp;D9)))</f>
        <v>0</v>
      </c>
      <c r="K9" s="35" t="n">
        <f aca="false">MIN(C9,MAX(0,G$6-SUMIFS($C$8:$C$37,$D$8:$D$37,"&gt;"&amp;D9)))</f>
        <v>0</v>
      </c>
      <c r="L9" s="35" t="n">
        <f aca="false">MIN(C9,MAX(0,H$6-SUMIFS($C$8:$C$37,$D$8:$D$37,"&gt;"&amp;D9)))</f>
        <v>0</v>
      </c>
      <c r="M9" s="35" t="n">
        <f aca="false">MIN(C9,MAX(0,I$6-SUMIFS($C$8:$C$37,$D$8:$D$37,"&gt;"&amp;D9)))</f>
        <v>0</v>
      </c>
      <c r="N9" s="35" t="n">
        <f aca="false">Channels!X6</f>
        <v>0</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MIN(C10,MAX(0,F$6-SUMIFS($C$8:$C$37,$D$8:$D$37,"&gt;"&amp;D10)))</f>
        <v>0</v>
      </c>
      <c r="K10" s="35" t="n">
        <f aca="false">MIN(C10,MAX(0,G$6-SUMIFS($C$8:$C$37,$D$8:$D$37,"&gt;"&amp;D10)))</f>
        <v>0</v>
      </c>
      <c r="L10" s="35" t="n">
        <f aca="false">MIN(C10,MAX(0,H$6-SUMIFS($C$8:$C$37,$D$8:$D$37,"&gt;"&amp;D10)))</f>
        <v>0</v>
      </c>
      <c r="M10" s="35" t="n">
        <f aca="false">MIN(C10,MAX(0,I$6-SUMIFS($C$8:$C$37,$D$8:$D$37,"&gt;"&amp;D10)))</f>
        <v>0</v>
      </c>
      <c r="N10" s="35" t="n">
        <f aca="false">Channels!X7</f>
        <v>0</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MIN(C11,MAX(0,F$6-SUMIFS($C$8:$C$37,$D$8:$D$37,"&gt;"&amp;D11)))</f>
        <v>0</v>
      </c>
      <c r="K11" s="35" t="n">
        <f aca="false">MIN(C11,MAX(0,G$6-SUMIFS($C$8:$C$37,$D$8:$D$37,"&gt;"&amp;D11)))</f>
        <v>0</v>
      </c>
      <c r="L11" s="35" t="n">
        <f aca="false">MIN(C11,MAX(0,H$6-SUMIFS($C$8:$C$37,$D$8:$D$37,"&gt;"&amp;D11)))</f>
        <v>0</v>
      </c>
      <c r="M11" s="35" t="n">
        <f aca="false">MIN(C11,MAX(0,I$6-SUMIFS($C$8:$C$37,$D$8:$D$37,"&gt;"&amp;D11)))</f>
        <v>0</v>
      </c>
      <c r="N11" s="35" t="n">
        <f aca="false">Channels!X8</f>
        <v>0</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MIN(C12,MAX(0,F$6-SUMIFS($C$8:$C$37,$D$8:$D$37,"&gt;"&amp;D12)))</f>
        <v>0</v>
      </c>
      <c r="K12" s="35" t="n">
        <f aca="false">MIN(C12,MAX(0,G$6-SUMIFS($C$8:$C$37,$D$8:$D$37,"&gt;"&amp;D12)))</f>
        <v>750</v>
      </c>
      <c r="L12" s="35" t="n">
        <f aca="false">MIN(C12,MAX(0,H$6-SUMIFS($C$8:$C$37,$D$8:$D$37,"&gt;"&amp;D12)))</f>
        <v>750</v>
      </c>
      <c r="M12" s="35" t="n">
        <f aca="false">MIN(C12,MAX(0,I$6-SUMIFS($C$8:$C$37,$D$8:$D$37,"&gt;"&amp;D12)))</f>
        <v>750</v>
      </c>
      <c r="N12" s="35" t="n">
        <f aca="false">Channels!X9</f>
        <v>750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MIN(C13,MAX(0,F$6-SUMIFS($C$8:$C$37,$D$8:$D$37,"&gt;"&amp;D13)))</f>
        <v>0</v>
      </c>
      <c r="K13" s="35" t="n">
        <f aca="false">MIN(C13,MAX(0,G$6-SUMIFS($C$8:$C$37,$D$8:$D$37,"&gt;"&amp;D13)))</f>
        <v>0</v>
      </c>
      <c r="L13" s="35" t="n">
        <f aca="false">MIN(C13,MAX(0,H$6-SUMIFS($C$8:$C$37,$D$8:$D$37,"&gt;"&amp;D13)))</f>
        <v>0</v>
      </c>
      <c r="M13" s="35" t="n">
        <f aca="false">MIN(C13,MAX(0,I$6-SUMIFS($C$8:$C$37,$D$8:$D$37,"&gt;"&amp;D13)))</f>
        <v>0</v>
      </c>
      <c r="N13" s="35" t="n">
        <f aca="false">Channels!X10</f>
        <v>750</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MIN(C14,MAX(0,F$6-SUMIFS($C$8:$C$37,$D$8:$D$37,"&gt;"&amp;D14)))</f>
        <v>0</v>
      </c>
      <c r="K14" s="35" t="n">
        <f aca="false">MIN(C14,MAX(0,G$6-SUMIFS($C$8:$C$37,$D$8:$D$37,"&gt;"&amp;D14)))</f>
        <v>750</v>
      </c>
      <c r="L14" s="35" t="n">
        <f aca="false">MIN(C14,MAX(0,H$6-SUMIFS($C$8:$C$37,$D$8:$D$37,"&gt;"&amp;D14)))</f>
        <v>750</v>
      </c>
      <c r="M14" s="35" t="n">
        <f aca="false">MIN(C14,MAX(0,I$6-SUMIFS($C$8:$C$37,$D$8:$D$37,"&gt;"&amp;D14)))</f>
        <v>750</v>
      </c>
      <c r="N14" s="35" t="n">
        <f aca="false">Channels!X11</f>
        <v>750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MIN(C15,MAX(0,F$6-SUMIFS($C$8:$C$37,$D$8:$D$37,"&gt;"&amp;D15)))</f>
        <v>0</v>
      </c>
      <c r="K15" s="35" t="n">
        <f aca="false">MIN(C15,MAX(0,G$6-SUMIFS($C$8:$C$37,$D$8:$D$37,"&gt;"&amp;D15)))</f>
        <v>750</v>
      </c>
      <c r="L15" s="35" t="n">
        <f aca="false">MIN(C15,MAX(0,H$6-SUMIFS($C$8:$C$37,$D$8:$D$37,"&gt;"&amp;D15)))</f>
        <v>750</v>
      </c>
      <c r="M15" s="35" t="n">
        <f aca="false">MIN(C15,MAX(0,I$6-SUMIFS($C$8:$C$37,$D$8:$D$37,"&gt;"&amp;D15)))</f>
        <v>750</v>
      </c>
      <c r="N15" s="35" t="n">
        <f aca="false">Channels!X12</f>
        <v>750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MIN(C16,MAX(0,F$6-SUMIFS($C$8:$C$37,$D$8:$D$37,"&gt;"&amp;D16)))</f>
        <v>0</v>
      </c>
      <c r="K16" s="35" t="n">
        <f aca="false">MIN(C16,MAX(0,G$6-SUMIFS($C$8:$C$37,$D$8:$D$37,"&gt;"&amp;D16)))</f>
        <v>1449</v>
      </c>
      <c r="L16" s="35" t="n">
        <f aca="false">MIN(C16,MAX(0,H$6-SUMIFS($C$8:$C$37,$D$8:$D$37,"&gt;"&amp;D16)))</f>
        <v>1449</v>
      </c>
      <c r="M16" s="35" t="n">
        <f aca="false">MIN(C16,MAX(0,I$6-SUMIFS($C$8:$C$37,$D$8:$D$37,"&gt;"&amp;D16)))</f>
        <v>1449</v>
      </c>
      <c r="N16" s="35" t="n">
        <f aca="false">Channels!X13</f>
        <v>1449</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MIN(C17,MAX(0,F$6-SUMIFS($C$8:$C$37,$D$8:$D$37,"&gt;"&amp;D17)))</f>
        <v>0</v>
      </c>
      <c r="K17" s="35" t="n">
        <f aca="false">MIN(C17,MAX(0,G$6-SUMIFS($C$8:$C$37,$D$8:$D$37,"&gt;"&amp;D17)))</f>
        <v>0</v>
      </c>
      <c r="L17" s="35" t="n">
        <f aca="false">MIN(C17,MAX(0,H$6-SUMIFS($C$8:$C$37,$D$8:$D$37,"&gt;"&amp;D17)))</f>
        <v>0</v>
      </c>
      <c r="M17" s="35" t="n">
        <f aca="false">MIN(C17,MAX(0,I$6-SUMIFS($C$8:$C$37,$D$8:$D$37,"&gt;"&amp;D17)))</f>
        <v>0</v>
      </c>
      <c r="N17" s="35" t="n">
        <f aca="false">Channels!X14</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MIN(C18,MAX(0,F$6-SUMIFS($C$8:$C$37,$D$8:$D$37,"&gt;"&amp;D18)))</f>
        <v>0</v>
      </c>
      <c r="K18" s="35" t="n">
        <f aca="false">MIN(C18,MAX(0,G$6-SUMIFS($C$8:$C$37,$D$8:$D$37,"&gt;"&amp;D18)))</f>
        <v>0</v>
      </c>
      <c r="L18" s="35" t="n">
        <f aca="false">MIN(C18,MAX(0,H$6-SUMIFS($C$8:$C$37,$D$8:$D$37,"&gt;"&amp;D18)))</f>
        <v>0</v>
      </c>
      <c r="M18" s="35" t="n">
        <f aca="false">MIN(C18,MAX(0,I$6-SUMIFS($C$8:$C$37,$D$8:$D$37,"&gt;"&amp;D18)))</f>
        <v>0</v>
      </c>
      <c r="N18" s="35" t="n">
        <f aca="false">Channels!X15</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MIN(C19,MAX(0,F$6-SUMIFS($C$8:$C$37,$D$8:$D$37,"&gt;"&amp;D19)))</f>
        <v>0</v>
      </c>
      <c r="K19" s="35" t="n">
        <f aca="false">MIN(C19,MAX(0,G$6-SUMIFS($C$8:$C$37,$D$8:$D$37,"&gt;"&amp;D19)))</f>
        <v>0</v>
      </c>
      <c r="L19" s="35" t="n">
        <f aca="false">MIN(C19,MAX(0,H$6-SUMIFS($C$8:$C$37,$D$8:$D$37,"&gt;"&amp;D19)))</f>
        <v>0</v>
      </c>
      <c r="M19" s="35" t="n">
        <f aca="false">MIN(C19,MAX(0,I$6-SUMIFS($C$8:$C$37,$D$8:$D$37,"&gt;"&amp;D19)))</f>
        <v>0</v>
      </c>
      <c r="N19" s="35" t="n">
        <f aca="false">Channels!X16</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MIN(C20,MAX(0,F$6-SUMIFS($C$8:$C$37,$D$8:$D$37,"&gt;"&amp;D20)))</f>
        <v>0</v>
      </c>
      <c r="K20" s="35" t="n">
        <f aca="false">MIN(C20,MAX(0,G$6-SUMIFS($C$8:$C$37,$D$8:$D$37,"&gt;"&amp;D20)))</f>
        <v>0</v>
      </c>
      <c r="L20" s="35" t="n">
        <f aca="false">MIN(C20,MAX(0,H$6-SUMIFS($C$8:$C$37,$D$8:$D$37,"&gt;"&amp;D20)))</f>
        <v>0</v>
      </c>
      <c r="M20" s="35" t="n">
        <f aca="false">MIN(C20,MAX(0,I$6-SUMIFS($C$8:$C$37,$D$8:$D$37,"&gt;"&amp;D20)))</f>
        <v>0</v>
      </c>
      <c r="N20" s="35" t="n">
        <f aca="false">Channels!X17</f>
        <v>5148.93851981352</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MIN(C21,MAX(0,F$6-SUMIFS($C$8:$C$37,$D$8:$D$37,"&gt;"&amp;D21)))</f>
        <v>0</v>
      </c>
      <c r="K21" s="35" t="n">
        <f aca="false">MIN(C21,MAX(0,G$6-SUMIFS($C$8:$C$37,$D$8:$D$37,"&gt;"&amp;D21)))</f>
        <v>0</v>
      </c>
      <c r="L21" s="35" t="n">
        <f aca="false">MIN(C21,MAX(0,H$6-SUMIFS($C$8:$C$37,$D$8:$D$37,"&gt;"&amp;D21)))</f>
        <v>0</v>
      </c>
      <c r="M21" s="35" t="n">
        <f aca="false">MIN(C21,MAX(0,I$6-SUMIFS($C$8:$C$37,$D$8:$D$37,"&gt;"&amp;D21)))</f>
        <v>0</v>
      </c>
      <c r="N21" s="35" t="n">
        <f aca="false">Channels!X18</f>
        <v>4375</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MIN(C22,MAX(0,F$6-SUMIFS($C$8:$C$37,$D$8:$D$37,"&gt;"&amp;D22)))</f>
        <v>0</v>
      </c>
      <c r="K22" s="35" t="n">
        <f aca="false">MIN(C22,MAX(0,G$6-SUMIFS($C$8:$C$37,$D$8:$D$37,"&gt;"&amp;D22)))</f>
        <v>715.718197799099</v>
      </c>
      <c r="L22" s="35" t="n">
        <f aca="false">MIN(C22,MAX(0,H$6-SUMIFS($C$8:$C$37,$D$8:$D$37,"&gt;"&amp;D22)))</f>
        <v>750</v>
      </c>
      <c r="M22" s="35" t="n">
        <f aca="false">MIN(C22,MAX(0,I$6-SUMIFS($C$8:$C$37,$D$8:$D$37,"&gt;"&amp;D22)))</f>
        <v>750</v>
      </c>
      <c r="N22" s="35" t="n">
        <f aca="false">Channels!X19</f>
        <v>750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MIN(C23,MAX(0,F$6-SUMIFS($C$8:$C$37,$D$8:$D$37,"&gt;"&amp;D23)))</f>
        <v>0</v>
      </c>
      <c r="K23" s="35" t="n">
        <f aca="false">MIN(C23,MAX(0,G$6-SUMIFS($C$8:$C$37,$D$8:$D$37,"&gt;"&amp;D23)))</f>
        <v>0</v>
      </c>
      <c r="L23" s="35" t="n">
        <f aca="false">MIN(C23,MAX(0,H$6-SUMIFS($C$8:$C$37,$D$8:$D$37,"&gt;"&amp;D23)))</f>
        <v>0</v>
      </c>
      <c r="M23" s="35" t="n">
        <f aca="false">MIN(C23,MAX(0,I$6-SUMIFS($C$8:$C$37,$D$8:$D$37,"&gt;"&amp;D23)))</f>
        <v>0</v>
      </c>
      <c r="N23" s="35" t="n">
        <f aca="false">Channels!X20</f>
        <v>750</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MIN(C24,MAX(0,F$6-SUMIFS($C$8:$C$37,$D$8:$D$37,"&gt;"&amp;D24)))</f>
        <v>0</v>
      </c>
      <c r="K24" s="35" t="n">
        <f aca="false">MIN(C24,MAX(0,G$6-SUMIFS($C$8:$C$37,$D$8:$D$37,"&gt;"&amp;D24)))</f>
        <v>0</v>
      </c>
      <c r="L24" s="35" t="n">
        <f aca="false">MIN(C24,MAX(0,H$6-SUMIFS($C$8:$C$37,$D$8:$D$37,"&gt;"&amp;D24)))</f>
        <v>0</v>
      </c>
      <c r="M24" s="35" t="n">
        <f aca="false">MIN(C24,MAX(0,I$6-SUMIFS($C$8:$C$37,$D$8:$D$37,"&gt;"&amp;D24)))</f>
        <v>0</v>
      </c>
      <c r="N24" s="35" t="n">
        <f aca="false">Channels!X21</f>
        <v>2514.28571428571</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MIN(C25,MAX(0,F$6-SUMIFS($C$8:$C$37,$D$8:$D$37,"&gt;"&amp;D25)))</f>
        <v>0</v>
      </c>
      <c r="K25" s="35" t="n">
        <f aca="false">MIN(C25,MAX(0,G$6-SUMIFS($C$8:$C$37,$D$8:$D$37,"&gt;"&amp;D25)))</f>
        <v>0</v>
      </c>
      <c r="L25" s="35" t="n">
        <f aca="false">MIN(C25,MAX(0,H$6-SUMIFS($C$8:$C$37,$D$8:$D$37,"&gt;"&amp;D25)))</f>
        <v>0</v>
      </c>
      <c r="M25" s="35" t="n">
        <f aca="false">MIN(C25,MAX(0,I$6-SUMIFS($C$8:$C$37,$D$8:$D$37,"&gt;"&amp;D25)))</f>
        <v>0</v>
      </c>
      <c r="N25" s="35" t="n">
        <f aca="false">Channels!X22</f>
        <v>750</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MIN(C26,MAX(0,F$6-SUMIFS($C$8:$C$37,$D$8:$D$37,"&gt;"&amp;D26)))</f>
        <v>0</v>
      </c>
      <c r="K26" s="35" t="n">
        <f aca="false">MIN(C26,MAX(0,G$6-SUMIFS($C$8:$C$37,$D$8:$D$37,"&gt;"&amp;D26)))</f>
        <v>0</v>
      </c>
      <c r="L26" s="35" t="n">
        <f aca="false">MIN(C26,MAX(0,H$6-SUMIFS($C$8:$C$37,$D$8:$D$37,"&gt;"&amp;D26)))</f>
        <v>0</v>
      </c>
      <c r="M26" s="35" t="n">
        <f aca="false">MIN(C26,MAX(0,I$6-SUMIFS($C$8:$C$37,$D$8:$D$37,"&gt;"&amp;D26)))</f>
        <v>0</v>
      </c>
      <c r="N26" s="35" t="n">
        <f aca="false">Channels!X23</f>
        <v>750</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MIN(C27,MAX(0,F$6-SUMIFS($C$8:$C$37,$D$8:$D$37,"&gt;"&amp;D27)))</f>
        <v>0</v>
      </c>
      <c r="K27" s="35" t="n">
        <f aca="false">MIN(C27,MAX(0,G$6-SUMIFS($C$8:$C$37,$D$8:$D$37,"&gt;"&amp;D27)))</f>
        <v>0</v>
      </c>
      <c r="L27" s="35" t="n">
        <f aca="false">MIN(C27,MAX(0,H$6-SUMIFS($C$8:$C$37,$D$8:$D$37,"&gt;"&amp;D27)))</f>
        <v>942.857142857143</v>
      </c>
      <c r="M27" s="35" t="n">
        <f aca="false">MIN(C27,MAX(0,I$6-SUMIFS($C$8:$C$37,$D$8:$D$37,"&gt;"&amp;D27)))</f>
        <v>942.857142857143</v>
      </c>
      <c r="N27" s="35" t="n">
        <f aca="false">Channels!X24</f>
        <v>942.857142857143</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MIN(C28,MAX(0,F$6-SUMIFS($C$8:$C$37,$D$8:$D$37,"&gt;"&amp;D28)))</f>
        <v>0</v>
      </c>
      <c r="K28" s="35" t="n">
        <f aca="false">MIN(C28,MAX(0,G$6-SUMIFS($C$8:$C$37,$D$8:$D$37,"&gt;"&amp;D28)))</f>
        <v>0</v>
      </c>
      <c r="L28" s="35" t="n">
        <f aca="false">MIN(C28,MAX(0,H$6-SUMIFS($C$8:$C$37,$D$8:$D$37,"&gt;"&amp;D28)))</f>
        <v>0</v>
      </c>
      <c r="M28" s="35" t="n">
        <f aca="false">MIN(C28,MAX(0,I$6-SUMIFS($C$8:$C$37,$D$8:$D$37,"&gt;"&amp;D28)))</f>
        <v>0</v>
      </c>
      <c r="N28" s="35" t="n">
        <f aca="false">Channels!X25</f>
        <v>100</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MIN(C29,MAX(0,F$6-SUMIFS($C$8:$C$37,$D$8:$D$37,"&gt;"&amp;D29)))</f>
        <v>0</v>
      </c>
      <c r="K29" s="35" t="n">
        <f aca="false">MIN(C29,MAX(0,G$6-SUMIFS($C$8:$C$37,$D$8:$D$37,"&gt;"&amp;D29)))</f>
        <v>0</v>
      </c>
      <c r="L29" s="35" t="n">
        <f aca="false">MIN(C29,MAX(0,H$6-SUMIFS($C$8:$C$37,$D$8:$D$37,"&gt;"&amp;D29)))</f>
        <v>0</v>
      </c>
      <c r="M29" s="35" t="n">
        <f aca="false">MIN(C29,MAX(0,I$6-SUMIFS($C$8:$C$37,$D$8:$D$37,"&gt;"&amp;D29)))</f>
        <v>0</v>
      </c>
      <c r="N29" s="35" t="n">
        <f aca="false">Channels!X26</f>
        <v>150</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MIN(C30,MAX(0,F$6-SUMIFS($C$8:$C$37,$D$8:$D$37,"&gt;"&amp;D30)))</f>
        <v>0</v>
      </c>
      <c r="K30" s="35" t="n">
        <f aca="false">MIN(C30,MAX(0,G$6-SUMIFS($C$8:$C$37,$D$8:$D$37,"&gt;"&amp;D30)))</f>
        <v>0</v>
      </c>
      <c r="L30" s="35" t="n">
        <f aca="false">MIN(C30,MAX(0,H$6-SUMIFS($C$8:$C$37,$D$8:$D$37,"&gt;"&amp;D30)))</f>
        <v>0</v>
      </c>
      <c r="M30" s="35" t="n">
        <f aca="false">MIN(C30,MAX(0,I$6-SUMIFS($C$8:$C$37,$D$8:$D$37,"&gt;"&amp;D30)))</f>
        <v>0</v>
      </c>
      <c r="N30" s="35" t="n">
        <f aca="false">Channels!X27</f>
        <v>60</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MIN(C31,MAX(0,F$6-SUMIFS($C$8:$C$37,$D$8:$D$37,"&gt;"&amp;D31)))</f>
        <v>0</v>
      </c>
      <c r="K31" s="35" t="n">
        <f aca="false">MIN(C31,MAX(0,G$6-SUMIFS($C$8:$C$37,$D$8:$D$37,"&gt;"&amp;D31)))</f>
        <v>0</v>
      </c>
      <c r="L31" s="35" t="n">
        <f aca="false">MIN(C31,MAX(0,H$6-SUMIFS($C$8:$C$37,$D$8:$D$37,"&gt;"&amp;D31)))</f>
        <v>0</v>
      </c>
      <c r="M31" s="35" t="n">
        <f aca="false">MIN(C31,MAX(0,I$6-SUMIFS($C$8:$C$37,$D$8:$D$37,"&gt;"&amp;D31)))</f>
        <v>0</v>
      </c>
      <c r="N31" s="35" t="n">
        <f aca="false">Channels!X28</f>
        <v>40</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MIN(C32,MAX(0,F$6-SUMIFS($C$8:$C$37,$D$8:$D$37,"&gt;"&amp;D32)))</f>
        <v>0</v>
      </c>
      <c r="K32" s="35" t="n">
        <f aca="false">MIN(C32,MAX(0,G$6-SUMIFS($C$8:$C$37,$D$8:$D$37,"&gt;"&amp;D32)))</f>
        <v>0</v>
      </c>
      <c r="L32" s="35" t="n">
        <f aca="false">MIN(C32,MAX(0,H$6-SUMIFS($C$8:$C$37,$D$8:$D$37,"&gt;"&amp;D32)))</f>
        <v>4162.640625</v>
      </c>
      <c r="M32" s="35" t="n">
        <f aca="false">MIN(C32,MAX(0,I$6-SUMIFS($C$8:$C$37,$D$8:$D$37,"&gt;"&amp;D32)))</f>
        <v>4162.640625</v>
      </c>
      <c r="N32" s="35" t="n">
        <f aca="false">Channels!X29</f>
        <v>4162.640625</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MIN(C33,MAX(0,F$6-SUMIFS($C$8:$C$37,$D$8:$D$37,"&gt;"&amp;D33)))</f>
        <v>0</v>
      </c>
      <c r="K33" s="35" t="n">
        <f aca="false">MIN(C33,MAX(0,G$6-SUMIFS($C$8:$C$37,$D$8:$D$37,"&gt;"&amp;D33)))</f>
        <v>0</v>
      </c>
      <c r="L33" s="35" t="n">
        <f aca="false">MIN(C33,MAX(0,H$6-SUMIFS($C$8:$C$37,$D$8:$D$37,"&gt;"&amp;D33)))</f>
        <v>0</v>
      </c>
      <c r="M33" s="35" t="n">
        <f aca="false">MIN(C33,MAX(0,I$6-SUMIFS($C$8:$C$37,$D$8:$D$37,"&gt;"&amp;D33)))</f>
        <v>0</v>
      </c>
      <c r="N33" s="35" t="n">
        <f aca="false">Channels!X30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MIN(C34,MAX(0,F$6-SUMIFS($C$8:$C$37,$D$8:$D$37,"&gt;"&amp;D34)))</f>
        <v>0</v>
      </c>
      <c r="K34" s="35" t="n">
        <f aca="false">MIN(C34,MAX(0,G$6-SUMIFS($C$8:$C$37,$D$8:$D$37,"&gt;"&amp;D34)))</f>
        <v>0</v>
      </c>
      <c r="L34" s="35" t="n">
        <f aca="false">MIN(C34,MAX(0,H$6-SUMIFS($C$8:$C$37,$D$8:$D$37,"&gt;"&amp;D34)))</f>
        <v>0</v>
      </c>
      <c r="M34" s="35" t="n">
        <f aca="false">MIN(C34,MAX(0,I$6-SUMIFS($C$8:$C$37,$D$8:$D$37,"&gt;"&amp;D34)))</f>
        <v>0</v>
      </c>
      <c r="N34" s="35" t="n">
        <f aca="false">Channels!X31</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MIN(C35,MAX(0,F$6-SUMIFS($C$8:$C$37,$D$8:$D$37,"&gt;"&amp;D35)))</f>
        <v>0</v>
      </c>
      <c r="K35" s="35" t="n">
        <f aca="false">MIN(C35,MAX(0,G$6-SUMIFS($C$8:$C$37,$D$8:$D$37,"&gt;"&amp;D35)))</f>
        <v>0</v>
      </c>
      <c r="L35" s="35" t="n">
        <f aca="false">MIN(C35,MAX(0,H$6-SUMIFS($C$8:$C$37,$D$8:$D$37,"&gt;"&amp;D35)))</f>
        <v>445.42</v>
      </c>
      <c r="M35" s="35" t="n">
        <f aca="false">MIN(C35,MAX(0,I$6-SUMIFS($C$8:$C$37,$D$8:$D$37,"&gt;"&amp;D35)))</f>
        <v>445.42</v>
      </c>
      <c r="N35" s="35" t="n">
        <f aca="false">Channels!X32</f>
        <v>445.42</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MIN(C36,MAX(0,F$6-SUMIFS($C$8:$C$37,$D$8:$D$37,"&gt;"&amp;D36)))</f>
        <v>0</v>
      </c>
      <c r="K36" s="35" t="n">
        <f aca="false">MIN(C36,MAX(0,G$6-SUMIFS($C$8:$C$37,$D$8:$D$37,"&gt;"&amp;D36)))</f>
        <v>0</v>
      </c>
      <c r="L36" s="35" t="n">
        <f aca="false">MIN(C36,MAX(0,H$6-SUMIFS($C$8:$C$37,$D$8:$D$37,"&gt;"&amp;D36)))</f>
        <v>471.050429941955</v>
      </c>
      <c r="M36" s="35" t="n">
        <f aca="false">MIN(C36,MAX(0,I$6-SUMIFS($C$8:$C$37,$D$8:$D$37,"&gt;"&amp;D36)))</f>
        <v>8546.05042994196</v>
      </c>
      <c r="N36" s="35" t="n">
        <f aca="false">Channels!X33</f>
        <v>9000</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MIN(C37,MAX(0,F$6-SUMIFS($C$8:$C$37,$D$8:$D$37,"&gt;"&amp;D37)))</f>
        <v>0</v>
      </c>
      <c r="K37" s="35" t="n">
        <f aca="false">MIN(C37,MAX(0,G$6-SUMIFS($C$8:$C$37,$D$8:$D$37,"&gt;"&amp;D37)))</f>
        <v>0</v>
      </c>
      <c r="L37" s="35" t="n">
        <f aca="false">MIN(C37,MAX(0,H$6-SUMIFS($C$8:$C$37,$D$8:$D$37,"&gt;"&amp;D37)))</f>
        <v>0</v>
      </c>
      <c r="M37" s="35" t="n">
        <f aca="false">MIN(C37,MAX(0,I$6-SUMIFS($C$8:$C$37,$D$8:$D$37,"&gt;"&amp;D37)))</f>
        <v>0</v>
      </c>
      <c r="N37" s="35" t="n">
        <f aca="false">Channels!X34</f>
        <v>2745.32619584272</v>
      </c>
    </row>
    <row r="38" customFormat="false" ht="15" hidden="false" customHeight="false" outlineLevel="0" collapsed="false">
      <c r="E38" s="22" t="s">
        <v>650</v>
      </c>
    </row>
    <row r="39" customFormat="false" ht="15" hidden="false" customHeight="false" outlineLevel="0" collapsed="false">
      <c r="E39" s="2" t="s">
        <v>50</v>
      </c>
      <c r="F39" s="26" t="n">
        <f aca="false">SUMIFS(F$8:F$37,$B$8:$B$37,$E39)</f>
        <v>30</v>
      </c>
      <c r="G39" s="26" t="n">
        <f aca="false">SUMIFS(G$8:G$37,$B$8:$B$37,$E39)</f>
        <v>27.9384299857171</v>
      </c>
      <c r="H39" s="26" t="n">
        <f aca="false">SUMIFS(H$8:H$37,$B$8:$B$37,$E39)</f>
        <v>23.1389080966647</v>
      </c>
      <c r="I39" s="26" t="n">
        <f aca="false">SUMIFS(I$8:I$37,$B$8:$B$37,$E39)</f>
        <v>12.7463830966647</v>
      </c>
    </row>
    <row r="40" customFormat="false" ht="15" hidden="false" customHeight="false" outlineLevel="0" collapsed="false">
      <c r="E40" s="2" t="s">
        <v>45</v>
      </c>
      <c r="F40" s="26" t="n">
        <f aca="false">SUMIFS(F$8:F$37,$B$8:$B$37,$E40)</f>
        <v>45</v>
      </c>
      <c r="G40" s="26" t="n">
        <f aca="false">SUMIFS(G$8:G$37,$B$8:$B$37,$E40)</f>
        <v>45</v>
      </c>
      <c r="H40" s="26" t="n">
        <f aca="false">SUMIFS(H$8:H$37,$B$8:$B$37,$E40)</f>
        <v>45</v>
      </c>
      <c r="I40" s="26" t="n">
        <f aca="false">SUMIFS(I$8:I$37,$B$8:$B$37,$E40)</f>
        <v>45</v>
      </c>
    </row>
    <row r="41" customFormat="false" ht="15" hidden="false" customHeight="false" outlineLevel="0" collapsed="false">
      <c r="E41" s="2" t="s">
        <v>55</v>
      </c>
      <c r="F41" s="26" t="n">
        <f aca="false">SUMIFS(F$8:F$37,$B$8:$B$37,$E41)</f>
        <v>15</v>
      </c>
      <c r="G41" s="26" t="n">
        <f aca="false">SUMIFS(G$8:G$37,$B$8:$B$37,$E41)</f>
        <v>14.415</v>
      </c>
      <c r="H41" s="26" t="n">
        <f aca="false">SUMIFS(H$8:H$37,$B$8:$B$37,$E41)</f>
        <v>14.415</v>
      </c>
      <c r="I41" s="26" t="n">
        <f aca="false">SUMIFS(I$8:I$37,$B$8:$B$37,$E41)</f>
        <v>14.415</v>
      </c>
    </row>
    <row r="42" customFormat="false" ht="15" hidden="false" customHeight="false" outlineLevel="0" collapsed="false">
      <c r="E42" s="2" t="s">
        <v>57</v>
      </c>
      <c r="F42" s="26" t="n">
        <f aca="false">SUMIFS(F$8:F$37,$B$8:$B$37,$E42)</f>
        <v>10</v>
      </c>
      <c r="G42" s="26" t="n">
        <f aca="false">SUMIFS(G$8:G$37,$B$8:$B$37,$E42)</f>
        <v>9.5275</v>
      </c>
      <c r="H42" s="26" t="n">
        <f aca="false">SUMIFS(H$8:H$37,$B$8:$B$37,$E42)</f>
        <v>8.11818</v>
      </c>
      <c r="I42" s="26" t="n">
        <f aca="false">SUMIFS(I$8:I$37,$B$8:$B$37,$E42)</f>
        <v>8.11818</v>
      </c>
    </row>
    <row r="43" customFormat="false" ht="15" hidden="false" customHeight="false" outlineLevel="0" collapsed="false">
      <c r="E43" s="22" t="s">
        <v>428</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625</v>
      </c>
      <c r="F44" s="35" t="n">
        <f aca="false">F4/F43</f>
        <v>475</v>
      </c>
      <c r="G44" s="35" t="n">
        <f aca="false">G4/G43</f>
        <v>416.748683213016</v>
      </c>
      <c r="H44" s="35" t="n">
        <f aca="false">H4/H43</f>
        <v>366.706013922967</v>
      </c>
      <c r="I44" s="35" t="n">
        <f aca="false">I4/I43</f>
        <v>295.841171574422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651</v>
      </c>
    </row>
    <row r="2" customFormat="false" ht="15" hidden="false" customHeight="false" outlineLevel="0" collapsed="false">
      <c r="A2" s="2" t="s">
        <v>652</v>
      </c>
    </row>
    <row r="3" customFormat="false" ht="45" hidden="false" customHeight="true" outlineLevel="0" collapsed="false">
      <c r="A3" s="12" t="s">
        <v>653</v>
      </c>
      <c r="B3" s="12" t="s">
        <v>654</v>
      </c>
      <c r="C3" s="12" t="s">
        <v>655</v>
      </c>
      <c r="D3" s="12" t="s">
        <v>656</v>
      </c>
      <c r="E3" s="12" t="s">
        <v>657</v>
      </c>
      <c r="F3" s="12" t="s">
        <v>658</v>
      </c>
      <c r="G3" s="12" t="s">
        <v>659</v>
      </c>
      <c r="H3" s="12" t="s">
        <v>660</v>
      </c>
      <c r="I3" s="12" t="s">
        <v>661</v>
      </c>
      <c r="J3" s="12" t="s">
        <v>662</v>
      </c>
      <c r="K3" s="12" t="s">
        <v>663</v>
      </c>
      <c r="L3" s="12" t="s">
        <v>664</v>
      </c>
      <c r="M3" s="12" t="s">
        <v>665</v>
      </c>
      <c r="N3" s="12" t="s">
        <v>666</v>
      </c>
      <c r="O3" s="12" t="s">
        <v>667</v>
      </c>
      <c r="P3" s="12" t="s">
        <v>668</v>
      </c>
      <c r="Q3" s="12" t="s">
        <v>669</v>
      </c>
      <c r="R3" s="12" t="s">
        <v>670</v>
      </c>
      <c r="S3" s="12" t="s">
        <v>671</v>
      </c>
      <c r="T3" s="12" t="s">
        <v>672</v>
      </c>
      <c r="U3" s="12" t="s">
        <v>673</v>
      </c>
      <c r="V3" s="12" t="s">
        <v>674</v>
      </c>
      <c r="W3" s="12" t="s">
        <v>675</v>
      </c>
      <c r="X3" s="12" t="s">
        <v>676</v>
      </c>
      <c r="Y3" s="12" t="s">
        <v>677</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IF(B4&lt;=Funnel!$B$20,D4,0)/SUMPRODUCT(($B$4:$B$14&lt;=Funnel!$B$20)*$D$4:$D$14)</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IF(B5&lt;=Funnel!$B$20,D5,0)/SUMPRODUCT(($B$4:$B$14&lt;=Funnel!$B$20)*$D$4:$D$14)</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IF(B6&lt;=Funnel!$B$20,D6,0)/SUMPRODUCT(($B$4:$B$14&lt;=Funnel!$B$20)*$D$4:$D$14)</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IF(B7&lt;=Funnel!$B$20,D7,0)/SUMPRODUCT(($B$4:$B$14&lt;=Funnel!$B$20)*$D$4:$D$14)</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IF(B8&lt;=Funnel!$B$20,D8,0)/SUMPRODUCT(($B$4:$B$14&lt;=Funnel!$B$20)*$D$4:$D$14)</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IF(B9&lt;=Funnel!$B$20,D9,0)/SUMPRODUCT(($B$4:$B$14&lt;=Funnel!$B$20)*$D$4:$D$14)</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f>
        <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IF(B10&lt;=Funnel!$B$20,D10,0)/SUMPRODUCT(($B$4:$B$14&lt;=Funnel!$B$20)*$D$4:$D$14)</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IF(B11&lt;=Funnel!$B$20,D11,0)/SUMPRODUCT(($B$4:$B$14&lt;=Funnel!$B$20)*$D$4:$D$14)</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IF(B12&lt;=Funnel!$B$20,D12,0)/SUMPRODUCT(($B$4:$B$14&lt;=Funnel!$B$20)*$D$4:$D$14)</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IF(B13&lt;=Funnel!$B$20,D13,0)/SUMPRODUCT(($B$4:$B$14&lt;=Funnel!$B$20)*$D$4:$D$14)</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IF(B14&lt;=Funnel!$B$20,D14,0)/SUMPRODUCT(($B$4:$B$14&lt;=Funnel!$B$20)*$D$4:$D$14)</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428</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IF(OR(ABS(D15-1)&gt;0.001,ABS(Y15-1)&gt;0.001),"✗ shares must sum to 100%",IF(ABS(M15-Budget!C9)&gt;1,"✗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678</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679</v>
      </c>
    </row>
    <row r="19" customFormat="false" ht="15" hidden="false" customHeight="false" outlineLevel="0" collapsed="false">
      <c r="B19" s="2" t="s">
        <v>680</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681</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682</v>
      </c>
      <c r="F21" s="35" t="n">
        <f aca="false">SUMIFS(Channels!$X$5:$X$34,Channels!$E$5:$E$34,"Slot")</f>
        <v>1449</v>
      </c>
    </row>
    <row r="22" customFormat="false" ht="15" hidden="false" customHeight="false" outlineLevel="0" collapsed="false">
      <c r="B22" s="2" t="s">
        <v>683</v>
      </c>
      <c r="F22" s="35" t="n">
        <f aca="false">SUMIFS(Channels!$X$5:$X$34,Channels!$B$5:$B$34,"I1b Employee referral sprint (bonus on hire)",Channels!$C$5:$C$34,"&lt;&gt;Supervisors")</f>
        <v>4162.640625</v>
      </c>
    </row>
    <row r="23" customFormat="false" ht="15" hidden="false" customHeight="false" outlineLevel="0" collapsed="false">
      <c r="B23" s="2" t="s">
        <v>684</v>
      </c>
      <c r="F23" s="35" t="n">
        <f aca="false">SUMIFS(Channels!$X$5:$X$34,Channels!$B$5:$B$34,"I1b Employee referral sprint (bonus on hire)",Channels!$C$5:$C$34,"Supervisors")</f>
        <v>445.42</v>
      </c>
    </row>
    <row r="24" customFormat="false" ht="15" hidden="false" customHeight="false" outlineLevel="0" collapsed="false">
      <c r="B24" s="2" t="s">
        <v>685</v>
      </c>
      <c r="F24" s="35" t="n">
        <f aca="false">SUM(Channels!$Z$5:$Z$34)</f>
        <v>9000</v>
      </c>
    </row>
    <row r="25" customFormat="false" ht="15" hidden="false" customHeight="false" outlineLevel="0" collapsed="false">
      <c r="B25" s="2" t="s">
        <v>686</v>
      </c>
      <c r="F25" s="26" t="n">
        <f aca="false">SUMIFS(Channels!$AF$5:$AF$34,Channels!$C$5:$C$34,"&lt;&gt;Supervisors")</f>
        <v>37.4440476190476</v>
      </c>
    </row>
    <row r="26" customFormat="false" ht="15" hidden="false" customHeight="false" outlineLevel="0" collapsed="false">
      <c r="B26" s="2" t="s">
        <v>687</v>
      </c>
      <c r="F26" s="26" t="n">
        <f aca="false">SUMIFS(Channels!$AF$5:$AF$34,Channels!$C$5:$C$34,"Supervisors")</f>
        <v>8.05691367456073</v>
      </c>
    </row>
    <row r="27" customFormat="false" ht="15" hidden="false" customHeight="false" outlineLevel="0" collapsed="false">
      <c r="B27" s="2" t="s">
        <v>688</v>
      </c>
      <c r="F27" s="26" t="n">
        <f aca="false">SUMIFS(Channels!$AE$5:$AE$34,Channels!$C$5:$C$34,"&lt;&gt;Supervisors")</f>
        <v>253.9420995671</v>
      </c>
    </row>
    <row r="28" customFormat="false" ht="15" hidden="false" customHeight="false" outlineLevel="0" collapsed="false">
      <c r="B28" s="2" t="s">
        <v>689</v>
      </c>
      <c r="F28" s="26" t="n">
        <f aca="false">SUMIFS(Channels!$AE$5:$AE$34,Channels!$C$5:$C$34,"Supervisors")</f>
        <v>58.6535523300229</v>
      </c>
    </row>
    <row r="29" customFormat="false" ht="15" hidden="false" customHeight="false" outlineLevel="0" collapsed="false">
      <c r="B29" s="2" t="s">
        <v>690</v>
      </c>
      <c r="F29" s="26" t="n">
        <f aca="false">SUMIFS(Channels!$AG$5:$AG$34,Channels!$C$5:$C$34,"&lt;&gt;Supervisors")</f>
        <v>13.4524441558442</v>
      </c>
    </row>
    <row r="30" customFormat="false" ht="15" hidden="false" customHeight="false" outlineLevel="0" collapsed="false">
      <c r="B30" s="2" t="s">
        <v>691</v>
      </c>
      <c r="F30" s="26" t="n">
        <f aca="false">SUMIFS(Channels!$AG$5:$AG$34,Channels!$C$5:$C$34,"Supervisors")</f>
        <v>2.15723863636364</v>
      </c>
    </row>
    <row r="31" customFormat="false" ht="15" hidden="false" customHeight="false" outlineLevel="0" collapsed="false">
      <c r="B31" s="2" t="s">
        <v>692</v>
      </c>
      <c r="F31" s="35" t="n">
        <f aca="false">SUMIFS(Channels!$X$5:$X$34,Channels!$B$5:$B$34,"I1a Talent rediscovery (past applicants in ATS)")</f>
        <v>350</v>
      </c>
    </row>
    <row r="32" customFormat="false" ht="15" hidden="false" customHeight="false" outlineLevel="0" collapsed="false">
      <c r="B32" s="2" t="s">
        <v>693</v>
      </c>
      <c r="F32" s="26" t="n">
        <f aca="false">SUMIFS(Channels!$V$5:$V$34,Channels!$B$5:$B$34,"I1a Talent rediscovery (past applicants in ATS)",Channels!$C$5:$C$34,"&lt;&gt;Supervisors")</f>
        <v>37.2</v>
      </c>
    </row>
    <row r="33" customFormat="false" ht="15" hidden="false" customHeight="false" outlineLevel="0" collapsed="false">
      <c r="B33" s="2" t="s">
        <v>694</v>
      </c>
      <c r="F33" s="26" t="n">
        <f aca="false">SUMIFS(Channels!$V$5:$V$34,Channels!$B$5:$B$34,"I1a Talent rediscovery (past applicants in ATS)",Channels!$C$5:$C$34,"Supervisors")</f>
        <v>4.8</v>
      </c>
    </row>
    <row r="34" customFormat="false" ht="15" hidden="false" customHeight="false" outlineLevel="0" collapsed="false">
      <c r="B34" s="2" t="s">
        <v>695</v>
      </c>
      <c r="F34" s="26" t="n">
        <f aca="false">SUMIFS(Channels!$W$5:$W$34,Channels!$B$5:$B$34,"I1a Talent rediscovery (past applicants in ATS)",Channels!$C$5:$C$34,"&lt;&gt;Supervisors")</f>
        <v>74.4</v>
      </c>
    </row>
    <row r="35" customFormat="false" ht="15" hidden="false" customHeight="false" outlineLevel="0" collapsed="false">
      <c r="B35" s="2" t="s">
        <v>696</v>
      </c>
      <c r="F35" s="26" t="n">
        <f aca="false">SUMIFS(Channels!$W$5:$W$34,Channels!$B$5:$B$34,"I1a Talent rediscovery (past applicants in ATS)",Channels!$C$5:$C$34,"Supervisors")</f>
        <v>9.6</v>
      </c>
    </row>
    <row r="36" customFormat="false" ht="15" hidden="false" customHeight="false" outlineLevel="0" collapsed="false">
      <c r="B36" s="2" t="s">
        <v>697</v>
      </c>
      <c r="F36" s="26" t="n">
        <f aca="false">SUMIFS(Channels!$U$5:$U$34,Channels!$B$5:$B$34,"I1a Talent rediscovery (past applicants in ATS)",Channels!$C$5:$C$34,"&lt;&gt;Supervisors")</f>
        <v>15.24555</v>
      </c>
    </row>
    <row r="37" customFormat="false" ht="15" hidden="false" customHeight="false" outlineLevel="0" collapsed="false">
      <c r="B37" s="2" t="s">
        <v>698</v>
      </c>
      <c r="F37" s="26" t="n">
        <f aca="false">SUMIFS(Channels!$U$5:$U$34,Channels!$B$5:$B$34,"I1a Talent rediscovery (past applicants in ATS)",Channels!$C$5:$C$34,"Supervisors")</f>
        <v>1.47798</v>
      </c>
    </row>
    <row r="38" customFormat="false" ht="15" hidden="false" customHeight="false" outlineLevel="0" collapsed="false">
      <c r="B38" s="2" t="s">
        <v>699</v>
      </c>
      <c r="F38" s="24" t="n">
        <f aca="false">MIN(1,Funnel!B22/Funnel!B23)</f>
        <v>1</v>
      </c>
    </row>
    <row r="42" customFormat="false" ht="15" hidden="false" customHeight="false" outlineLevel="0" collapsed="false">
      <c r="A42" s="22" t="s">
        <v>700</v>
      </c>
    </row>
    <row r="43" customFormat="false" ht="30" hidden="false" customHeight="true" outlineLevel="0" collapsed="false">
      <c r="A43" s="12"/>
      <c r="B43" s="12" t="s">
        <v>282</v>
      </c>
      <c r="C43" s="12" t="s">
        <v>701</v>
      </c>
      <c r="D43" s="12" t="s">
        <v>702</v>
      </c>
      <c r="E43" s="12" t="s">
        <v>703</v>
      </c>
      <c r="F43" s="12" t="s">
        <v>704</v>
      </c>
      <c r="G43" s="12" t="s">
        <v>705</v>
      </c>
      <c r="H43" s="12" t="s">
        <v>706</v>
      </c>
      <c r="I43" s="12" t="s">
        <v>707</v>
      </c>
      <c r="J43" s="12" t="s">
        <v>708</v>
      </c>
      <c r="K43" s="12" t="s">
        <v>709</v>
      </c>
      <c r="L43" s="12" t="s">
        <v>428</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6" t="n">
        <f aca="false">SUM(C44:K44)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6" t="n">
        <f aca="false">SUM(C45:K45)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6" t="n">
        <f aca="false">SUM(C46:K46)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6" t="n">
        <f aca="false">SUM(C47:K47)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6" t="n">
        <f aca="false">SUM(C48:K48)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6" t="n">
        <f aca="false">SUM(C49:K49)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6" t="n">
        <f aca="false">SUM(C50:K50)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6" t="n">
        <f aca="false">SUM(C51:K51)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6" t="n">
        <f aca="false">SUM(C52:K52)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6" t="n">
        <f aca="false">SUM(C53:K53)</f>
        <v>3145.32619584272</v>
      </c>
    </row>
    <row r="54" customFormat="false" ht="15" hidden="false" customHeight="false" outlineLevel="0" collapsed="false">
      <c r="B54" s="22" t="s">
        <v>428</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38733.4681977991</v>
      </c>
    </row>
    <row r="55" customFormat="false" ht="15" hidden="false" customHeight="false" outlineLevel="0" collapsed="false">
      <c r="B55" s="2" t="str">
        <f aca="false">IF(ABS(L54-Budget!C9)&gt;1,"✗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710</v>
      </c>
    </row>
    <row r="2" customFormat="false" ht="15" hidden="false" customHeight="false" outlineLevel="0" collapsed="false">
      <c r="A2" s="2" t="s">
        <v>711</v>
      </c>
    </row>
    <row r="4" customFormat="false" ht="45" hidden="false" customHeight="true" outlineLevel="0" collapsed="false">
      <c r="A4" s="12" t="s">
        <v>22</v>
      </c>
      <c r="B4" s="12" t="s">
        <v>282</v>
      </c>
      <c r="C4" s="12" t="s">
        <v>283</v>
      </c>
      <c r="D4" s="12" t="s">
        <v>712</v>
      </c>
      <c r="E4" s="12" t="s">
        <v>713</v>
      </c>
      <c r="F4" s="12" t="s">
        <v>714</v>
      </c>
      <c r="G4" s="12" t="s">
        <v>715</v>
      </c>
      <c r="H4" s="12" t="s">
        <v>716</v>
      </c>
      <c r="I4" s="12" t="s">
        <v>717</v>
      </c>
      <c r="J4" s="12" t="s">
        <v>718</v>
      </c>
      <c r="K4" s="12" t="s">
        <v>719</v>
      </c>
      <c r="L4" s="12" t="s">
        <v>720</v>
      </c>
      <c r="M4" s="12" t="s">
        <v>721</v>
      </c>
      <c r="N4" s="12" t="s">
        <v>722</v>
      </c>
      <c r="O4" s="12" t="s">
        <v>723</v>
      </c>
      <c r="P4" s="12" t="s">
        <v>724</v>
      </c>
      <c r="Q4" s="12" t="s">
        <v>725</v>
      </c>
      <c r="R4" s="12" t="s">
        <v>726</v>
      </c>
      <c r="S4" s="12" t="s">
        <v>727</v>
      </c>
      <c r="T4" s="12" t="s">
        <v>728</v>
      </c>
      <c r="U4" s="12" t="s">
        <v>729</v>
      </c>
      <c r="V4" s="12" t="s">
        <v>730</v>
      </c>
      <c r="W4" s="12" t="s">
        <v>731</v>
      </c>
      <c r="X4" s="12" t="s">
        <v>732</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(R5+Assumptions!$D$107*E5)/(Q5+Assumptions!$D$107)</f>
        <v>0.08</v>
      </c>
      <c r="V5" s="35" t="n">
        <f aca="false">IF(Q5&gt;=Assumptions!$D$86,S5,D5)/U5</f>
        <v>0</v>
      </c>
      <c r="W5" s="45" t="str">
        <f aca="false">IF(F5&gt;0,V5/F5,"")</f>
        <v/>
      </c>
      <c r="X5" s="2" t="str">
        <f aca="false">IF(F5=0,"Free – monitor quality",IF(AND(P5&lt;Assumptions!$D$85,Q5&lt;Assumptions!$D$86),"Wait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(R6+Assumptions!$D$107*E6)/(Q6+Assumptions!$D$107)</f>
        <v>0.18</v>
      </c>
      <c r="V6" s="35" t="n">
        <f aca="false">IF(Q6&gt;=Assumptions!$D$86,S6,D6)/U6</f>
        <v>0</v>
      </c>
      <c r="W6" s="45" t="str">
        <f aca="false">IF(F6&gt;0,V6/F6,"")</f>
        <v/>
      </c>
      <c r="X6" s="2" t="str">
        <f aca="false">IF(F6=0,"Free – monitor quality",IF(AND(P6&lt;Assumptions!$D$85,Q6&lt;Assumptions!$D$86),"Wait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(R7+Assumptions!$D$107*E7)/(Q7+Assumptions!$D$107)</f>
        <v>0.1</v>
      </c>
      <c r="V7" s="35" t="n">
        <f aca="false">IF(Q7&gt;=Assumptions!$D$86,S7,D7)/U7</f>
        <v>0</v>
      </c>
      <c r="W7" s="45" t="str">
        <f aca="false">IF(F7&gt;0,V7/F7,"")</f>
        <v/>
      </c>
      <c r="X7" s="2" t="str">
        <f aca="false">IF(F7=0,"Free – monitor quality",IF(AND(P7&lt;Assumptions!$D$85,Q7&lt;Assumptions!$D$86),"Wait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(R8+Assumptions!$D$107*E8)/(Q8+Assumptions!$D$107)</f>
        <v>0.08</v>
      </c>
      <c r="V8" s="35" t="n">
        <f aca="false">IF(Q8&gt;=Assumptions!$D$86,S8,D8)/U8</f>
        <v>0</v>
      </c>
      <c r="W8" s="45" t="str">
        <f aca="false">IF(F8&gt;0,V8/F8,"")</f>
        <v/>
      </c>
      <c r="X8" s="2" t="str">
        <f aca="false">IF(F8=0,"Free – monitor quality",IF(AND(P8&lt;Assumptions!$D$85,Q8&lt;Assumptions!$D$86),"Wait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(R9+Assumptions!$D$107*E9)/(Q9+Assumptions!$D$107)</f>
        <v>0.12</v>
      </c>
      <c r="V9" s="35" t="n">
        <f aca="false">IF(Q9&gt;=Assumptions!$D$86,S9,D9)/U9</f>
        <v>476.190476190476</v>
      </c>
      <c r="W9" s="45" t="n">
        <f aca="false">IF(F9&gt;0,V9/F9,"")</f>
        <v>1</v>
      </c>
      <c r="X9" s="2" t="str">
        <f aca="false">IF(F9=0,"Free – monitor quality",IF(AND(P9&lt;Assumptions!$D$85,Q9&lt;Assumptions!$D$86),"Wait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(R10+Assumptions!$D$107*E10)/(Q10+Assumptions!$D$107)</f>
        <v>0.22</v>
      </c>
      <c r="V10" s="35" t="n">
        <f aca="false">IF(Q10&gt;=Assumptions!$D$86,S10,D10)/U10</f>
        <v>109.090909090909</v>
      </c>
      <c r="W10" s="45" t="n">
        <f aca="false">IF(F10&gt;0,V10/F10,"")</f>
        <v>1</v>
      </c>
      <c r="X10" s="2" t="str">
        <f aca="false">IF(F10=0,"Free – monitor quality",IF(AND(P10&lt;Assumptions!$D$85,Q10&lt;Assumptions!$D$86),"Wait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(R11+Assumptions!$D$107*E11)/(Q11+Assumptions!$D$107)</f>
        <v>0.12</v>
      </c>
      <c r="V11" s="35" t="n">
        <f aca="false">IF(Q11&gt;=Assumptions!$D$86,S11,D11)/U11</f>
        <v>375</v>
      </c>
      <c r="W11" s="45" t="n">
        <f aca="false">IF(F11&gt;0,V11/F11,"")</f>
        <v>1</v>
      </c>
      <c r="X11" s="2" t="str">
        <f aca="false">IF(F11=0,"Free – monitor quality",IF(AND(P11&lt;Assumptions!$D$85,Q11&lt;Assumptions!$D$86),"Wait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(R12+Assumptions!$D$107*E12)/(Q12+Assumptions!$D$107)</f>
        <v>0.1</v>
      </c>
      <c r="V12" s="35" t="n">
        <f aca="false">IF(Q12&gt;=Assumptions!$D$86,S12,D12)/U12</f>
        <v>425</v>
      </c>
      <c r="W12" s="45" t="n">
        <f aca="false">IF(F12&gt;0,V12/F12,"")</f>
        <v>1</v>
      </c>
      <c r="X12" s="2" t="str">
        <f aca="false">IF(F12=0,"Free – monitor quality",IF(AND(P12&lt;Assumptions!$D$85,Q12&lt;Assumptions!$D$86),"Wait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(R13+Assumptions!$D$107*E13)/(Q13+Assumptions!$D$107)</f>
        <v>0.3</v>
      </c>
      <c r="V13" s="35" t="n">
        <f aca="false">IF(Q13&gt;=Assumptions!$D$86,S13,D13)/U13</f>
        <v>322</v>
      </c>
      <c r="W13" s="45" t="n">
        <f aca="false">IF(F13&gt;0,V13/F13,"")</f>
        <v>1</v>
      </c>
      <c r="X13" s="2" t="str">
        <f aca="false">IF(F13=0,"Free – monitor quality",IF(AND(P13&lt;Assumptions!$D$85,Q13&lt;Assumptions!$D$86),"Wait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(R14+Assumptions!$D$107*E14)/(Q14+Assumptions!$D$107)</f>
        <v>0.35</v>
      </c>
      <c r="V14" s="35" t="n">
        <f aca="false">IF(Q14&gt;=Assumptions!$D$86,S14,D14)/U14</f>
        <v>165.6</v>
      </c>
      <c r="W14" s="45" t="n">
        <f aca="false">IF(F14&gt;0,V14/F14,"")</f>
        <v>1</v>
      </c>
      <c r="X14" s="2" t="str">
        <f aca="false">IF(F14=0,"Free – monitor quality",IF(AND(P14&lt;Assumptions!$D$85,Q14&lt;Assumptions!$D$86),"Wait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(R15+Assumptions!$D$107*E15)/(Q15+Assumptions!$D$107)</f>
        <v>0.25</v>
      </c>
      <c r="V15" s="35" t="n">
        <f aca="false">IF(Q15&gt;=Assumptions!$D$86,S15,D15)/U15</f>
        <v>386.4</v>
      </c>
      <c r="W15" s="45" t="n">
        <f aca="false">IF(F15&gt;0,V15/F15,"")</f>
        <v>1</v>
      </c>
      <c r="X15" s="2" t="str">
        <f aca="false">IF(F15=0,"Free – monitor quality",IF(AND(P15&lt;Assumptions!$D$85,Q15&lt;Assumptions!$D$86),"Wait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(R16+Assumptions!$D$107*E16)/(Q16+Assumptions!$D$107)</f>
        <v>0.25</v>
      </c>
      <c r="V16" s="35" t="n">
        <f aca="false">IF(Q16&gt;=Assumptions!$D$86,S16,D16)/U16</f>
        <v>386.4</v>
      </c>
      <c r="W16" s="45" t="n">
        <f aca="false">IF(F16&gt;0,V16/F16,"")</f>
        <v>1</v>
      </c>
      <c r="X16" s="2" t="str">
        <f aca="false">IF(F16=0,"Free – monitor quality",IF(AND(P16&lt;Assumptions!$D$85,Q16&lt;Assumptions!$D$86),"Wait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(R17+Assumptions!$D$107*E17)/(Q17+Assumptions!$D$107)</f>
        <v>0.25</v>
      </c>
      <c r="V17" s="35" t="n">
        <f aca="false">IF(Q17&gt;=Assumptions!$D$86,S17,D17)/U17</f>
        <v>175</v>
      </c>
      <c r="W17" s="45" t="n">
        <f aca="false">IF(F17&gt;0,V17/F17,"")</f>
        <v>1</v>
      </c>
      <c r="X17" s="2" t="str">
        <f aca="false">IF(F17=0,"Free – monitor quality",IF(AND(P17&lt;Assumptions!$D$85,Q17&lt;Assumptions!$D$86),"Wait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(R18+Assumptions!$D$107*E18)/(Q18+Assumptions!$D$107)</f>
        <v>0.2</v>
      </c>
      <c r="V18" s="35" t="n">
        <f aca="false">IF(Q18&gt;=Assumptions!$D$86,S18,D18)/U18</f>
        <v>218.75</v>
      </c>
      <c r="W18" s="45" t="n">
        <f aca="false">IF(F18&gt;0,V18/F18,"")</f>
        <v>1</v>
      </c>
      <c r="X18" s="2" t="str">
        <f aca="false">IF(F18=0,"Free – monitor quality",IF(AND(P18&lt;Assumptions!$D$85,Q18&lt;Assumptions!$D$86),"Wait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(R19+Assumptions!$D$107*E19)/(Q19+Assumptions!$D$107)</f>
        <v>0.05</v>
      </c>
      <c r="V19" s="35" t="n">
        <f aca="false">IF(Q19&gt;=Assumptions!$D$86,S19,D19)/U19</f>
        <v>360</v>
      </c>
      <c r="W19" s="45" t="n">
        <f aca="false">IF(F19&gt;0,V19/F19,"")</f>
        <v>1</v>
      </c>
      <c r="X19" s="2" t="str">
        <f aca="false">IF(F19=0,"Free – monitor quality",IF(AND(P19&lt;Assumptions!$D$85,Q19&lt;Assumptions!$D$86),"Wait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(R20+Assumptions!$D$107*E20)/(Q20+Assumptions!$D$107)</f>
        <v>0.12</v>
      </c>
      <c r="V20" s="35" t="n">
        <f aca="false">IF(Q20&gt;=Assumptions!$D$86,S20,D20)/U20</f>
        <v>100</v>
      </c>
      <c r="W20" s="45" t="n">
        <f aca="false">IF(F20&gt;0,V20/F20,"")</f>
        <v>1</v>
      </c>
      <c r="X20" s="2" t="str">
        <f aca="false">IF(F20=0,"Free – monitor quality",IF(AND(P20&lt;Assumptions!$D$85,Q20&lt;Assumptions!$D$86),"Wait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(R21+Assumptions!$D$107*E21)/(Q21+Assumptions!$D$107)</f>
        <v>0.15</v>
      </c>
      <c r="V21" s="35" t="n">
        <f aca="false">IF(Q21&gt;=Assumptions!$D$86,S21,D21)/U21</f>
        <v>209.52380952381</v>
      </c>
      <c r="W21" s="45" t="n">
        <f aca="false">IF(F21&gt;0,V21/F21,"")</f>
        <v>1</v>
      </c>
      <c r="X21" s="2" t="str">
        <f aca="false">IF(F21=0,"Free – monitor quality",IF(AND(P21&lt;Assumptions!$D$85,Q21&lt;Assumptions!$D$86),"Wait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(R22+Assumptions!$D$107*E22)/(Q22+Assumptions!$D$107)</f>
        <v>0.25</v>
      </c>
      <c r="V22" s="35" t="n">
        <f aca="false">IF(Q22&gt;=Assumptions!$D$86,S22,D22)/U22</f>
        <v>125.714285714286</v>
      </c>
      <c r="W22" s="45" t="n">
        <f aca="false">IF(F22&gt;0,V22/F22,"")</f>
        <v>1</v>
      </c>
      <c r="X22" s="2" t="str">
        <f aca="false">IF(F22=0,"Free – monitor quality",IF(AND(P22&lt;Assumptions!$D$85,Q22&lt;Assumptions!$D$86),"Wait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(R23+Assumptions!$D$107*E23)/(Q23+Assumptions!$D$107)</f>
        <v>0.15</v>
      </c>
      <c r="V23" s="35" t="n">
        <f aca="false">IF(Q23&gt;=Assumptions!$D$86,S23,D23)/U23</f>
        <v>209.52380952381</v>
      </c>
      <c r="W23" s="45" t="n">
        <f aca="false">IF(F23&gt;0,V23/F23,"")</f>
        <v>1</v>
      </c>
      <c r="X23" s="2" t="str">
        <f aca="false">IF(F23=0,"Free – monitor quality",IF(AND(P23&lt;Assumptions!$D$85,Q23&lt;Assumptions!$D$86),"Wait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(R24+Assumptions!$D$107*E24)/(Q24+Assumptions!$D$107)</f>
        <v>0.12</v>
      </c>
      <c r="V24" s="35" t="n">
        <f aca="false">IF(Q24&gt;=Assumptions!$D$86,S24,D24)/U24</f>
        <v>261.904761904762</v>
      </c>
      <c r="W24" s="45" t="n">
        <f aca="false">IF(F24&gt;0,V24/F24,"")</f>
        <v>1</v>
      </c>
      <c r="X24" s="2" t="str">
        <f aca="false">IF(F24=0,"Free – monitor quality",IF(AND(P24&lt;Assumptions!$D$85,Q24&lt;Assumptions!$D$86),"Wait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(R25+Assumptions!$D$107*E25)/(Q25+Assumptions!$D$107)</f>
        <v>0.5</v>
      </c>
      <c r="V25" s="35" t="n">
        <f aca="false">IF(Q25&gt;=Assumptions!$D$86,S25,D25)/U25</f>
        <v>8.33333333333333</v>
      </c>
      <c r="W25" s="45" t="n">
        <f aca="false">IF(F25&gt;0,V25/F25,"")</f>
        <v>1</v>
      </c>
      <c r="X25" s="2" t="str">
        <f aca="false">IF(F25=0,"Free – monitor quality",IF(AND(P25&lt;Assumptions!$D$85,Q25&lt;Assumptions!$D$86),"Wait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(R26+Assumptions!$D$107*E26)/(Q26+Assumptions!$D$107)</f>
        <v>0.5</v>
      </c>
      <c r="V26" s="35" t="n">
        <f aca="false">IF(Q26&gt;=Assumptions!$D$86,S26,D26)/U26</f>
        <v>8.33333333333333</v>
      </c>
      <c r="W26" s="45" t="n">
        <f aca="false">IF(F26&gt;0,V26/F26,"")</f>
        <v>1</v>
      </c>
      <c r="X26" s="2" t="str">
        <f aca="false">IF(F26=0,"Free – monitor quality",IF(AND(P26&lt;Assumptions!$D$85,Q26&lt;Assumptions!$D$86),"Wait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(R27+Assumptions!$D$107*E27)/(Q27+Assumptions!$D$107)</f>
        <v>0.5</v>
      </c>
      <c r="V27" s="35" t="n">
        <f aca="false">IF(Q27&gt;=Assumptions!$D$86,S27,D27)/U27</f>
        <v>8.33333333333333</v>
      </c>
      <c r="W27" s="45" t="n">
        <f aca="false">IF(F27&gt;0,V27/F27,"")</f>
        <v>1</v>
      </c>
      <c r="X27" s="2" t="str">
        <f aca="false">IF(F27=0,"Free – monitor quality",IF(AND(P27&lt;Assumptions!$D$85,Q27&lt;Assumptions!$D$86),"Wait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(R28+Assumptions!$D$107*E28)/(Q28+Assumptions!$D$107)</f>
        <v>0.5</v>
      </c>
      <c r="V28" s="35" t="n">
        <f aca="false">IF(Q28&gt;=Assumptions!$D$86,S28,D28)/U28</f>
        <v>8.33333333333333</v>
      </c>
      <c r="W28" s="45" t="n">
        <f aca="false">IF(F28&gt;0,V28/F28,"")</f>
        <v>1</v>
      </c>
      <c r="X28" s="2" t="str">
        <f aca="false">IF(F28=0,"Free – monitor quality",IF(AND(P28&lt;Assumptions!$D$85,Q28&lt;Assumptions!$D$86),"Wait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(R29+Assumptions!$D$107*E29)/(Q29+Assumptions!$D$107)</f>
        <v>0.45</v>
      </c>
      <c r="V29" s="35" t="n">
        <f aca="false">IF(Q29&gt;=Assumptions!$D$86,S29,D29)/U29</f>
        <v>370.0125</v>
      </c>
      <c r="W29" s="45" t="n">
        <f aca="false">IF(F29&gt;0,V29/F29,"")</f>
        <v>1</v>
      </c>
      <c r="X29" s="2" t="str">
        <f aca="false">IF(F29=0,"Free – monitor quality",IF(AND(P29&lt;Assumptions!$D$85,Q29&lt;Assumptions!$D$86),"Wait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(R30+Assumptions!$D$107*E30)/(Q30+Assumptions!$D$107)</f>
        <v>0.45</v>
      </c>
      <c r="V30" s="35" t="n">
        <f aca="false">IF(Q30&gt;=Assumptions!$D$86,S30,D30)/U30</f>
        <v>465.75</v>
      </c>
      <c r="W30" s="45" t="n">
        <f aca="false">IF(F30&gt;0,V30/F30,"")</f>
        <v>1</v>
      </c>
      <c r="X30" s="2" t="str">
        <f aca="false">IF(F30=0,"Free – monitor quality",IF(AND(P30&lt;Assumptions!$D$85,Q30&lt;Assumptions!$D$86),"Wait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(R31+Assumptions!$D$107*E31)/(Q31+Assumptions!$D$107)</f>
        <v>0.45</v>
      </c>
      <c r="V31" s="35" t="n">
        <f aca="false">IF(Q31&gt;=Assumptions!$D$86,S31,D31)/U31</f>
        <v>336.375</v>
      </c>
      <c r="W31" s="45" t="n">
        <f aca="false">IF(F31&gt;0,V31/F31,"")</f>
        <v>1</v>
      </c>
      <c r="X31" s="2" t="str">
        <f aca="false">IF(F31=0,"Free – monitor quality",IF(AND(P31&lt;Assumptions!$D$85,Q31&lt;Assumptions!$D$86),"Wait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(R32+Assumptions!$D$107*E32)/(Q32+Assumptions!$D$107)</f>
        <v>0.45</v>
      </c>
      <c r="V32" s="35" t="n">
        <f aca="false">IF(Q32&gt;=Assumptions!$D$86,S32,D32)/U32</f>
        <v>307.9125</v>
      </c>
      <c r="W32" s="45" t="n">
        <f aca="false">IF(F32&gt;0,V32/F32,"")</f>
        <v>1</v>
      </c>
      <c r="X32" s="2" t="str">
        <f aca="false">IF(F32=0,"Free – monitor quality",IF(AND(P32&lt;Assumptions!$D$85,Q32&lt;Assumptions!$D$86),"Wait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(R33+Assumptions!$D$107*E33)/(Q33+Assumptions!$D$107)</f>
        <v>0.15</v>
      </c>
      <c r="V33" s="35" t="n">
        <f aca="false">IF(Q33&gt;=Assumptions!$D$86,S33,D33)/U33</f>
        <v>200</v>
      </c>
      <c r="W33" s="45" t="n">
        <f aca="false">IF(F33&gt;0,V33/F33,"")</f>
        <v>1</v>
      </c>
      <c r="X33" s="2" t="str">
        <f aca="false">IF(F33=0,"Free – monitor quality",IF(AND(P33&lt;Assumptions!$D$85,Q33&lt;Assumptions!$D$86),"Wait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(R34+Assumptions!$D$107*E34)/(Q34+Assumptions!$D$107)</f>
        <v>0.22</v>
      </c>
      <c r="V34" s="35" t="n">
        <f aca="false">IF(Q34&gt;=Assumptions!$D$86,S34,D34)/U34</f>
        <v>88.6363636363636</v>
      </c>
      <c r="W34" s="45" t="n">
        <f aca="false">IF(F34&gt;0,V34/F34,"")</f>
        <v>1</v>
      </c>
      <c r="X34" s="2" t="str">
        <f aca="false">IF(F34=0,"Free – monitor quality",IF(AND(P34&lt;Assumptions!$D$85,Q34&lt;Assumptions!$D$86),"Wait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428</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733</v>
      </c>
    </row>
    <row r="39" customFormat="false" ht="45" hidden="false" customHeight="true" outlineLevel="0" collapsed="false">
      <c r="A39" s="12"/>
      <c r="B39" s="12" t="s">
        <v>283</v>
      </c>
      <c r="C39" s="12" t="s">
        <v>734</v>
      </c>
      <c r="D39" s="12" t="s">
        <v>735</v>
      </c>
      <c r="E39" s="12" t="s">
        <v>736</v>
      </c>
      <c r="F39" s="12" t="s">
        <v>737</v>
      </c>
      <c r="G39" s="12" t="s">
        <v>738</v>
      </c>
      <c r="H39" s="12" t="s">
        <v>739</v>
      </c>
      <c r="I39" s="12" t="s">
        <v>740</v>
      </c>
      <c r="J39" s="12" t="s">
        <v>741</v>
      </c>
      <c r="K39" s="12" t="s">
        <v>742</v>
      </c>
      <c r="L39" s="12" t="s">
        <v>743</v>
      </c>
      <c r="M39" s="12" t="s">
        <v>744</v>
      </c>
      <c r="N39" s="12" t="s">
        <v>745</v>
      </c>
      <c r="O39" s="12" t="s">
        <v>49</v>
      </c>
      <c r="P39" s="12" t="s">
        <v>746</v>
      </c>
    </row>
    <row r="40" customFormat="false" ht="15" hidden="false" customHeight="false" outlineLevel="0" collapsed="false">
      <c r="B40" s="2" t="s">
        <v>50</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I40*Assumptions!$D$37*K40*Funnel!B5/(Funnel!O5*Funnel!G5)</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45</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I41*Assumptions!$D$38*K41*Funnel!B6/(Funnel!O6*Funnel!G6)</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55</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I42*Assumptions!$D$39*K42*Funnel!B7/(Funnel!O7*Funnel!G7)</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57</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I43*Assumptions!$D$40*K43*Funnel!B8/(Funnel!O8*Funnel!G8)</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428</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747</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2026-10-08T18:18:43Z</dcterms:created>
  <dc:creator>openpyxl</dc:creator>
  <dc:description/>
  <dc:language>en-US</dc:language>
  <cp:lastModifiedBy/>
  <dcterms:modified xsi:type="dcterms:W3CDTF">2026-10-08T18:18:43Z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